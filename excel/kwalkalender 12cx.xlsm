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8_{D4ADDAE6-0B9B-48BD-A714-614C7E6F1B98}" xr6:coauthVersionLast="47" xr6:coauthVersionMax="47" xr10:uidLastSave="{00000000-0000-0000-0000-000000000000}"/>
  <bookViews>
    <workbookView xWindow="7350" yWindow="1860" windowWidth="23370" windowHeight="21435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colors_list">calendar!#REF!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2" i="1" l="1"/>
  <c r="L162" i="1"/>
  <c r="K162" i="1"/>
  <c r="J162" i="1"/>
  <c r="I162" i="1"/>
  <c r="M161" i="1"/>
  <c r="L161" i="1"/>
  <c r="K161" i="1"/>
  <c r="J161" i="1"/>
  <c r="I161" i="1"/>
  <c r="M160" i="1"/>
  <c r="L160" i="1"/>
  <c r="K160" i="1"/>
  <c r="J160" i="1"/>
  <c r="I160" i="1"/>
  <c r="M159" i="1"/>
  <c r="L159" i="1"/>
  <c r="K159" i="1"/>
  <c r="J159" i="1"/>
  <c r="I159" i="1"/>
  <c r="M158" i="1"/>
  <c r="L158" i="1"/>
  <c r="K158" i="1"/>
  <c r="J158" i="1"/>
  <c r="I158" i="1"/>
  <c r="M157" i="1"/>
  <c r="L157" i="1"/>
  <c r="K157" i="1"/>
  <c r="J157" i="1"/>
  <c r="I157" i="1"/>
  <c r="M156" i="1"/>
  <c r="L156" i="1"/>
  <c r="K156" i="1"/>
  <c r="J156" i="1"/>
  <c r="I156" i="1"/>
  <c r="M155" i="1"/>
  <c r="L155" i="1"/>
  <c r="K155" i="1"/>
  <c r="J155" i="1"/>
  <c r="I155" i="1"/>
  <c r="M154" i="1"/>
  <c r="L154" i="1"/>
  <c r="K154" i="1"/>
  <c r="J154" i="1"/>
  <c r="I154" i="1"/>
  <c r="M153" i="1"/>
  <c r="L153" i="1"/>
  <c r="K153" i="1"/>
  <c r="J153" i="1"/>
  <c r="I153" i="1"/>
  <c r="M152" i="1"/>
  <c r="L152" i="1"/>
  <c r="K152" i="1"/>
  <c r="J152" i="1"/>
  <c r="I152" i="1"/>
  <c r="M151" i="1"/>
  <c r="L151" i="1"/>
  <c r="K151" i="1"/>
  <c r="J151" i="1"/>
  <c r="I151" i="1"/>
  <c r="M150" i="1"/>
  <c r="L150" i="1"/>
  <c r="K150" i="1"/>
  <c r="J150" i="1"/>
  <c r="I150" i="1"/>
  <c r="H339" i="12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96" i="1"/>
  <c r="H124" i="1"/>
  <c r="H134" i="1"/>
  <c r="G110" i="1"/>
  <c r="G87" i="1"/>
  <c r="H132" i="1"/>
  <c r="G89" i="1"/>
  <c r="H114" i="1"/>
  <c r="G127" i="1"/>
  <c r="G136" i="1"/>
  <c r="G103" i="1"/>
  <c r="G9" i="1"/>
  <c r="G11" i="1"/>
  <c r="H121" i="1"/>
  <c r="G106" i="1"/>
  <c r="H126" i="1"/>
  <c r="G115" i="1"/>
  <c r="G118" i="1"/>
  <c r="G88" i="1"/>
  <c r="H10" i="1"/>
  <c r="H115" i="1"/>
  <c r="G129" i="1"/>
  <c r="H102" i="1"/>
  <c r="G111" i="1"/>
  <c r="H12" i="1"/>
  <c r="G85" i="1"/>
  <c r="G8" i="1"/>
  <c r="G96" i="1"/>
  <c r="G113" i="1"/>
  <c r="G133" i="1"/>
  <c r="G117" i="1"/>
  <c r="G109" i="1"/>
  <c r="H98" i="1"/>
  <c r="G112" i="1"/>
  <c r="H120" i="1"/>
  <c r="G10" i="1"/>
  <c r="H105" i="1"/>
  <c r="G98" i="1"/>
  <c r="H93" i="1"/>
  <c r="H104" i="1"/>
  <c r="G95" i="1"/>
  <c r="G105" i="1"/>
  <c r="G99" i="1"/>
  <c r="H116" i="1"/>
  <c r="H87" i="1"/>
  <c r="H89" i="1"/>
  <c r="G94" i="1"/>
  <c r="H99" i="1"/>
  <c r="H9" i="1"/>
  <c r="G91" i="1"/>
  <c r="H117" i="1"/>
  <c r="H94" i="1"/>
  <c r="G126" i="1"/>
  <c r="H90" i="1"/>
  <c r="G97" i="1"/>
  <c r="G125" i="1"/>
  <c r="G7" i="1"/>
  <c r="H97" i="1"/>
  <c r="G130" i="1"/>
  <c r="H13" i="1"/>
  <c r="H128" i="1"/>
  <c r="H131" i="1"/>
  <c r="G12" i="1"/>
  <c r="G131" i="1"/>
  <c r="G119" i="1"/>
  <c r="G93" i="1"/>
  <c r="G124" i="1"/>
  <c r="G100" i="1"/>
  <c r="H91" i="1"/>
  <c r="H107" i="1"/>
  <c r="H7" i="1"/>
  <c r="G121" i="1"/>
  <c r="G128" i="1"/>
  <c r="H108" i="1"/>
  <c r="H135" i="1"/>
  <c r="H100" i="1"/>
  <c r="H106" i="1"/>
  <c r="G102" i="1"/>
  <c r="H11" i="1"/>
  <c r="H111" i="1"/>
  <c r="G132" i="1"/>
  <c r="H127" i="1"/>
  <c r="H119" i="1"/>
  <c r="H103" i="1"/>
  <c r="H130" i="1"/>
  <c r="G92" i="1"/>
  <c r="H101" i="1"/>
  <c r="G13" i="1"/>
  <c r="G122" i="1"/>
  <c r="H133" i="1"/>
  <c r="H123" i="1"/>
  <c r="H85" i="1"/>
  <c r="H95" i="1"/>
  <c r="H129" i="1"/>
  <c r="G134" i="1"/>
  <c r="G114" i="1"/>
  <c r="H122" i="1"/>
  <c r="H109" i="1"/>
  <c r="H88" i="1"/>
  <c r="H86" i="1"/>
  <c r="H136" i="1"/>
  <c r="G107" i="1"/>
  <c r="G120" i="1"/>
  <c r="G108" i="1"/>
  <c r="G104" i="1"/>
  <c r="H8" i="1"/>
  <c r="H118" i="1"/>
  <c r="H92" i="1"/>
  <c r="H113" i="1"/>
  <c r="G116" i="1"/>
  <c r="G101" i="1"/>
  <c r="G90" i="1"/>
  <c r="H112" i="1"/>
  <c r="G86" i="1"/>
  <c r="G135" i="1"/>
  <c r="G123" i="1"/>
  <c r="H110" i="1"/>
  <c r="H125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G150" i="1"/>
  <c r="H150" i="1"/>
  <c r="H149" i="1"/>
  <c r="G18" i="1"/>
  <c r="G15" i="1"/>
  <c r="G16" i="1"/>
  <c r="H16" i="1"/>
  <c r="G149" i="1"/>
  <c r="G17" i="1"/>
  <c r="H15" i="1"/>
  <c r="G14" i="1"/>
  <c r="H17" i="1"/>
  <c r="H18" i="1"/>
  <c r="H14" i="1"/>
  <c r="F151" i="1" l="1"/>
  <c r="W4" i="3"/>
  <c r="X4" i="3"/>
  <c r="V4" i="3"/>
  <c r="U5" i="3"/>
  <c r="H151" i="1"/>
  <c r="G151" i="1"/>
  <c r="G19" i="1"/>
  <c r="H19" i="1"/>
  <c r="F152" i="1" l="1"/>
  <c r="U6" i="3"/>
  <c r="W5" i="3"/>
  <c r="X5" i="3"/>
  <c r="V5" i="3"/>
  <c r="G152" i="1"/>
  <c r="H152" i="1"/>
  <c r="H20" i="1"/>
  <c r="G20" i="1"/>
  <c r="F153" i="1" l="1"/>
  <c r="U7" i="3"/>
  <c r="X6" i="3"/>
  <c r="W6" i="3"/>
  <c r="V6" i="3"/>
  <c r="H153" i="1"/>
  <c r="G153" i="1"/>
  <c r="G21" i="1"/>
  <c r="H21" i="1"/>
  <c r="F154" i="1" l="1"/>
  <c r="U8" i="3"/>
  <c r="V7" i="3"/>
  <c r="X7" i="3"/>
  <c r="W7" i="3"/>
  <c r="G154" i="1"/>
  <c r="H154" i="1"/>
  <c r="F155" i="1" l="1"/>
  <c r="U9" i="3"/>
  <c r="W8" i="3"/>
  <c r="X8" i="3"/>
  <c r="V8" i="3"/>
  <c r="G155" i="1"/>
  <c r="H155" i="1"/>
  <c r="H113" i="3"/>
  <c r="I116" i="3"/>
  <c r="Q189" i="3"/>
  <c r="O118" i="3"/>
  <c r="I10" i="3"/>
  <c r="I56" i="3"/>
  <c r="I109" i="3"/>
  <c r="P27" i="3"/>
  <c r="O176" i="3"/>
  <c r="Q5" i="3"/>
  <c r="N148" i="3"/>
  <c r="P205" i="3"/>
  <c r="I54" i="3"/>
  <c r="M173" i="3"/>
  <c r="O202" i="3"/>
  <c r="N32" i="3"/>
  <c r="O17" i="3"/>
  <c r="O186" i="3"/>
  <c r="H119" i="3"/>
  <c r="N90" i="3"/>
  <c r="R196" i="3"/>
  <c r="P15" i="3"/>
  <c r="M118" i="3"/>
  <c r="R227" i="3"/>
  <c r="N18" i="3"/>
  <c r="R56" i="3"/>
  <c r="G120" i="3"/>
  <c r="O199" i="3"/>
  <c r="O61" i="3"/>
  <c r="L189" i="3"/>
  <c r="G94" i="3"/>
  <c r="P96" i="3"/>
  <c r="L92" i="3"/>
  <c r="R213" i="3"/>
  <c r="R199" i="3"/>
  <c r="I20" i="3"/>
  <c r="R9" i="3"/>
  <c r="M79" i="3"/>
  <c r="L50" i="3"/>
  <c r="G7" i="3"/>
  <c r="L144" i="3"/>
  <c r="I11" i="3"/>
  <c r="Q53" i="3"/>
  <c r="I80" i="3"/>
  <c r="N37" i="3"/>
  <c r="L45" i="3"/>
  <c r="P194" i="3"/>
  <c r="O123" i="3"/>
  <c r="R194" i="3"/>
  <c r="Q38" i="3"/>
  <c r="O14" i="3"/>
  <c r="P152" i="3"/>
  <c r="M10" i="3"/>
  <c r="P163" i="3"/>
  <c r="G124" i="3"/>
  <c r="L14" i="3"/>
  <c r="O116" i="3"/>
  <c r="R171" i="3"/>
  <c r="M58" i="3"/>
  <c r="O226" i="3"/>
  <c r="G69" i="3"/>
  <c r="N98" i="3"/>
  <c r="I146" i="3"/>
  <c r="P198" i="3"/>
  <c r="H5" i="3"/>
  <c r="R155" i="3"/>
  <c r="Q44" i="3"/>
  <c r="G92" i="3"/>
  <c r="L190" i="3"/>
  <c r="O163" i="3"/>
  <c r="M83" i="3"/>
  <c r="L157" i="3"/>
  <c r="Q227" i="3"/>
  <c r="Q184" i="3"/>
  <c r="G44" i="3"/>
  <c r="N57" i="3"/>
  <c r="I64" i="3"/>
  <c r="O129" i="3"/>
  <c r="M204" i="3"/>
  <c r="O6" i="3"/>
  <c r="G53" i="3"/>
  <c r="E103" i="3"/>
  <c r="N146" i="3"/>
  <c r="L77" i="3"/>
  <c r="R95" i="3"/>
  <c r="L231" i="3"/>
  <c r="I4" i="3"/>
  <c r="L7" i="3"/>
  <c r="L215" i="3"/>
  <c r="N137" i="3"/>
  <c r="Q211" i="3"/>
  <c r="M4" i="3"/>
  <c r="Q204" i="3"/>
  <c r="M207" i="3"/>
  <c r="H101" i="3"/>
  <c r="P195" i="3"/>
  <c r="R172" i="3"/>
  <c r="R165" i="3"/>
  <c r="L59" i="3"/>
  <c r="L47" i="3"/>
  <c r="F12" i="3"/>
  <c r="Q116" i="3"/>
  <c r="Q148" i="3"/>
  <c r="L200" i="3"/>
  <c r="G112" i="3"/>
  <c r="N4" i="3"/>
  <c r="R211" i="3"/>
  <c r="N153" i="3"/>
  <c r="L175" i="3"/>
  <c r="N47" i="3"/>
  <c r="H14" i="3"/>
  <c r="O206" i="3"/>
  <c r="R208" i="3"/>
  <c r="P49" i="3"/>
  <c r="I135" i="3"/>
  <c r="E70" i="3"/>
  <c r="P202" i="3"/>
  <c r="P86" i="3"/>
  <c r="M19" i="3"/>
  <c r="R170" i="3"/>
  <c r="Q129" i="3"/>
  <c r="H128" i="3"/>
  <c r="G66" i="3"/>
  <c r="L166" i="3"/>
  <c r="N39" i="3"/>
  <c r="G149" i="3"/>
  <c r="M14" i="3"/>
  <c r="G67" i="3"/>
  <c r="P168" i="3"/>
  <c r="G73" i="3"/>
  <c r="M35" i="3"/>
  <c r="I33" i="3"/>
  <c r="G30" i="3"/>
  <c r="M171" i="3"/>
  <c r="P91" i="3"/>
  <c r="L13" i="3"/>
  <c r="H91" i="3"/>
  <c r="O18" i="3"/>
  <c r="O91" i="3"/>
  <c r="Q152" i="3"/>
  <c r="I150" i="3"/>
  <c r="R122" i="3"/>
  <c r="Q213" i="3"/>
  <c r="M41" i="3"/>
  <c r="R222" i="3"/>
  <c r="N112" i="3"/>
  <c r="O16" i="3"/>
  <c r="R154" i="3"/>
  <c r="Q137" i="3"/>
  <c r="O31" i="3"/>
  <c r="N156" i="3"/>
  <c r="R81" i="3"/>
  <c r="L48" i="3"/>
  <c r="Q155" i="3"/>
  <c r="Q157" i="3"/>
  <c r="H118" i="3"/>
  <c r="M153" i="3"/>
  <c r="L79" i="3"/>
  <c r="R83" i="3"/>
  <c r="I16" i="3"/>
  <c r="Q134" i="3"/>
  <c r="I48" i="3"/>
  <c r="M181" i="3"/>
  <c r="G147" i="3"/>
  <c r="H135" i="3"/>
  <c r="M125" i="3"/>
  <c r="O103" i="3"/>
  <c r="L98" i="3"/>
  <c r="M138" i="3"/>
  <c r="L130" i="3"/>
  <c r="I70" i="3"/>
  <c r="P123" i="3"/>
  <c r="Q32" i="3"/>
  <c r="R116" i="3"/>
  <c r="M57" i="3"/>
  <c r="I51" i="3"/>
  <c r="Q112" i="3"/>
  <c r="I71" i="3"/>
  <c r="H34" i="3"/>
  <c r="M205" i="3"/>
  <c r="G72" i="3"/>
  <c r="N50" i="3"/>
  <c r="R20" i="3"/>
  <c r="H16" i="3"/>
  <c r="H29" i="3"/>
  <c r="N175" i="3"/>
  <c r="L17" i="3"/>
  <c r="P37" i="3"/>
  <c r="P162" i="3"/>
  <c r="O126" i="3"/>
  <c r="N171" i="3"/>
  <c r="L129" i="3"/>
  <c r="Q147" i="3"/>
  <c r="R84" i="3"/>
  <c r="H76" i="3"/>
  <c r="M31" i="3"/>
  <c r="L54" i="3"/>
  <c r="Q65" i="3"/>
  <c r="H17" i="3"/>
  <c r="R106" i="3"/>
  <c r="L193" i="3"/>
  <c r="P69" i="3"/>
  <c r="N119" i="3"/>
  <c r="P5" i="3"/>
  <c r="O69" i="3"/>
  <c r="I131" i="3"/>
  <c r="L70" i="3"/>
  <c r="N9" i="3"/>
  <c r="H74" i="3"/>
  <c r="N159" i="3"/>
  <c r="P167" i="3"/>
  <c r="O92" i="3"/>
  <c r="O144" i="3"/>
  <c r="N189" i="3"/>
  <c r="L31" i="3"/>
  <c r="M63" i="3"/>
  <c r="N132" i="3"/>
  <c r="H103" i="3"/>
  <c r="P89" i="3"/>
  <c r="H50" i="3"/>
  <c r="P52" i="3"/>
  <c r="I151" i="3"/>
  <c r="L30" i="3"/>
  <c r="I34" i="3"/>
  <c r="P110" i="3"/>
  <c r="M22" i="3"/>
  <c r="Q168" i="3"/>
  <c r="N167" i="3"/>
  <c r="P128" i="3"/>
  <c r="R231" i="3"/>
  <c r="O198" i="3"/>
  <c r="H127" i="3"/>
  <c r="G98" i="3"/>
  <c r="L198" i="3"/>
  <c r="H87" i="3"/>
  <c r="M117" i="3"/>
  <c r="L205" i="3"/>
  <c r="M155" i="3"/>
  <c r="L214" i="3"/>
  <c r="L53" i="3"/>
  <c r="Q151" i="3"/>
  <c r="H3" i="3"/>
  <c r="P20" i="3"/>
  <c r="P45" i="3"/>
  <c r="I44" i="3"/>
  <c r="N227" i="3"/>
  <c r="P164" i="3"/>
  <c r="H143" i="3"/>
  <c r="M81" i="3"/>
  <c r="R66" i="3"/>
  <c r="O217" i="3"/>
  <c r="N22" i="3"/>
  <c r="H152" i="3"/>
  <c r="Q11" i="3"/>
  <c r="L60" i="3"/>
  <c r="L89" i="3"/>
  <c r="P68" i="3"/>
  <c r="O82" i="3"/>
  <c r="O200" i="3"/>
  <c r="P88" i="3"/>
  <c r="R10" i="3"/>
  <c r="P71" i="3"/>
  <c r="H48" i="3"/>
  <c r="H85" i="3"/>
  <c r="H108" i="3"/>
  <c r="M65" i="3"/>
  <c r="M191" i="3"/>
  <c r="N64" i="3"/>
  <c r="R153" i="3"/>
  <c r="O209" i="3"/>
  <c r="N111" i="3"/>
  <c r="P43" i="3"/>
  <c r="G31" i="3"/>
  <c r="P85" i="3"/>
  <c r="L97" i="3"/>
  <c r="G14" i="3"/>
  <c r="Q60" i="3"/>
  <c r="Q35" i="3"/>
  <c r="N215" i="3"/>
  <c r="G8" i="3"/>
  <c r="O188" i="3"/>
  <c r="Q131" i="3"/>
  <c r="Q100" i="3"/>
  <c r="L203" i="3"/>
  <c r="N226" i="3"/>
  <c r="Q108" i="3"/>
  <c r="H139" i="3"/>
  <c r="N124" i="3"/>
  <c r="P93" i="3"/>
  <c r="N202" i="3"/>
  <c r="I110" i="3"/>
  <c r="O204" i="3"/>
  <c r="Q6" i="3"/>
  <c r="Q70" i="3"/>
  <c r="O20" i="3"/>
  <c r="L40" i="3"/>
  <c r="G122" i="3"/>
  <c r="M91" i="3"/>
  <c r="Q40" i="3"/>
  <c r="R177" i="3"/>
  <c r="Q55" i="3"/>
  <c r="M166" i="3"/>
  <c r="O149" i="3"/>
  <c r="P156" i="3"/>
  <c r="I24" i="3"/>
  <c r="L194" i="3"/>
  <c r="O164" i="3"/>
  <c r="P26" i="3"/>
  <c r="H40" i="3"/>
  <c r="N41" i="3"/>
  <c r="H88" i="3"/>
  <c r="L197" i="3"/>
  <c r="O63" i="3"/>
  <c r="R160" i="3"/>
  <c r="M224" i="3"/>
  <c r="Q89" i="3"/>
  <c r="L153" i="3"/>
  <c r="R96" i="3"/>
  <c r="M124" i="3"/>
  <c r="P179" i="3"/>
  <c r="H11" i="3"/>
  <c r="I37" i="3"/>
  <c r="N12" i="3"/>
  <c r="I141" i="3"/>
  <c r="M107" i="3"/>
  <c r="Q52" i="3"/>
  <c r="M28" i="3"/>
  <c r="M120" i="3"/>
  <c r="M64" i="3"/>
  <c r="L171" i="3"/>
  <c r="O231" i="3"/>
  <c r="L112" i="3"/>
  <c r="I45" i="3"/>
  <c r="L155" i="3"/>
  <c r="N67" i="3"/>
  <c r="Q186" i="3"/>
  <c r="Q107" i="3"/>
  <c r="G95" i="3"/>
  <c r="L207" i="3"/>
  <c r="R169" i="3"/>
  <c r="R109" i="3"/>
  <c r="I154" i="3"/>
  <c r="Q190" i="3"/>
  <c r="H110" i="3"/>
  <c r="L181" i="3"/>
  <c r="L114" i="3"/>
  <c r="P95" i="3"/>
  <c r="M133" i="3"/>
  <c r="I88" i="3"/>
  <c r="N33" i="3"/>
  <c r="I52" i="3"/>
  <c r="M48" i="3"/>
  <c r="M99" i="3"/>
  <c r="M123" i="3"/>
  <c r="Q200" i="3"/>
  <c r="R17" i="3"/>
  <c r="N40" i="3"/>
  <c r="P127" i="3"/>
  <c r="O89" i="3"/>
  <c r="P124" i="3"/>
  <c r="O50" i="3"/>
  <c r="G12" i="3"/>
  <c r="M46" i="3"/>
  <c r="Q212" i="3"/>
  <c r="O122" i="3"/>
  <c r="Q82" i="3"/>
  <c r="I74" i="3"/>
  <c r="O66" i="3"/>
  <c r="I139" i="3"/>
  <c r="M145" i="3"/>
  <c r="N59" i="3"/>
  <c r="M77" i="3"/>
  <c r="P81" i="3"/>
  <c r="O169" i="3"/>
  <c r="N27" i="3"/>
  <c r="G23" i="3"/>
  <c r="I67" i="3"/>
  <c r="Q39" i="3"/>
  <c r="I113" i="3"/>
  <c r="Q4" i="3"/>
  <c r="M165" i="3"/>
  <c r="I21" i="3"/>
  <c r="O71" i="3"/>
  <c r="P18" i="3"/>
  <c r="N231" i="3"/>
  <c r="M87" i="3"/>
  <c r="R12" i="3"/>
  <c r="P61" i="3"/>
  <c r="O207" i="3"/>
  <c r="M210" i="3"/>
  <c r="E62" i="3"/>
  <c r="R7" i="3"/>
  <c r="R189" i="3"/>
  <c r="O173" i="3"/>
  <c r="R89" i="3"/>
  <c r="R101" i="3"/>
  <c r="N36" i="3"/>
  <c r="Q71" i="3"/>
  <c r="I98" i="3"/>
  <c r="Q84" i="3"/>
  <c r="O68" i="3"/>
  <c r="P36" i="3"/>
  <c r="N172" i="3"/>
  <c r="H133" i="3"/>
  <c r="N208" i="3"/>
  <c r="G83" i="3"/>
  <c r="N7" i="3"/>
  <c r="Q105" i="3"/>
  <c r="P78" i="3"/>
  <c r="P122" i="3"/>
  <c r="P224" i="3"/>
  <c r="G117" i="3"/>
  <c r="P87" i="3"/>
  <c r="H8" i="3"/>
  <c r="N56" i="3"/>
  <c r="H69" i="3"/>
  <c r="Q61" i="3"/>
  <c r="P214" i="3"/>
  <c r="I155" i="3"/>
  <c r="I26" i="3"/>
  <c r="I108" i="3"/>
  <c r="N213" i="3"/>
  <c r="H84" i="3"/>
  <c r="P100" i="3"/>
  <c r="O184" i="3"/>
  <c r="R73" i="3"/>
  <c r="R147" i="3"/>
  <c r="I29" i="3"/>
  <c r="N186" i="3"/>
  <c r="Q218" i="3"/>
  <c r="H125" i="3"/>
  <c r="N152" i="3"/>
  <c r="R8" i="3"/>
  <c r="I8" i="3"/>
  <c r="L196" i="3"/>
  <c r="M190" i="3"/>
  <c r="O230" i="3"/>
  <c r="L81" i="3"/>
  <c r="I43" i="3"/>
  <c r="L132" i="3"/>
  <c r="L49" i="3"/>
  <c r="M42" i="3"/>
  <c r="H71" i="3"/>
  <c r="L126" i="3"/>
  <c r="G153" i="3"/>
  <c r="P190" i="3"/>
  <c r="M7" i="3"/>
  <c r="R137" i="3"/>
  <c r="N197" i="3"/>
  <c r="N187" i="3"/>
  <c r="Q47" i="3"/>
  <c r="L216" i="3"/>
  <c r="R159" i="3"/>
  <c r="L225" i="3"/>
  <c r="I61" i="3"/>
  <c r="P32" i="3"/>
  <c r="L57" i="3"/>
  <c r="P28" i="3"/>
  <c r="N141" i="3"/>
  <c r="Q159" i="3"/>
  <c r="L86" i="3"/>
  <c r="M49" i="3"/>
  <c r="R30" i="3"/>
  <c r="H153" i="3"/>
  <c r="Q167" i="3"/>
  <c r="R11" i="3"/>
  <c r="M213" i="3"/>
  <c r="G3" i="3"/>
  <c r="R49" i="3"/>
  <c r="H95" i="3"/>
  <c r="M98" i="3"/>
  <c r="N142" i="3"/>
  <c r="N176" i="3"/>
  <c r="L66" i="3"/>
  <c r="O193" i="3"/>
  <c r="L10" i="3"/>
  <c r="R80" i="3"/>
  <c r="L111" i="3"/>
  <c r="I102" i="3"/>
  <c r="P74" i="3"/>
  <c r="G37" i="3"/>
  <c r="P182" i="3"/>
  <c r="M170" i="3"/>
  <c r="N121" i="3"/>
  <c r="P178" i="3"/>
  <c r="H124" i="3"/>
  <c r="L170" i="3"/>
  <c r="Q119" i="3"/>
  <c r="M21" i="3"/>
  <c r="R207" i="3"/>
  <c r="G118" i="3"/>
  <c r="H62" i="3"/>
  <c r="H151" i="3"/>
  <c r="G70" i="3"/>
  <c r="P159" i="3"/>
  <c r="L8" i="3"/>
  <c r="Q22" i="3"/>
  <c r="I111" i="3"/>
  <c r="P200" i="3"/>
  <c r="R181" i="3"/>
  <c r="O56" i="3"/>
  <c r="O99" i="3"/>
  <c r="P160" i="3"/>
  <c r="G151" i="3"/>
  <c r="Q37" i="3"/>
  <c r="L134" i="3"/>
  <c r="N193" i="3"/>
  <c r="O100" i="3"/>
  <c r="M189" i="3"/>
  <c r="H4" i="3"/>
  <c r="O64" i="3"/>
  <c r="O190" i="3"/>
  <c r="N25" i="3"/>
  <c r="R173" i="3"/>
  <c r="N101" i="3"/>
  <c r="L74" i="3"/>
  <c r="R212" i="3"/>
  <c r="L52" i="3"/>
  <c r="M180" i="3"/>
  <c r="H115" i="3"/>
  <c r="Q7" i="3"/>
  <c r="H106" i="3"/>
  <c r="N105" i="3"/>
  <c r="G38" i="3"/>
  <c r="Q26" i="3"/>
  <c r="M76" i="3"/>
  <c r="M230" i="3"/>
  <c r="L124" i="3"/>
  <c r="G68" i="3"/>
  <c r="G21" i="3"/>
  <c r="P11" i="3"/>
  <c r="P40" i="3"/>
  <c r="H6" i="3"/>
  <c r="Q177" i="3"/>
  <c r="R110" i="3"/>
  <c r="L211" i="3"/>
  <c r="L179" i="3"/>
  <c r="P73" i="3"/>
  <c r="L51" i="3"/>
  <c r="O12" i="3"/>
  <c r="M215" i="3"/>
  <c r="P41" i="3"/>
  <c r="M47" i="3"/>
  <c r="R142" i="3"/>
  <c r="P70" i="3"/>
  <c r="M43" i="3"/>
  <c r="N136" i="3"/>
  <c r="H138" i="3"/>
  <c r="H12" i="3"/>
  <c r="N96" i="3"/>
  <c r="G127" i="3"/>
  <c r="Q48" i="3"/>
  <c r="O135" i="3"/>
  <c r="R99" i="3"/>
  <c r="Q8" i="3"/>
  <c r="P10" i="3"/>
  <c r="L76" i="3"/>
  <c r="P98" i="3"/>
  <c r="G105" i="3"/>
  <c r="P38" i="3"/>
  <c r="Q223" i="3"/>
  <c r="I9" i="3"/>
  <c r="M38" i="3"/>
  <c r="N200" i="3"/>
  <c r="I117" i="3"/>
  <c r="R47" i="3"/>
  <c r="R72" i="3"/>
  <c r="M137" i="3"/>
  <c r="N221" i="3"/>
  <c r="Q220" i="3"/>
  <c r="N49" i="3"/>
  <c r="I130" i="3"/>
  <c r="G11" i="3"/>
  <c r="L87" i="3"/>
  <c r="L38" i="3"/>
  <c r="G126" i="3"/>
  <c r="Q126" i="3"/>
  <c r="L41" i="3"/>
  <c r="I97" i="3"/>
  <c r="L106" i="3"/>
  <c r="M150" i="3"/>
  <c r="N85" i="3"/>
  <c r="O45" i="3"/>
  <c r="Q202" i="3"/>
  <c r="P13" i="3"/>
  <c r="G47" i="3"/>
  <c r="R135" i="3"/>
  <c r="I118" i="3"/>
  <c r="N205" i="3"/>
  <c r="I114" i="3"/>
  <c r="R26" i="3"/>
  <c r="H51" i="3"/>
  <c r="R57" i="3"/>
  <c r="N87" i="3"/>
  <c r="O183" i="3"/>
  <c r="M12" i="3"/>
  <c r="M26" i="3"/>
  <c r="L150" i="3"/>
  <c r="M53" i="3"/>
  <c r="R117" i="3"/>
  <c r="O101" i="3"/>
  <c r="P146" i="3"/>
  <c r="Q78" i="3"/>
  <c r="H32" i="3"/>
  <c r="G140" i="3"/>
  <c r="N62" i="3"/>
  <c r="M206" i="3"/>
  <c r="R52" i="3"/>
  <c r="M212" i="3"/>
  <c r="H55" i="3"/>
  <c r="G51" i="3"/>
  <c r="L230" i="3"/>
  <c r="Q217" i="3"/>
  <c r="P64" i="3"/>
  <c r="M203" i="3"/>
  <c r="I22" i="3"/>
  <c r="M196" i="3"/>
  <c r="L156" i="3"/>
  <c r="G141" i="3"/>
  <c r="N83" i="3"/>
  <c r="P131" i="3"/>
  <c r="N207" i="3"/>
  <c r="Q132" i="3"/>
  <c r="I104" i="3"/>
  <c r="P184" i="3"/>
  <c r="M73" i="3"/>
  <c r="P116" i="3"/>
  <c r="R198" i="3"/>
  <c r="Q210" i="3"/>
  <c r="R103" i="3"/>
  <c r="Q3" i="3"/>
  <c r="P150" i="3"/>
  <c r="O223" i="3"/>
  <c r="Q127" i="3"/>
  <c r="I18" i="3"/>
  <c r="M148" i="3"/>
  <c r="R35" i="3"/>
  <c r="G132" i="3"/>
  <c r="O53" i="3"/>
  <c r="E19" i="3"/>
  <c r="Q160" i="3"/>
  <c r="P76" i="3"/>
  <c r="O9" i="3"/>
  <c r="M56" i="3"/>
  <c r="I55" i="3"/>
  <c r="N77" i="3"/>
  <c r="P134" i="3"/>
  <c r="R223" i="3"/>
  <c r="G85" i="3"/>
  <c r="R179" i="3"/>
  <c r="L120" i="3"/>
  <c r="L33" i="3"/>
  <c r="N110" i="3"/>
  <c r="N191" i="3"/>
  <c r="O201" i="3"/>
  <c r="G4" i="3"/>
  <c r="M15" i="3"/>
  <c r="G133" i="3"/>
  <c r="Q135" i="3"/>
  <c r="Q146" i="3"/>
  <c r="P99" i="3"/>
  <c r="O165" i="3"/>
  <c r="N211" i="3"/>
  <c r="N118" i="3"/>
  <c r="L94" i="3"/>
  <c r="N135" i="3"/>
  <c r="M225" i="3"/>
  <c r="L210" i="3"/>
  <c r="M68" i="3"/>
  <c r="O143" i="3"/>
  <c r="R150" i="3"/>
  <c r="Q162" i="3"/>
  <c r="P180" i="3"/>
  <c r="Q36" i="3"/>
  <c r="Q73" i="3"/>
  <c r="P218" i="3"/>
  <c r="G84" i="3"/>
  <c r="P135" i="3"/>
  <c r="M195" i="3"/>
  <c r="O38" i="3"/>
  <c r="M50" i="3"/>
  <c r="H112" i="3"/>
  <c r="H90" i="3"/>
  <c r="Q92" i="3"/>
  <c r="H79" i="3"/>
  <c r="M61" i="3"/>
  <c r="P143" i="3"/>
  <c r="L32" i="3"/>
  <c r="H77" i="3"/>
  <c r="H130" i="3"/>
  <c r="H42" i="3"/>
  <c r="N117" i="3"/>
  <c r="R58" i="3"/>
  <c r="M221" i="3"/>
  <c r="R78" i="3"/>
  <c r="R53" i="3"/>
  <c r="R216" i="3"/>
  <c r="P130" i="3"/>
  <c r="P192" i="3"/>
  <c r="R19" i="3"/>
  <c r="N20" i="3"/>
  <c r="G145" i="3"/>
  <c r="L88" i="3"/>
  <c r="R16" i="3"/>
  <c r="I60" i="3"/>
  <c r="O136" i="3"/>
  <c r="P207" i="3"/>
  <c r="O95" i="3"/>
  <c r="G135" i="3"/>
  <c r="M82" i="3"/>
  <c r="M106" i="3"/>
  <c r="M23" i="3"/>
  <c r="I106" i="3"/>
  <c r="M71" i="3"/>
  <c r="M52" i="3"/>
  <c r="R118" i="3"/>
  <c r="M5" i="3"/>
  <c r="M30" i="3"/>
  <c r="Q24" i="3"/>
  <c r="H31" i="3"/>
  <c r="P3" i="3"/>
  <c r="Q42" i="3"/>
  <c r="O133" i="3"/>
  <c r="M231" i="3"/>
  <c r="Q63" i="3"/>
  <c r="Q51" i="3"/>
  <c r="Q145" i="3"/>
  <c r="O106" i="3"/>
  <c r="R175" i="3"/>
  <c r="G97" i="3"/>
  <c r="G125" i="3"/>
  <c r="R6" i="3"/>
  <c r="L121" i="3"/>
  <c r="R158" i="3"/>
  <c r="L27" i="3"/>
  <c r="P175" i="3"/>
  <c r="O211" i="3"/>
  <c r="R23" i="3"/>
  <c r="R67" i="3"/>
  <c r="R112" i="3"/>
  <c r="L24" i="3"/>
  <c r="Q74" i="3"/>
  <c r="P204" i="3"/>
  <c r="P80" i="3"/>
  <c r="G16" i="3"/>
  <c r="Q102" i="3"/>
  <c r="O79" i="3"/>
  <c r="O85" i="3"/>
  <c r="R156" i="3"/>
  <c r="P109" i="3"/>
  <c r="L162" i="3"/>
  <c r="Q13" i="3"/>
  <c r="N42" i="3"/>
  <c r="P132" i="3"/>
  <c r="Q170" i="3"/>
  <c r="G89" i="3"/>
  <c r="I72" i="3"/>
  <c r="Q198" i="3"/>
  <c r="O141" i="3"/>
  <c r="Q161" i="3"/>
  <c r="O213" i="3"/>
  <c r="P215" i="3"/>
  <c r="Q228" i="3"/>
  <c r="G71" i="3"/>
  <c r="N219" i="3"/>
  <c r="L176" i="3"/>
  <c r="E121" i="3"/>
  <c r="O29" i="3"/>
  <c r="L16" i="3"/>
  <c r="H78" i="3"/>
  <c r="O10" i="3"/>
  <c r="N5" i="3"/>
  <c r="Q231" i="3"/>
  <c r="H141" i="3"/>
  <c r="H136" i="3"/>
  <c r="L143" i="3"/>
  <c r="R128" i="3"/>
  <c r="M174" i="3"/>
  <c r="N125" i="3"/>
  <c r="H46" i="3"/>
  <c r="M131" i="3"/>
  <c r="P97" i="3"/>
  <c r="N71" i="3"/>
  <c r="R143" i="3"/>
  <c r="N223" i="3"/>
  <c r="R206" i="3"/>
  <c r="G33" i="3"/>
  <c r="H45" i="3"/>
  <c r="H86" i="3"/>
  <c r="L118" i="3"/>
  <c r="Q31" i="3"/>
  <c r="O115" i="3"/>
  <c r="O139" i="3"/>
  <c r="R204" i="3"/>
  <c r="P19" i="3"/>
  <c r="I107" i="3"/>
  <c r="L82" i="3"/>
  <c r="H26" i="3"/>
  <c r="Q14" i="3"/>
  <c r="I148" i="3"/>
  <c r="R149" i="3"/>
  <c r="I87" i="3"/>
  <c r="M197" i="3"/>
  <c r="I105" i="3"/>
  <c r="N51" i="3"/>
  <c r="G108" i="3"/>
  <c r="O57" i="3"/>
  <c r="P62" i="3"/>
  <c r="L146" i="3"/>
  <c r="H109" i="3"/>
  <c r="M135" i="3"/>
  <c r="Q138" i="3"/>
  <c r="N130" i="3"/>
  <c r="N126" i="3"/>
  <c r="L226" i="3"/>
  <c r="O47" i="3"/>
  <c r="M172" i="3"/>
  <c r="N23" i="3"/>
  <c r="M33" i="3"/>
  <c r="R87" i="3"/>
  <c r="G19" i="3"/>
  <c r="O153" i="3"/>
  <c r="G109" i="3"/>
  <c r="M32" i="3"/>
  <c r="Q188" i="3"/>
  <c r="P139" i="3"/>
  <c r="R107" i="3"/>
  <c r="N164" i="3"/>
  <c r="M136" i="3"/>
  <c r="O109" i="3"/>
  <c r="Q215" i="3"/>
  <c r="N17" i="3"/>
  <c r="N149" i="3"/>
  <c r="Q34" i="3"/>
  <c r="Q43" i="3"/>
  <c r="P228" i="3"/>
  <c r="P105" i="3"/>
  <c r="H97" i="3"/>
  <c r="G81" i="3"/>
  <c r="I86" i="3"/>
  <c r="I63" i="3"/>
  <c r="Q93" i="3"/>
  <c r="N218" i="3"/>
  <c r="M183" i="3"/>
  <c r="Q15" i="3"/>
  <c r="R191" i="3"/>
  <c r="M175" i="3"/>
  <c r="P196" i="3"/>
  <c r="P181" i="3"/>
  <c r="Q86" i="3"/>
  <c r="L199" i="3"/>
  <c r="R50" i="3"/>
  <c r="P53" i="3"/>
  <c r="G152" i="3"/>
  <c r="N161" i="3"/>
  <c r="O124" i="3"/>
  <c r="Q109" i="3"/>
  <c r="P66" i="3"/>
  <c r="P148" i="3"/>
  <c r="L173" i="3"/>
  <c r="H105" i="3"/>
  <c r="P44" i="3"/>
  <c r="Q23" i="3"/>
  <c r="Q16" i="3"/>
  <c r="H131" i="3"/>
  <c r="R184" i="3"/>
  <c r="N74" i="3"/>
  <c r="O36" i="3"/>
  <c r="H99" i="3"/>
  <c r="P63" i="3"/>
  <c r="I115" i="3"/>
  <c r="P185" i="3"/>
  <c r="O54" i="3"/>
  <c r="N203" i="3"/>
  <c r="E113" i="3"/>
  <c r="Q219" i="3"/>
  <c r="Q224" i="3"/>
  <c r="R144" i="3"/>
  <c r="O219" i="3"/>
  <c r="H142" i="3"/>
  <c r="L20" i="3"/>
  <c r="N10" i="3"/>
  <c r="Q80" i="3"/>
  <c r="L218" i="3"/>
  <c r="O83" i="3"/>
  <c r="R205" i="3"/>
  <c r="Q83" i="3"/>
  <c r="P31" i="3"/>
  <c r="M80" i="3"/>
  <c r="R148" i="3"/>
  <c r="G46" i="3"/>
  <c r="O8" i="3"/>
  <c r="P210" i="3"/>
  <c r="M97" i="3"/>
  <c r="I99" i="3"/>
  <c r="P191" i="3"/>
  <c r="F73" i="3"/>
  <c r="O39" i="3"/>
  <c r="G106" i="3"/>
  <c r="M51" i="3"/>
  <c r="I120" i="3"/>
  <c r="R46" i="3"/>
  <c r="P4" i="3"/>
  <c r="M162" i="3"/>
  <c r="R152" i="3"/>
  <c r="P141" i="3"/>
  <c r="P79" i="3"/>
  <c r="M218" i="3"/>
  <c r="P201" i="3"/>
  <c r="G41" i="3"/>
  <c r="Q68" i="3"/>
  <c r="Q203" i="3"/>
  <c r="N168" i="3"/>
  <c r="M228" i="3"/>
  <c r="L145" i="3"/>
  <c r="R139" i="3"/>
  <c r="L188" i="3"/>
  <c r="L55" i="3"/>
  <c r="G28" i="3"/>
  <c r="I41" i="3"/>
  <c r="O130" i="3"/>
  <c r="M94" i="3"/>
  <c r="H111" i="3"/>
  <c r="H58" i="3"/>
  <c r="Q206" i="3"/>
  <c r="N198" i="3"/>
  <c r="N43" i="3"/>
  <c r="R51" i="3"/>
  <c r="L192" i="3"/>
  <c r="P102" i="3"/>
  <c r="O51" i="3"/>
  <c r="R33" i="3"/>
  <c r="R43" i="3"/>
  <c r="R217" i="3"/>
  <c r="L100" i="3"/>
  <c r="O128" i="3"/>
  <c r="M27" i="3"/>
  <c r="P154" i="3"/>
  <c r="Q205" i="3"/>
  <c r="I62" i="3"/>
  <c r="G26" i="3"/>
  <c r="Q69" i="3"/>
  <c r="Q98" i="3"/>
  <c r="O67" i="3"/>
  <c r="R186" i="3"/>
  <c r="Q62" i="3"/>
  <c r="Q12" i="3"/>
  <c r="L183" i="3"/>
  <c r="G154" i="3"/>
  <c r="M184" i="3"/>
  <c r="M152" i="3"/>
  <c r="N140" i="3"/>
  <c r="N104" i="3"/>
  <c r="R136" i="3"/>
  <c r="G123" i="3"/>
  <c r="N229" i="3"/>
  <c r="H35" i="3"/>
  <c r="N6" i="3"/>
  <c r="H15" i="3"/>
  <c r="M72" i="3"/>
  <c r="N196" i="3"/>
  <c r="L141" i="3"/>
  <c r="O112" i="3"/>
  <c r="N209" i="3"/>
  <c r="P77" i="3"/>
  <c r="L158" i="3"/>
  <c r="G24" i="3"/>
  <c r="G45" i="3"/>
  <c r="G39" i="3"/>
  <c r="M69" i="3"/>
  <c r="R76" i="3"/>
  <c r="I127" i="3"/>
  <c r="I68" i="3"/>
  <c r="Q142" i="3"/>
  <c r="M177" i="3"/>
  <c r="I152" i="3"/>
  <c r="P114" i="3"/>
  <c r="N115" i="3"/>
  <c r="P199" i="3"/>
  <c r="L182" i="3"/>
  <c r="N60" i="3"/>
  <c r="N116" i="3"/>
  <c r="N103" i="3"/>
  <c r="H155" i="3"/>
  <c r="L172" i="3"/>
  <c r="R82" i="3"/>
  <c r="E47" i="3"/>
  <c r="Q33" i="3"/>
  <c r="I19" i="3"/>
  <c r="P51" i="3"/>
  <c r="Q143" i="3"/>
  <c r="P48" i="3"/>
  <c r="R102" i="3"/>
  <c r="L116" i="3"/>
  <c r="P115" i="3"/>
  <c r="M86" i="3"/>
  <c r="Q27" i="3"/>
  <c r="M25" i="3"/>
  <c r="H134" i="3"/>
  <c r="L39" i="3"/>
  <c r="M164" i="3"/>
  <c r="G27" i="3"/>
  <c r="G93" i="3"/>
  <c r="I66" i="3"/>
  <c r="L75" i="3"/>
  <c r="O46" i="3"/>
  <c r="Q144" i="3"/>
  <c r="Q75" i="3"/>
  <c r="P108" i="3"/>
  <c r="P158" i="3"/>
  <c r="E75" i="3"/>
  <c r="R190" i="3"/>
  <c r="I6" i="3"/>
  <c r="O19" i="3"/>
  <c r="Q57" i="3"/>
  <c r="H53" i="3"/>
  <c r="L95" i="3"/>
  <c r="O158" i="3"/>
  <c r="G43" i="3"/>
  <c r="O88" i="3"/>
  <c r="G36" i="3"/>
  <c r="O117" i="3"/>
  <c r="I81" i="3"/>
  <c r="O34" i="3"/>
  <c r="N160" i="3"/>
  <c r="G130" i="3"/>
  <c r="M84" i="3"/>
  <c r="L18" i="3"/>
  <c r="B15" i="3"/>
  <c r="H65" i="3"/>
  <c r="G40" i="3"/>
  <c r="I134" i="3"/>
  <c r="L208" i="3"/>
  <c r="I101" i="3"/>
  <c r="O70" i="3"/>
  <c r="I83" i="3"/>
  <c r="L103" i="3"/>
  <c r="R55" i="3"/>
  <c r="L136" i="3"/>
  <c r="L135" i="3"/>
  <c r="Q111" i="3"/>
  <c r="N13" i="3"/>
  <c r="P46" i="3"/>
  <c r="N155" i="3"/>
  <c r="R220" i="3"/>
  <c r="N192" i="3"/>
  <c r="O159" i="3"/>
  <c r="L161" i="3"/>
  <c r="O120" i="3"/>
  <c r="L29" i="3"/>
  <c r="I124" i="3"/>
  <c r="M147" i="3"/>
  <c r="M188" i="3"/>
  <c r="O205" i="3"/>
  <c r="H27" i="3"/>
  <c r="G61" i="3"/>
  <c r="G155" i="3"/>
  <c r="Q130" i="3"/>
  <c r="O49" i="3"/>
  <c r="O147" i="3"/>
  <c r="N11" i="3"/>
  <c r="Q193" i="3"/>
  <c r="N177" i="3"/>
  <c r="M108" i="3"/>
  <c r="N217" i="3"/>
  <c r="O108" i="3"/>
  <c r="O222" i="3"/>
  <c r="N55" i="3"/>
  <c r="P216" i="3"/>
  <c r="R15" i="3"/>
  <c r="R195" i="3"/>
  <c r="F108" i="3"/>
  <c r="O208" i="3"/>
  <c r="R141" i="3"/>
  <c r="I59" i="3"/>
  <c r="M220" i="3"/>
  <c r="Q46" i="3"/>
  <c r="O127" i="3"/>
  <c r="N220" i="3"/>
  <c r="Q21" i="3"/>
  <c r="H70" i="3"/>
  <c r="O84" i="3"/>
  <c r="I100" i="3"/>
  <c r="R38" i="3"/>
  <c r="O225" i="3"/>
  <c r="Q67" i="3"/>
  <c r="H149" i="3"/>
  <c r="N158" i="3"/>
  <c r="R39" i="3"/>
  <c r="O58" i="3"/>
  <c r="L149" i="3"/>
  <c r="N190" i="3"/>
  <c r="R79" i="3"/>
  <c r="Q153" i="3"/>
  <c r="N182" i="3"/>
  <c r="N210" i="3"/>
  <c r="O119" i="3"/>
  <c r="N97" i="3"/>
  <c r="N129" i="3"/>
  <c r="Q156" i="3"/>
  <c r="N82" i="3"/>
  <c r="M178" i="3"/>
  <c r="Q122" i="3"/>
  <c r="G57" i="3"/>
  <c r="L191" i="3"/>
  <c r="P90" i="3"/>
  <c r="O107" i="3"/>
  <c r="P121" i="3"/>
  <c r="R40" i="3"/>
  <c r="P84" i="3"/>
  <c r="M34" i="3"/>
  <c r="Q45" i="3"/>
  <c r="Q136" i="3"/>
  <c r="N204" i="3"/>
  <c r="M194" i="3"/>
  <c r="I112" i="3"/>
  <c r="R4" i="3"/>
  <c r="M39" i="3"/>
  <c r="N69" i="3"/>
  <c r="N80" i="3"/>
  <c r="O224" i="3"/>
  <c r="R64" i="3"/>
  <c r="M75" i="3"/>
  <c r="I69" i="3"/>
  <c r="L63" i="3"/>
  <c r="I57" i="3"/>
  <c r="M111" i="3"/>
  <c r="M211" i="3"/>
  <c r="O113" i="3"/>
  <c r="N91" i="3"/>
  <c r="G129" i="3"/>
  <c r="Q29" i="3"/>
  <c r="G78" i="3"/>
  <c r="O162" i="3"/>
  <c r="R163" i="3"/>
  <c r="O32" i="3"/>
  <c r="P118" i="3"/>
  <c r="L219" i="3"/>
  <c r="O98" i="3"/>
  <c r="Q56" i="3"/>
  <c r="N108" i="3"/>
  <c r="N68" i="3"/>
  <c r="R174" i="3"/>
  <c r="M144" i="3"/>
  <c r="R214" i="3"/>
  <c r="G60" i="3"/>
  <c r="R71" i="3"/>
  <c r="Q58" i="3"/>
  <c r="M134" i="3"/>
  <c r="R54" i="3"/>
  <c r="Q192" i="3"/>
  <c r="O75" i="3"/>
  <c r="M169" i="3"/>
  <c r="E117" i="3"/>
  <c r="R133" i="3"/>
  <c r="R59" i="3"/>
  <c r="N184" i="3"/>
  <c r="H126" i="3"/>
  <c r="O171" i="3"/>
  <c r="I78" i="3"/>
  <c r="Q19" i="3"/>
  <c r="N165" i="3"/>
  <c r="G55" i="3"/>
  <c r="I32" i="3"/>
  <c r="I138" i="3"/>
  <c r="M67" i="3"/>
  <c r="P7" i="3"/>
  <c r="H61" i="3"/>
  <c r="O102" i="3"/>
  <c r="G136" i="3"/>
  <c r="N216" i="3"/>
  <c r="N138" i="3"/>
  <c r="O140" i="3"/>
  <c r="N157" i="3"/>
  <c r="G49" i="3"/>
  <c r="R228" i="3"/>
  <c r="P94" i="3"/>
  <c r="M74" i="3"/>
  <c r="L90" i="3"/>
  <c r="I65" i="3"/>
  <c r="O179" i="3"/>
  <c r="E23" i="3"/>
  <c r="E93" i="3"/>
  <c r="Q182" i="3"/>
  <c r="R75" i="3"/>
  <c r="I42" i="3"/>
  <c r="M158" i="3"/>
  <c r="R100" i="3"/>
  <c r="N128" i="3"/>
  <c r="H81" i="3"/>
  <c r="Q197" i="3"/>
  <c r="M70" i="3"/>
  <c r="L84" i="3"/>
  <c r="P83" i="3"/>
  <c r="G100" i="3"/>
  <c r="H18" i="3"/>
  <c r="P187" i="3"/>
  <c r="R218" i="3"/>
  <c r="N48" i="3"/>
  <c r="Q115" i="3"/>
  <c r="I95" i="3"/>
  <c r="M187" i="3"/>
  <c r="P65" i="3"/>
  <c r="G50" i="3"/>
  <c r="G29" i="3"/>
  <c r="O23" i="3"/>
  <c r="G143" i="3"/>
  <c r="I140" i="3"/>
  <c r="H37" i="3"/>
  <c r="G75" i="3"/>
  <c r="P126" i="3"/>
  <c r="L212" i="3"/>
  <c r="N212" i="3"/>
  <c r="I121" i="3"/>
  <c r="R92" i="3"/>
  <c r="L222" i="3"/>
  <c r="I25" i="3"/>
  <c r="R221" i="3"/>
  <c r="I17" i="3"/>
  <c r="O11" i="3"/>
  <c r="Q113" i="3"/>
  <c r="H89" i="3"/>
  <c r="P82" i="3"/>
  <c r="N195" i="3"/>
  <c r="I50" i="3"/>
  <c r="M199" i="3"/>
  <c r="N93" i="3"/>
  <c r="O26" i="3"/>
  <c r="Q28" i="3"/>
  <c r="O72" i="3"/>
  <c r="M54" i="3"/>
  <c r="L64" i="3"/>
  <c r="L19" i="3"/>
  <c r="O105" i="3"/>
  <c r="L204" i="3"/>
  <c r="M110" i="3"/>
  <c r="M156" i="3"/>
  <c r="H56" i="3"/>
  <c r="F94" i="3"/>
  <c r="H9" i="3"/>
  <c r="H117" i="3"/>
  <c r="G58" i="3"/>
  <c r="N61" i="3"/>
  <c r="O21" i="3"/>
  <c r="I142" i="3"/>
  <c r="N178" i="3"/>
  <c r="H43" i="3"/>
  <c r="R48" i="3"/>
  <c r="P129" i="3"/>
  <c r="I92" i="3"/>
  <c r="Q140" i="3"/>
  <c r="L96" i="3"/>
  <c r="O131" i="3"/>
  <c r="L36" i="3"/>
  <c r="Q196" i="3"/>
  <c r="H140" i="3"/>
  <c r="G34" i="3"/>
  <c r="O156" i="3"/>
  <c r="I93" i="3"/>
  <c r="L195" i="3"/>
  <c r="P119" i="3"/>
  <c r="R41" i="3"/>
  <c r="M104" i="3"/>
  <c r="F117" i="3"/>
  <c r="Q104" i="3"/>
  <c r="P193" i="3"/>
  <c r="L6" i="3"/>
  <c r="L102" i="3"/>
  <c r="O25" i="3"/>
  <c r="R178" i="3"/>
  <c r="H114" i="3"/>
  <c r="N122" i="3"/>
  <c r="P171" i="3"/>
  <c r="O77" i="3"/>
  <c r="O215" i="3"/>
  <c r="I53" i="3"/>
  <c r="P213" i="3"/>
  <c r="O220" i="3"/>
  <c r="N179" i="3"/>
  <c r="R25" i="3"/>
  <c r="Q41" i="3"/>
  <c r="Q230" i="3"/>
  <c r="N94" i="3"/>
  <c r="R85" i="3"/>
  <c r="P133" i="3"/>
  <c r="M227" i="3"/>
  <c r="L165" i="3"/>
  <c r="O161" i="3"/>
  <c r="Q208" i="3"/>
  <c r="Q221" i="3"/>
  <c r="P211" i="3"/>
  <c r="O189" i="3"/>
  <c r="P58" i="3"/>
  <c r="G139" i="3"/>
  <c r="O7" i="3"/>
  <c r="I89" i="3"/>
  <c r="L62" i="3"/>
  <c r="R119" i="3"/>
  <c r="N70" i="3"/>
  <c r="P30" i="3"/>
  <c r="M132" i="3"/>
  <c r="F46" i="3"/>
  <c r="I133" i="3"/>
  <c r="M128" i="3"/>
  <c r="M62" i="3"/>
  <c r="R70" i="3"/>
  <c r="R215" i="3"/>
  <c r="E109" i="3"/>
  <c r="P14" i="3"/>
  <c r="L12" i="3"/>
  <c r="L113" i="3"/>
  <c r="R14" i="3"/>
  <c r="P219" i="3"/>
  <c r="L117" i="3"/>
  <c r="N106" i="3"/>
  <c r="H148" i="3"/>
  <c r="P155" i="3"/>
  <c r="Q209" i="3"/>
  <c r="Q171" i="3"/>
  <c r="H30" i="3"/>
  <c r="Q201" i="3"/>
  <c r="M141" i="3"/>
  <c r="M140" i="3"/>
  <c r="R74" i="3"/>
  <c r="N113" i="3"/>
  <c r="I96" i="3"/>
  <c r="M119" i="3"/>
  <c r="P157" i="3"/>
  <c r="R68" i="3"/>
  <c r="N206" i="3"/>
  <c r="I123" i="3"/>
  <c r="O154" i="3"/>
  <c r="M208" i="3"/>
  <c r="O178" i="3"/>
  <c r="H122" i="3"/>
  <c r="L91" i="3"/>
  <c r="I103" i="3"/>
  <c r="L151" i="3"/>
  <c r="Q103" i="3"/>
  <c r="L104" i="3"/>
  <c r="M126" i="3"/>
  <c r="M157" i="3"/>
  <c r="R188" i="3"/>
  <c r="P136" i="3"/>
  <c r="P188" i="3"/>
  <c r="L213" i="3"/>
  <c r="R129" i="3"/>
  <c r="Q97" i="3"/>
  <c r="L147" i="3"/>
  <c r="N14" i="3"/>
  <c r="P56" i="3"/>
  <c r="H33" i="3"/>
  <c r="P220" i="3"/>
  <c r="G86" i="3"/>
  <c r="N19" i="3"/>
  <c r="O40" i="3"/>
  <c r="I40" i="3"/>
  <c r="O218" i="3"/>
  <c r="M142" i="3"/>
  <c r="P176" i="3"/>
  <c r="G77" i="3"/>
  <c r="M116" i="3"/>
  <c r="P117" i="3"/>
  <c r="I149" i="3"/>
  <c r="N163" i="3"/>
  <c r="G144" i="3"/>
  <c r="M122" i="3"/>
  <c r="L28" i="3"/>
  <c r="M217" i="3"/>
  <c r="I126" i="3"/>
  <c r="P106" i="3"/>
  <c r="N66" i="3"/>
  <c r="L140" i="3"/>
  <c r="R31" i="3"/>
  <c r="G134" i="3"/>
  <c r="H41" i="3"/>
  <c r="N214" i="3"/>
  <c r="N174" i="3"/>
  <c r="Q101" i="3"/>
  <c r="Q133" i="3"/>
  <c r="G121" i="3"/>
  <c r="L217" i="3"/>
  <c r="O132" i="3"/>
  <c r="P22" i="3"/>
  <c r="R132" i="3"/>
  <c r="M114" i="3"/>
  <c r="R120" i="3"/>
  <c r="H100" i="3"/>
  <c r="M216" i="3"/>
  <c r="R126" i="3"/>
  <c r="I153" i="3"/>
  <c r="I125" i="3"/>
  <c r="O110" i="3"/>
  <c r="Q20" i="3"/>
  <c r="P161" i="3"/>
  <c r="G110" i="3"/>
  <c r="Q141" i="3"/>
  <c r="P151" i="3"/>
  <c r="R88" i="3"/>
  <c r="P125" i="3"/>
  <c r="R138" i="3"/>
  <c r="R29" i="3"/>
  <c r="Q124" i="3"/>
  <c r="R44" i="3"/>
  <c r="P72" i="3"/>
  <c r="N230" i="3"/>
  <c r="O111" i="3"/>
  <c r="P186" i="3"/>
  <c r="R131" i="3"/>
  <c r="Q76" i="3"/>
  <c r="M176" i="3"/>
  <c r="G150" i="3"/>
  <c r="L186" i="3"/>
  <c r="P142" i="3"/>
  <c r="O145" i="3"/>
  <c r="O203" i="3"/>
  <c r="L22" i="3"/>
  <c r="I85" i="3"/>
  <c r="L78" i="3"/>
  <c r="G115" i="3"/>
  <c r="Q9" i="3"/>
  <c r="H22" i="3"/>
  <c r="H23" i="3"/>
  <c r="Q185" i="3"/>
  <c r="Q79" i="3"/>
  <c r="P67" i="3"/>
  <c r="R124" i="3"/>
  <c r="G64" i="3"/>
  <c r="M214" i="3"/>
  <c r="N95" i="3"/>
  <c r="L138" i="3"/>
  <c r="R13" i="3"/>
  <c r="P173" i="3"/>
  <c r="H146" i="3"/>
  <c r="R98" i="3"/>
  <c r="G10" i="3"/>
  <c r="Q169" i="3"/>
  <c r="O86" i="3"/>
  <c r="O148" i="3"/>
  <c r="O137" i="3"/>
  <c r="M130" i="3"/>
  <c r="N133" i="3"/>
  <c r="R193" i="3"/>
  <c r="L220" i="3"/>
  <c r="H121" i="3"/>
  <c r="P12" i="3"/>
  <c r="F106" i="3"/>
  <c r="L99" i="3"/>
  <c r="R146" i="3"/>
  <c r="R77" i="3"/>
  <c r="L73" i="3"/>
  <c r="O90" i="3"/>
  <c r="R209" i="3"/>
  <c r="N78" i="3"/>
  <c r="P209" i="3"/>
  <c r="I143" i="3"/>
  <c r="Q85" i="3"/>
  <c r="G17" i="3"/>
  <c r="G114" i="3"/>
  <c r="P208" i="3"/>
  <c r="N54" i="3"/>
  <c r="O35" i="3"/>
  <c r="M102" i="3"/>
  <c r="G148" i="3"/>
  <c r="I14" i="3"/>
  <c r="H150" i="3"/>
  <c r="R62" i="3"/>
  <c r="R32" i="3"/>
  <c r="N143" i="3"/>
  <c r="G88" i="3"/>
  <c r="M161" i="3"/>
  <c r="Q191" i="3"/>
  <c r="Q174" i="3"/>
  <c r="O216" i="3"/>
  <c r="O167" i="3"/>
  <c r="N92" i="3"/>
  <c r="L154" i="3"/>
  <c r="N86" i="3"/>
  <c r="O142" i="3"/>
  <c r="Q176" i="3"/>
  <c r="N100" i="3"/>
  <c r="O97" i="3"/>
  <c r="O48" i="3"/>
  <c r="G102" i="3"/>
  <c r="L85" i="3"/>
  <c r="I49" i="3"/>
  <c r="L131" i="3"/>
  <c r="P111" i="3"/>
  <c r="L44" i="3"/>
  <c r="L133" i="3"/>
  <c r="N225" i="3"/>
  <c r="N222" i="3"/>
  <c r="H98" i="3"/>
  <c r="M222" i="3"/>
  <c r="Q120" i="3"/>
  <c r="I77" i="3"/>
  <c r="H132" i="3"/>
  <c r="R187" i="3"/>
  <c r="R140" i="3"/>
  <c r="I38" i="3"/>
  <c r="G137" i="3"/>
  <c r="L229" i="3"/>
  <c r="G80" i="3"/>
  <c r="H20" i="3"/>
  <c r="M11" i="3"/>
  <c r="P23" i="3"/>
  <c r="I122" i="3"/>
  <c r="R229" i="3"/>
  <c r="H10" i="3"/>
  <c r="O55" i="3"/>
  <c r="L46" i="3"/>
  <c r="N15" i="3"/>
  <c r="I35" i="3"/>
  <c r="M95" i="3"/>
  <c r="P217" i="3"/>
  <c r="Q195" i="3"/>
  <c r="H38" i="3"/>
  <c r="G99" i="3"/>
  <c r="Q175" i="3"/>
  <c r="G90" i="3"/>
  <c r="G13" i="3"/>
  <c r="L71" i="3"/>
  <c r="G128" i="3"/>
  <c r="M139" i="3"/>
  <c r="O15" i="3"/>
  <c r="L168" i="3"/>
  <c r="R157" i="3"/>
  <c r="M129" i="3"/>
  <c r="N147" i="3"/>
  <c r="L137" i="3"/>
  <c r="R224" i="3"/>
  <c r="H59" i="3"/>
  <c r="G65" i="3"/>
  <c r="G52" i="3"/>
  <c r="M209" i="3"/>
  <c r="M198" i="3"/>
  <c r="O172" i="3"/>
  <c r="H7" i="3"/>
  <c r="R60" i="3"/>
  <c r="L159" i="3"/>
  <c r="L65" i="3"/>
  <c r="P166" i="3"/>
  <c r="O195" i="3"/>
  <c r="N21" i="3"/>
  <c r="M115" i="3"/>
  <c r="N29" i="3"/>
  <c r="R123" i="3"/>
  <c r="O192" i="3"/>
  <c r="N79" i="3"/>
  <c r="G79" i="3"/>
  <c r="P21" i="3"/>
  <c r="N35" i="3"/>
  <c r="L123" i="3"/>
  <c r="R164" i="3"/>
  <c r="O78" i="3"/>
  <c r="P203" i="3"/>
  <c r="N194" i="3"/>
  <c r="L11" i="3"/>
  <c r="G87" i="3"/>
  <c r="L42" i="3"/>
  <c r="R34" i="3"/>
  <c r="M185" i="3"/>
  <c r="N173" i="3"/>
  <c r="P226" i="3"/>
  <c r="O151" i="3"/>
  <c r="M85" i="3"/>
  <c r="R225" i="3"/>
  <c r="R111" i="3"/>
  <c r="L83" i="3"/>
  <c r="R18" i="3"/>
  <c r="Q96" i="3"/>
  <c r="L37" i="3"/>
  <c r="L4" i="3"/>
  <c r="M105" i="3"/>
  <c r="N24" i="3"/>
  <c r="Q50" i="3"/>
  <c r="R86" i="3"/>
  <c r="M143" i="3"/>
  <c r="R91" i="3"/>
  <c r="O37" i="3"/>
  <c r="N181" i="3"/>
  <c r="N88" i="3"/>
  <c r="O196" i="3"/>
  <c r="L35" i="3"/>
  <c r="G96" i="3"/>
  <c r="F113" i="3"/>
  <c r="L164" i="3"/>
  <c r="G63" i="3"/>
  <c r="H60" i="3"/>
  <c r="I129" i="3"/>
  <c r="M109" i="3"/>
  <c r="N131" i="3"/>
  <c r="G32" i="3"/>
  <c r="N30" i="3"/>
  <c r="H107" i="3"/>
  <c r="G62" i="3"/>
  <c r="L43" i="3"/>
  <c r="O22" i="3"/>
  <c r="M154" i="3"/>
  <c r="P172" i="3"/>
  <c r="Q88" i="3"/>
  <c r="L69" i="3"/>
  <c r="N65" i="3"/>
  <c r="F60" i="3"/>
  <c r="O166" i="3"/>
  <c r="L209" i="3"/>
  <c r="N53" i="3"/>
  <c r="G5" i="3"/>
  <c r="R230" i="3"/>
  <c r="P101" i="3"/>
  <c r="N46" i="3"/>
  <c r="N185" i="3"/>
  <c r="O197" i="3"/>
  <c r="O160" i="3"/>
  <c r="N76" i="3"/>
  <c r="G74" i="3"/>
  <c r="I84" i="3"/>
  <c r="R167" i="3"/>
  <c r="I75" i="3"/>
  <c r="P189" i="3"/>
  <c r="Q106" i="3"/>
  <c r="N134" i="3"/>
  <c r="O81" i="3"/>
  <c r="N180" i="3"/>
  <c r="L25" i="3"/>
  <c r="O5" i="3"/>
  <c r="O24" i="3"/>
  <c r="I15" i="3"/>
  <c r="I5" i="3"/>
  <c r="Q158" i="3"/>
  <c r="H80" i="3"/>
  <c r="H44" i="3"/>
  <c r="R151" i="3"/>
  <c r="L139" i="3"/>
  <c r="Q17" i="3"/>
  <c r="R185" i="3"/>
  <c r="P138" i="3"/>
  <c r="I119" i="3"/>
  <c r="P145" i="3"/>
  <c r="Q72" i="3"/>
  <c r="L93" i="3"/>
  <c r="N120" i="3"/>
  <c r="H57" i="3"/>
  <c r="O27" i="3"/>
  <c r="N45" i="3"/>
  <c r="O96" i="3"/>
  <c r="M226" i="3"/>
  <c r="H93" i="3"/>
  <c r="M45" i="3"/>
  <c r="Q172" i="3"/>
  <c r="O104" i="3"/>
  <c r="O212" i="3"/>
  <c r="P50" i="3"/>
  <c r="H54" i="3"/>
  <c r="O150" i="3"/>
  <c r="L119" i="3"/>
  <c r="Q30" i="3"/>
  <c r="G76" i="3"/>
  <c r="L68" i="3"/>
  <c r="L174" i="3"/>
  <c r="M89" i="3"/>
  <c r="G82" i="3"/>
  <c r="I73" i="3"/>
  <c r="G104" i="3"/>
  <c r="L224" i="3"/>
  <c r="R145" i="3"/>
  <c r="Q178" i="3"/>
  <c r="M100" i="3"/>
  <c r="M90" i="3"/>
  <c r="R197" i="3"/>
  <c r="O44" i="3"/>
  <c r="O33" i="3"/>
  <c r="Q199" i="3"/>
  <c r="M66" i="3"/>
  <c r="O155" i="3"/>
  <c r="O28" i="3"/>
  <c r="P169" i="3"/>
  <c r="P223" i="3"/>
  <c r="N199" i="3"/>
  <c r="Q118" i="3"/>
  <c r="O175" i="3"/>
  <c r="R63" i="3"/>
  <c r="I58" i="3"/>
  <c r="L15" i="3"/>
  <c r="R97" i="3"/>
  <c r="N183" i="3"/>
  <c r="R24" i="3"/>
  <c r="O185" i="3"/>
  <c r="P75" i="3"/>
  <c r="O168" i="3"/>
  <c r="L148" i="3"/>
  <c r="P227" i="3"/>
  <c r="G59" i="3"/>
  <c r="M44" i="3"/>
  <c r="N107" i="3"/>
  <c r="O74" i="3"/>
  <c r="O191" i="3"/>
  <c r="Q149" i="3"/>
  <c r="G131" i="3"/>
  <c r="R125" i="3"/>
  <c r="I79" i="3"/>
  <c r="R121" i="3"/>
  <c r="Q229" i="3"/>
  <c r="P140" i="3"/>
  <c r="P35" i="3"/>
  <c r="P42" i="3"/>
  <c r="R115" i="3"/>
  <c r="P8" i="3"/>
  <c r="I90" i="3"/>
  <c r="L178" i="3"/>
  <c r="M40" i="3"/>
  <c r="R28" i="3"/>
  <c r="R192" i="3"/>
  <c r="M78" i="3"/>
  <c r="N89" i="3"/>
  <c r="G103" i="3"/>
  <c r="P120" i="3"/>
  <c r="E51" i="3"/>
  <c r="N31" i="3"/>
  <c r="R104" i="3"/>
  <c r="L105" i="3"/>
  <c r="H94" i="3"/>
  <c r="O41" i="3"/>
  <c r="M151" i="3"/>
  <c r="I132" i="3"/>
  <c r="P230" i="3"/>
  <c r="H144" i="3"/>
  <c r="P149" i="3"/>
  <c r="P39" i="3"/>
  <c r="R3" i="3"/>
  <c r="M101" i="3"/>
  <c r="Q94" i="3"/>
  <c r="O180" i="3"/>
  <c r="G119" i="3"/>
  <c r="M88" i="3"/>
  <c r="O228" i="3"/>
  <c r="H52" i="3"/>
  <c r="O187" i="3"/>
  <c r="G25" i="3"/>
  <c r="O227" i="3"/>
  <c r="H72" i="3"/>
  <c r="Q207" i="3"/>
  <c r="I39" i="3"/>
  <c r="M29" i="3"/>
  <c r="O43" i="3"/>
  <c r="N154" i="3"/>
  <c r="O125" i="3"/>
  <c r="H102" i="3"/>
  <c r="L9" i="3"/>
  <c r="P229" i="3"/>
  <c r="H64" i="3"/>
  <c r="L110" i="3"/>
  <c r="N145" i="3"/>
  <c r="M16" i="3"/>
  <c r="R94" i="3"/>
  <c r="H39" i="3"/>
  <c r="P170" i="3"/>
  <c r="P25" i="3"/>
  <c r="G113" i="3"/>
  <c r="H83" i="3"/>
  <c r="R65" i="3"/>
  <c r="H63" i="3"/>
  <c r="P104" i="3"/>
  <c r="R210" i="3"/>
  <c r="M192" i="3"/>
  <c r="P183" i="3"/>
  <c r="R42" i="3"/>
  <c r="M96" i="3"/>
  <c r="Q128" i="3"/>
  <c r="Q121" i="3"/>
  <c r="O114" i="3"/>
  <c r="Q77" i="3"/>
  <c r="L125" i="3"/>
  <c r="P221" i="3"/>
  <c r="L107" i="3"/>
  <c r="O121" i="3"/>
  <c r="N8" i="3"/>
  <c r="N81" i="3"/>
  <c r="O60" i="3"/>
  <c r="M121" i="3"/>
  <c r="R22" i="3"/>
  <c r="L152" i="3"/>
  <c r="R27" i="3"/>
  <c r="Q164" i="3"/>
  <c r="L5" i="3"/>
  <c r="Q81" i="3"/>
  <c r="Q110" i="3"/>
  <c r="M13" i="3"/>
  <c r="H147" i="3"/>
  <c r="P54" i="3"/>
  <c r="M6" i="3"/>
  <c r="L26" i="3"/>
  <c r="R69" i="3"/>
  <c r="G142" i="3"/>
  <c r="M229" i="3"/>
  <c r="L185" i="3"/>
  <c r="L23" i="3"/>
  <c r="R180" i="3"/>
  <c r="N99" i="3"/>
  <c r="E4" i="3"/>
  <c r="O73" i="3"/>
  <c r="P137" i="3"/>
  <c r="N144" i="3"/>
  <c r="M160" i="3"/>
  <c r="H24" i="3"/>
  <c r="N16" i="3"/>
  <c r="P16" i="3"/>
  <c r="O214" i="3"/>
  <c r="M92" i="3"/>
  <c r="M20" i="3"/>
  <c r="I27" i="3"/>
  <c r="O229" i="3"/>
  <c r="R202" i="3"/>
  <c r="O76" i="3"/>
  <c r="M18" i="3"/>
  <c r="I28" i="3"/>
  <c r="N84" i="3"/>
  <c r="Q18" i="3"/>
  <c r="G138" i="3"/>
  <c r="I13" i="3"/>
  <c r="I82" i="3"/>
  <c r="Q25" i="3"/>
  <c r="Q154" i="3"/>
  <c r="H28" i="3"/>
  <c r="I36" i="3"/>
  <c r="L108" i="3"/>
  <c r="M59" i="3"/>
  <c r="L163" i="3"/>
  <c r="H68" i="3"/>
  <c r="G91" i="3"/>
  <c r="G101" i="3"/>
  <c r="L202" i="3"/>
  <c r="F21" i="3"/>
  <c r="I23" i="3"/>
  <c r="I47" i="3"/>
  <c r="R176" i="3"/>
  <c r="Q54" i="3"/>
  <c r="R130" i="3"/>
  <c r="P34" i="3"/>
  <c r="Q163" i="3"/>
  <c r="O134" i="3"/>
  <c r="P59" i="3"/>
  <c r="P24" i="3"/>
  <c r="Q179" i="3"/>
  <c r="I137" i="3"/>
  <c r="I7" i="3"/>
  <c r="R134" i="3"/>
  <c r="Q95" i="3"/>
  <c r="P29" i="3"/>
  <c r="M17" i="3"/>
  <c r="R105" i="3"/>
  <c r="H123" i="3"/>
  <c r="P153" i="3"/>
  <c r="R166" i="3"/>
  <c r="I30" i="3"/>
  <c r="G56" i="3"/>
  <c r="I147" i="3"/>
  <c r="R93" i="3"/>
  <c r="G116" i="3"/>
  <c r="L61" i="3"/>
  <c r="Q125" i="3"/>
  <c r="Q181" i="3"/>
  <c r="Q173" i="3"/>
  <c r="I3" i="3"/>
  <c r="L184" i="3"/>
  <c r="G111" i="3"/>
  <c r="N109" i="3"/>
  <c r="Q225" i="3"/>
  <c r="H25" i="3"/>
  <c r="P177" i="3"/>
  <c r="Q117" i="3"/>
  <c r="Q150" i="3"/>
  <c r="H92" i="3"/>
  <c r="L115" i="3"/>
  <c r="O59" i="3"/>
  <c r="N102" i="3"/>
  <c r="L201" i="3"/>
  <c r="Q10" i="3"/>
  <c r="L227" i="3"/>
  <c r="Q64" i="3"/>
  <c r="L169" i="3"/>
  <c r="R37" i="3"/>
  <c r="N151" i="3"/>
  <c r="Q49" i="3"/>
  <c r="P103" i="3"/>
  <c r="G54" i="3"/>
  <c r="H73" i="3"/>
  <c r="Q187" i="3"/>
  <c r="M182" i="3"/>
  <c r="I144" i="3"/>
  <c r="H67" i="3"/>
  <c r="I145" i="3"/>
  <c r="Q139" i="3"/>
  <c r="R161" i="3"/>
  <c r="G9" i="3"/>
  <c r="M8" i="3"/>
  <c r="Q114" i="3"/>
  <c r="R61" i="3"/>
  <c r="L109" i="3"/>
  <c r="H13" i="3"/>
  <c r="R90" i="3"/>
  <c r="L128" i="3"/>
  <c r="M36" i="3"/>
  <c r="M37" i="3"/>
  <c r="H120" i="3"/>
  <c r="L21" i="3"/>
  <c r="M219" i="3"/>
  <c r="N75" i="3"/>
  <c r="O13" i="3"/>
  <c r="O221" i="3"/>
  <c r="O152" i="3"/>
  <c r="N28" i="3"/>
  <c r="N169" i="3"/>
  <c r="R21" i="3"/>
  <c r="N34" i="3"/>
  <c r="P113" i="3"/>
  <c r="M113" i="3"/>
  <c r="H75" i="3"/>
  <c r="R113" i="3"/>
  <c r="P60" i="3"/>
  <c r="H21" i="3"/>
  <c r="F14" i="3"/>
  <c r="L122" i="3"/>
  <c r="G48" i="3"/>
  <c r="E14" i="3"/>
  <c r="L142" i="3"/>
  <c r="N188" i="3"/>
  <c r="R127" i="3"/>
  <c r="L80" i="3"/>
  <c r="M93" i="3"/>
  <c r="H145" i="3"/>
  <c r="P174" i="3"/>
  <c r="G42" i="3"/>
  <c r="N224" i="3"/>
  <c r="N26" i="3"/>
  <c r="M223" i="3"/>
  <c r="Q194" i="3"/>
  <c r="L221" i="3"/>
  <c r="Q183" i="3"/>
  <c r="Q123" i="3"/>
  <c r="Q165" i="3"/>
  <c r="R201" i="3"/>
  <c r="L72" i="3"/>
  <c r="O65" i="3"/>
  <c r="Q180" i="3"/>
  <c r="I12" i="3"/>
  <c r="M103" i="3"/>
  <c r="O177" i="3"/>
  <c r="O146" i="3"/>
  <c r="L167" i="3"/>
  <c r="Q99" i="3"/>
  <c r="H129" i="3"/>
  <c r="M201" i="3"/>
  <c r="H104" i="3"/>
  <c r="Q226" i="3"/>
  <c r="Q222" i="3"/>
  <c r="P9" i="3"/>
  <c r="O42" i="3"/>
  <c r="O194" i="3"/>
  <c r="H49" i="3"/>
  <c r="R108" i="3"/>
  <c r="L58" i="3"/>
  <c r="L187" i="3"/>
  <c r="B9" i="3"/>
  <c r="Q90" i="3"/>
  <c r="M112" i="3"/>
  <c r="G22" i="3"/>
  <c r="N38" i="3"/>
  <c r="H19" i="3"/>
  <c r="N123" i="3"/>
  <c r="P231" i="3"/>
  <c r="P17" i="3"/>
  <c r="M146" i="3"/>
  <c r="H96" i="3"/>
  <c r="R183" i="3"/>
  <c r="R200" i="3"/>
  <c r="O52" i="3"/>
  <c r="R219" i="3"/>
  <c r="P92" i="3"/>
  <c r="O170" i="3"/>
  <c r="M167" i="3"/>
  <c r="M24" i="3"/>
  <c r="M149" i="3"/>
  <c r="M163" i="3"/>
  <c r="H137" i="3"/>
  <c r="P57" i="3"/>
  <c r="L34" i="3"/>
  <c r="Q214" i="3"/>
  <c r="N63" i="3"/>
  <c r="I31" i="3"/>
  <c r="M127" i="3"/>
  <c r="M200" i="3"/>
  <c r="N170" i="3"/>
  <c r="P147" i="3"/>
  <c r="M168" i="3"/>
  <c r="P212" i="3"/>
  <c r="O80" i="3"/>
  <c r="G15" i="3"/>
  <c r="L101" i="3"/>
  <c r="M9" i="3"/>
  <c r="N228" i="3"/>
  <c r="M159" i="3"/>
  <c r="L127" i="3"/>
  <c r="H36" i="3"/>
  <c r="O174" i="3"/>
  <c r="N150" i="3"/>
  <c r="H154" i="3"/>
  <c r="P222" i="3"/>
  <c r="I94" i="3"/>
  <c r="M202" i="3"/>
  <c r="O93" i="3"/>
  <c r="N139" i="3"/>
  <c r="P165" i="3"/>
  <c r="I128" i="3"/>
  <c r="G146" i="3"/>
  <c r="P225" i="3"/>
  <c r="M186" i="3"/>
  <c r="N162" i="3"/>
  <c r="L67" i="3"/>
  <c r="N72" i="3"/>
  <c r="R114" i="3"/>
  <c r="H66" i="3"/>
  <c r="I46" i="3"/>
  <c r="N127" i="3"/>
  <c r="R203" i="3"/>
  <c r="N114" i="3"/>
  <c r="G6" i="3"/>
  <c r="R168" i="3"/>
  <c r="B5" i="3"/>
  <c r="P197" i="3"/>
  <c r="P112" i="3"/>
  <c r="H116" i="3"/>
  <c r="P6" i="3"/>
  <c r="N52" i="3"/>
  <c r="M60" i="3"/>
  <c r="P206" i="3"/>
  <c r="O62" i="3"/>
  <c r="P144" i="3"/>
  <c r="L228" i="3"/>
  <c r="P107" i="3"/>
  <c r="R182" i="3"/>
  <c r="O181" i="3"/>
  <c r="N201" i="3"/>
  <c r="P47" i="3"/>
  <c r="P33" i="3"/>
  <c r="N166" i="3"/>
  <c r="R5" i="3"/>
  <c r="L56" i="3"/>
  <c r="N44" i="3"/>
  <c r="M55" i="3"/>
  <c r="I91" i="3"/>
  <c r="R226" i="3"/>
  <c r="Q66" i="3"/>
  <c r="G35" i="3"/>
  <c r="M179" i="3"/>
  <c r="P55" i="3"/>
  <c r="R162" i="3"/>
  <c r="H82" i="3"/>
  <c r="G107" i="3"/>
  <c r="Q59" i="3"/>
  <c r="N58" i="3"/>
  <c r="I76" i="3"/>
  <c r="G20" i="3"/>
  <c r="L206" i="3"/>
  <c r="G18" i="3"/>
  <c r="O157" i="3"/>
  <c r="O4" i="3"/>
  <c r="Q87" i="3"/>
  <c r="O182" i="3"/>
  <c r="O210" i="3"/>
  <c r="Q166" i="3"/>
  <c r="R45" i="3"/>
  <c r="I136" i="3"/>
  <c r="O138" i="3"/>
  <c r="H47" i="3"/>
  <c r="O87" i="3"/>
  <c r="O94" i="3"/>
  <c r="R36" i="3"/>
  <c r="L177" i="3"/>
  <c r="L223" i="3"/>
  <c r="L180" i="3"/>
  <c r="Q216" i="3"/>
  <c r="O30" i="3"/>
  <c r="N73" i="3"/>
  <c r="Q91" i="3"/>
  <c r="L160" i="3"/>
  <c r="M193" i="3"/>
  <c r="D15" i="3"/>
  <c r="F56" i="3"/>
  <c r="F139" i="3"/>
  <c r="F105" i="3"/>
  <c r="E80" i="3"/>
  <c r="E42" i="3"/>
  <c r="F43" i="3"/>
  <c r="F156" i="1" l="1"/>
  <c r="U10" i="3"/>
  <c r="X9" i="3"/>
  <c r="W9" i="3"/>
  <c r="V9" i="3"/>
  <c r="G156" i="1"/>
  <c r="H156" i="1"/>
  <c r="F157" i="1" l="1"/>
  <c r="U11" i="3"/>
  <c r="V10" i="3"/>
  <c r="W10" i="3"/>
  <c r="X10" i="3"/>
  <c r="H157" i="1"/>
  <c r="G157" i="1"/>
  <c r="B10" i="3"/>
  <c r="F158" i="1" l="1"/>
  <c r="U12" i="3"/>
  <c r="X11" i="3"/>
  <c r="W11" i="3"/>
  <c r="V11" i="3"/>
  <c r="G158" i="1"/>
  <c r="H158" i="1"/>
  <c r="F85" i="3"/>
  <c r="F19" i="3"/>
  <c r="E31" i="3"/>
  <c r="B13" i="3"/>
  <c r="F103" i="3"/>
  <c r="F159" i="1" l="1"/>
  <c r="U13" i="3"/>
  <c r="V12" i="3"/>
  <c r="X12" i="3"/>
  <c r="W12" i="3"/>
  <c r="H159" i="1"/>
  <c r="G159" i="1"/>
  <c r="E116" i="3"/>
  <c r="E44" i="3"/>
  <c r="F124" i="3"/>
  <c r="C12" i="3"/>
  <c r="F90" i="3"/>
  <c r="E60" i="3"/>
  <c r="F160" i="1" l="1"/>
  <c r="U14" i="3"/>
  <c r="X13" i="3"/>
  <c r="V13" i="3"/>
  <c r="W13" i="3"/>
  <c r="G160" i="1"/>
  <c r="H160" i="1"/>
  <c r="F18" i="3"/>
  <c r="B16" i="3"/>
  <c r="F122" i="3"/>
  <c r="F161" i="1" l="1"/>
  <c r="U15" i="3"/>
  <c r="X14" i="3"/>
  <c r="W14" i="3"/>
  <c r="V14" i="3"/>
  <c r="H161" i="1"/>
  <c r="G161" i="1"/>
  <c r="F130" i="3"/>
  <c r="F162" i="1" l="1"/>
  <c r="U16" i="3"/>
  <c r="V15" i="3"/>
  <c r="W15" i="3"/>
  <c r="X15" i="3"/>
  <c r="G162" i="1"/>
  <c r="H162" i="1"/>
  <c r="E15" i="3"/>
  <c r="E49" i="3"/>
  <c r="F123" i="3"/>
  <c r="E139" i="3"/>
  <c r="E97" i="3"/>
  <c r="E131" i="3"/>
  <c r="F9" i="3"/>
  <c r="F91" i="3"/>
  <c r="D12" i="3"/>
  <c r="E118" i="3"/>
  <c r="D16" i="3"/>
  <c r="U17" i="3" l="1"/>
  <c r="X16" i="3"/>
  <c r="W16" i="3"/>
  <c r="V16" i="3"/>
  <c r="E127" i="3"/>
  <c r="C4" i="3"/>
  <c r="F49" i="3"/>
  <c r="D14" i="3"/>
  <c r="C6" i="3"/>
  <c r="F59" i="3"/>
  <c r="F25" i="3"/>
  <c r="E55" i="3"/>
  <c r="B4" i="3"/>
  <c r="E7" i="3"/>
  <c r="F37" i="3"/>
  <c r="E8" i="3"/>
  <c r="F138" i="3"/>
  <c r="U18" i="3" l="1"/>
  <c r="W17" i="3"/>
  <c r="V17" i="3"/>
  <c r="X17" i="3"/>
  <c r="B12" i="3"/>
  <c r="E34" i="3"/>
  <c r="E22" i="3"/>
  <c r="E107" i="3"/>
  <c r="E30" i="3"/>
  <c r="E132" i="3"/>
  <c r="E137" i="3"/>
  <c r="U19" i="3" l="1"/>
  <c r="V18" i="3"/>
  <c r="X18" i="3"/>
  <c r="W18" i="3"/>
  <c r="E133" i="3"/>
  <c r="U20" i="3" l="1"/>
  <c r="X19" i="3"/>
  <c r="W19" i="3"/>
  <c r="V19" i="3"/>
  <c r="E9" i="3"/>
  <c r="F132" i="3"/>
  <c r="F78" i="3"/>
  <c r="E124" i="3"/>
  <c r="F54" i="3"/>
  <c r="E86" i="3"/>
  <c r="C7" i="3"/>
  <c r="F107" i="3"/>
  <c r="F112" i="3"/>
  <c r="U21" i="3" l="1"/>
  <c r="V20" i="3"/>
  <c r="X20" i="3"/>
  <c r="W20" i="3"/>
  <c r="C11" i="3"/>
  <c r="E87" i="3"/>
  <c r="E126" i="3"/>
  <c r="E39" i="3"/>
  <c r="E36" i="3"/>
  <c r="U22" i="3" l="1"/>
  <c r="V21" i="3"/>
  <c r="X21" i="3"/>
  <c r="W21" i="3"/>
  <c r="E50" i="3"/>
  <c r="E40" i="3"/>
  <c r="F137" i="3"/>
  <c r="F38" i="3"/>
  <c r="F70" i="3"/>
  <c r="U23" i="3" l="1"/>
  <c r="X22" i="3"/>
  <c r="W22" i="3"/>
  <c r="V22" i="3"/>
  <c r="C15" i="3"/>
  <c r="O3" i="3"/>
  <c r="F101" i="3"/>
  <c r="U24" i="3" l="1"/>
  <c r="X23" i="3"/>
  <c r="W23" i="3"/>
  <c r="V23" i="3"/>
  <c r="F115" i="3"/>
  <c r="F65" i="3"/>
  <c r="E128" i="3"/>
  <c r="F57" i="3"/>
  <c r="E37" i="3"/>
  <c r="U25" i="3" l="1"/>
  <c r="V24" i="3"/>
  <c r="X24" i="3"/>
  <c r="W24" i="3"/>
  <c r="F62" i="3"/>
  <c r="F7" i="3"/>
  <c r="C13" i="3"/>
  <c r="U26" i="3" l="1"/>
  <c r="X25" i="3"/>
  <c r="V25" i="3"/>
  <c r="W25" i="3"/>
  <c r="E85" i="3"/>
  <c r="L3" i="3"/>
  <c r="U27" i="3" l="1"/>
  <c r="V26" i="3"/>
  <c r="X26" i="3"/>
  <c r="W26" i="3"/>
  <c r="F84" i="3"/>
  <c r="E35" i="3"/>
  <c r="E106" i="3"/>
  <c r="F34" i="3"/>
  <c r="F128" i="3"/>
  <c r="F114" i="3"/>
  <c r="U28" i="3" l="1"/>
  <c r="X27" i="3"/>
  <c r="W27" i="3"/>
  <c r="V27" i="3"/>
  <c r="F17" i="3"/>
  <c r="F68" i="3"/>
  <c r="F95" i="3"/>
  <c r="E76" i="3"/>
  <c r="E78" i="3"/>
  <c r="F53" i="3"/>
  <c r="F79" i="3"/>
  <c r="M3" i="3"/>
  <c r="E136" i="3"/>
  <c r="F121" i="3"/>
  <c r="E99" i="3"/>
  <c r="E24" i="3"/>
  <c r="E104" i="3"/>
  <c r="F3" i="3"/>
  <c r="E18" i="3"/>
  <c r="C3" i="3"/>
  <c r="E33" i="3"/>
  <c r="U29" i="3" l="1"/>
  <c r="V28" i="3"/>
  <c r="W28" i="3"/>
  <c r="X28" i="3"/>
  <c r="E102" i="3"/>
  <c r="E79" i="3"/>
  <c r="E105" i="3"/>
  <c r="E135" i="3"/>
  <c r="F40" i="3"/>
  <c r="E27" i="3"/>
  <c r="F67" i="3"/>
  <c r="E110" i="3"/>
  <c r="E134" i="3"/>
  <c r="F96" i="3"/>
  <c r="D86" i="3"/>
  <c r="U30" i="3" l="1"/>
  <c r="W29" i="3"/>
  <c r="X29" i="3"/>
  <c r="V29" i="3"/>
  <c r="F74" i="3"/>
  <c r="E56" i="3"/>
  <c r="F52" i="3"/>
  <c r="F22" i="3"/>
  <c r="E98" i="3"/>
  <c r="F100" i="3"/>
  <c r="E92" i="3"/>
  <c r="D8" i="3"/>
  <c r="D4" i="3"/>
  <c r="D9" i="3"/>
  <c r="B8" i="3"/>
  <c r="C14" i="3"/>
  <c r="E13" i="3"/>
  <c r="F104" i="3"/>
  <c r="F39" i="3"/>
  <c r="F120" i="3"/>
  <c r="F88" i="3"/>
  <c r="E130" i="3"/>
  <c r="F111" i="3"/>
  <c r="E100" i="3"/>
  <c r="E125" i="3"/>
  <c r="E48" i="3"/>
  <c r="F51" i="3"/>
  <c r="B3" i="3"/>
  <c r="F24" i="3"/>
  <c r="F41" i="3"/>
  <c r="F23" i="3"/>
  <c r="C86" i="3"/>
  <c r="C9" i="3"/>
  <c r="E74" i="3"/>
  <c r="F135" i="3"/>
  <c r="D5" i="3"/>
  <c r="E52" i="3"/>
  <c r="C8" i="3"/>
  <c r="U31" i="3" l="1"/>
  <c r="X30" i="3"/>
  <c r="W30" i="3"/>
  <c r="V30" i="3"/>
  <c r="E25" i="3"/>
  <c r="F93" i="3"/>
  <c r="F55" i="3"/>
  <c r="F77" i="3"/>
  <c r="E12" i="3"/>
  <c r="F35" i="3"/>
  <c r="E73" i="3"/>
  <c r="E45" i="3"/>
  <c r="F99" i="3"/>
  <c r="F27" i="3"/>
  <c r="E84" i="3"/>
  <c r="F36" i="3"/>
  <c r="F125" i="3"/>
  <c r="F30" i="3"/>
  <c r="E29" i="3"/>
  <c r="E68" i="3"/>
  <c r="E96" i="3"/>
  <c r="F134" i="3"/>
  <c r="E57" i="3"/>
  <c r="F126" i="3"/>
  <c r="F82" i="3"/>
  <c r="E81" i="3"/>
  <c r="F32" i="3"/>
  <c r="F61" i="3"/>
  <c r="U32" i="3" l="1"/>
  <c r="W31" i="3"/>
  <c r="V31" i="3"/>
  <c r="X31" i="3"/>
  <c r="F133" i="3"/>
  <c r="F119" i="3"/>
  <c r="F81" i="3"/>
  <c r="F44" i="3"/>
  <c r="B6" i="3"/>
  <c r="F31" i="3"/>
  <c r="F92" i="3"/>
  <c r="F64" i="3"/>
  <c r="F118" i="3"/>
  <c r="U33" i="3" l="1"/>
  <c r="X32" i="3"/>
  <c r="W32" i="3"/>
  <c r="V32" i="3"/>
  <c r="E91" i="3"/>
  <c r="B7" i="3"/>
  <c r="F83" i="3"/>
  <c r="E111" i="3"/>
  <c r="E10" i="3"/>
  <c r="E72" i="3"/>
  <c r="E119" i="3"/>
  <c r="D3" i="3"/>
  <c r="F13" i="3"/>
  <c r="E59" i="3"/>
  <c r="F5" i="3"/>
  <c r="E77" i="3"/>
  <c r="F136" i="3"/>
  <c r="F10" i="3"/>
  <c r="F116" i="3"/>
  <c r="Z3" i="3" l="1"/>
  <c r="U34" i="3"/>
  <c r="W33" i="3"/>
  <c r="V33" i="3"/>
  <c r="X33" i="3"/>
  <c r="E21" i="3"/>
  <c r="F72" i="3"/>
  <c r="E95" i="3"/>
  <c r="E94" i="3"/>
  <c r="E28" i="3"/>
  <c r="F63" i="3"/>
  <c r="F129" i="3"/>
  <c r="E6" i="3"/>
  <c r="F97" i="3"/>
  <c r="F42" i="3"/>
  <c r="F47" i="3"/>
  <c r="F16" i="3"/>
  <c r="E38" i="3"/>
  <c r="E123" i="3"/>
  <c r="F48" i="3"/>
  <c r="E69" i="3"/>
  <c r="U35" i="3" l="1"/>
  <c r="W34" i="3"/>
  <c r="V34" i="3"/>
  <c r="X34" i="3"/>
  <c r="E108" i="3"/>
  <c r="E54" i="3"/>
  <c r="F4" i="3"/>
  <c r="E67" i="3"/>
  <c r="E46" i="3"/>
  <c r="F66" i="3"/>
  <c r="E129" i="3"/>
  <c r="F131" i="3"/>
  <c r="E63" i="3"/>
  <c r="E3" i="3"/>
  <c r="F20" i="3"/>
  <c r="E58" i="3"/>
  <c r="E5" i="3"/>
  <c r="C16" i="3"/>
  <c r="E32" i="3"/>
  <c r="E71" i="3"/>
  <c r="D13" i="3"/>
  <c r="E89" i="3"/>
  <c r="E83" i="3"/>
  <c r="B14" i="3"/>
  <c r="D7" i="3"/>
  <c r="E43" i="3"/>
  <c r="E66" i="3"/>
  <c r="E65" i="3"/>
  <c r="U36" i="3" l="1"/>
  <c r="W35" i="3"/>
  <c r="X35" i="3"/>
  <c r="V35" i="3"/>
  <c r="F76" i="3"/>
  <c r="E88" i="3"/>
  <c r="E115" i="3"/>
  <c r="F50" i="3"/>
  <c r="F11" i="3"/>
  <c r="E101" i="3"/>
  <c r="F109" i="3"/>
  <c r="E41" i="3"/>
  <c r="D11" i="3"/>
  <c r="E20" i="3"/>
  <c r="D6" i="3"/>
  <c r="F6" i="3"/>
  <c r="F71" i="3"/>
  <c r="F86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0" i="3"/>
  <c r="C5" i="3"/>
  <c r="E120" i="3"/>
  <c r="D10" i="3"/>
  <c r="E122" i="3"/>
  <c r="F87" i="3"/>
  <c r="E114" i="3"/>
  <c r="U41" i="3" l="1"/>
  <c r="W40" i="3"/>
  <c r="V40" i="3"/>
  <c r="X40" i="3"/>
  <c r="F89" i="3"/>
  <c r="C10" i="3"/>
  <c r="F26" i="3"/>
  <c r="F8" i="3"/>
  <c r="F45" i="3"/>
  <c r="E64" i="3"/>
  <c r="E16" i="3"/>
  <c r="E90" i="3"/>
  <c r="F102" i="3"/>
  <c r="N3" i="3"/>
  <c r="E138" i="3"/>
  <c r="E11" i="3"/>
  <c r="F33" i="3"/>
  <c r="U42" i="3" l="1"/>
  <c r="V41" i="3"/>
  <c r="X41" i="3"/>
  <c r="W41" i="3"/>
  <c r="E61" i="3"/>
  <c r="F15" i="3"/>
  <c r="F69" i="3"/>
  <c r="F28" i="3"/>
  <c r="F98" i="3"/>
  <c r="E17" i="3"/>
  <c r="E82" i="3"/>
  <c r="F75" i="3"/>
  <c r="U43" i="3" l="1"/>
  <c r="V42" i="3"/>
  <c r="W42" i="3"/>
  <c r="X42" i="3"/>
  <c r="E26" i="3"/>
  <c r="F127" i="3"/>
  <c r="E112" i="3"/>
  <c r="C17" i="3"/>
  <c r="B17" i="3"/>
  <c r="D17" i="3"/>
  <c r="B11" i="3"/>
  <c r="F29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Z17" i="3"/>
  <c r="H22" i="1"/>
  <c r="G22" i="1"/>
  <c r="C18" i="3"/>
  <c r="B18" i="3"/>
  <c r="D18" i="3"/>
  <c r="AA43" i="3" l="1"/>
  <c r="U45" i="3"/>
  <c r="V44" i="3"/>
  <c r="W44" i="3"/>
  <c r="X44" i="3"/>
  <c r="Z18" i="3"/>
  <c r="G23" i="1"/>
  <c r="H23" i="1"/>
  <c r="B19" i="3"/>
  <c r="D19" i="3"/>
  <c r="C19" i="3"/>
  <c r="AA44" i="3" l="1"/>
  <c r="U46" i="3"/>
  <c r="V45" i="3"/>
  <c r="X45" i="3"/>
  <c r="W45" i="3"/>
  <c r="Z19" i="3"/>
  <c r="G24" i="1"/>
  <c r="H24" i="1"/>
  <c r="C20" i="3"/>
  <c r="D20" i="3"/>
  <c r="B20" i="3"/>
  <c r="AA45" i="3" l="1"/>
  <c r="U47" i="3"/>
  <c r="X46" i="3"/>
  <c r="W46" i="3"/>
  <c r="V46" i="3"/>
  <c r="Z20" i="3"/>
  <c r="G25" i="1"/>
  <c r="H25" i="1"/>
  <c r="B21" i="3"/>
  <c r="C21" i="3"/>
  <c r="D21" i="3"/>
  <c r="AA46" i="3" l="1"/>
  <c r="U48" i="3"/>
  <c r="X47" i="3"/>
  <c r="W47" i="3"/>
  <c r="V47" i="3"/>
  <c r="Z21" i="3"/>
  <c r="H26" i="1"/>
  <c r="G26" i="1"/>
  <c r="C22" i="3"/>
  <c r="B22" i="3"/>
  <c r="D22" i="3"/>
  <c r="AA47" i="3" l="1"/>
  <c r="U49" i="3"/>
  <c r="X48" i="3"/>
  <c r="W48" i="3"/>
  <c r="V48" i="3"/>
  <c r="Z22" i="3"/>
  <c r="H27" i="1"/>
  <c r="G27" i="1"/>
  <c r="D23" i="3"/>
  <c r="C23" i="3"/>
  <c r="B23" i="3"/>
  <c r="AA48" i="3" l="1"/>
  <c r="U50" i="3"/>
  <c r="W49" i="3"/>
  <c r="V49" i="3"/>
  <c r="X49" i="3"/>
  <c r="Z23" i="3"/>
  <c r="G28" i="1"/>
  <c r="H28" i="1"/>
  <c r="C24" i="3"/>
  <c r="D24" i="3"/>
  <c r="B24" i="3"/>
  <c r="AA49" i="3" l="1"/>
  <c r="U51" i="3"/>
  <c r="X50" i="3"/>
  <c r="W50" i="3"/>
  <c r="V50" i="3"/>
  <c r="Z24" i="3"/>
  <c r="H29" i="1"/>
  <c r="G29" i="1"/>
  <c r="C25" i="3"/>
  <c r="D25" i="3"/>
  <c r="B25" i="3"/>
  <c r="AA50" i="3" l="1"/>
  <c r="U52" i="3"/>
  <c r="X51" i="3"/>
  <c r="W51" i="3"/>
  <c r="V51" i="3"/>
  <c r="Z25" i="3"/>
  <c r="H30" i="1"/>
  <c r="G30" i="1"/>
  <c r="D26" i="3"/>
  <c r="B26" i="3"/>
  <c r="C26" i="3"/>
  <c r="AA51" i="3" l="1"/>
  <c r="U53" i="3"/>
  <c r="V52" i="3"/>
  <c r="X52" i="3"/>
  <c r="W52" i="3"/>
  <c r="Z26" i="3"/>
  <c r="H31" i="1"/>
  <c r="G31" i="1"/>
  <c r="D27" i="3"/>
  <c r="C27" i="3"/>
  <c r="B27" i="3"/>
  <c r="AA52" i="3" l="1"/>
  <c r="U54" i="3"/>
  <c r="V53" i="3"/>
  <c r="X53" i="3"/>
  <c r="W53" i="3"/>
  <c r="Z27" i="3"/>
  <c r="H32" i="1"/>
  <c r="G32" i="1"/>
  <c r="D28" i="3"/>
  <c r="C28" i="3"/>
  <c r="B28" i="3"/>
  <c r="AA53" i="3" l="1"/>
  <c r="U55" i="3"/>
  <c r="X54" i="3"/>
  <c r="W54" i="3"/>
  <c r="V54" i="3"/>
  <c r="Z28" i="3"/>
  <c r="H33" i="1"/>
  <c r="G33" i="1"/>
  <c r="C29" i="3"/>
  <c r="D29" i="3"/>
  <c r="B29" i="3"/>
  <c r="AA54" i="3" l="1"/>
  <c r="U56" i="3"/>
  <c r="W55" i="3"/>
  <c r="X55" i="3"/>
  <c r="V55" i="3"/>
  <c r="Z29" i="3"/>
  <c r="H34" i="1"/>
  <c r="G34" i="1"/>
  <c r="B30" i="3"/>
  <c r="D30" i="3"/>
  <c r="C30" i="3"/>
  <c r="AA55" i="3" l="1"/>
  <c r="U57" i="3"/>
  <c r="X56" i="3"/>
  <c r="W56" i="3"/>
  <c r="V56" i="3"/>
  <c r="Z30" i="3"/>
  <c r="H35" i="1"/>
  <c r="G35" i="1"/>
  <c r="D31" i="3"/>
  <c r="B31" i="3"/>
  <c r="C31" i="3"/>
  <c r="AA56" i="3" l="1"/>
  <c r="U58" i="3"/>
  <c r="X57" i="3"/>
  <c r="W57" i="3"/>
  <c r="V57" i="3"/>
  <c r="Z31" i="3"/>
  <c r="G36" i="1"/>
  <c r="H36" i="1"/>
  <c r="D32" i="3"/>
  <c r="B32" i="3"/>
  <c r="C32" i="3"/>
  <c r="AA57" i="3" l="1"/>
  <c r="U59" i="3"/>
  <c r="X58" i="3"/>
  <c r="W58" i="3"/>
  <c r="V58" i="3"/>
  <c r="Z32" i="3"/>
  <c r="G37" i="1"/>
  <c r="H37" i="1"/>
  <c r="D33" i="3"/>
  <c r="C33" i="3"/>
  <c r="B33" i="3"/>
  <c r="AA58" i="3" l="1"/>
  <c r="U60" i="3"/>
  <c r="X59" i="3"/>
  <c r="W59" i="3"/>
  <c r="V59" i="3"/>
  <c r="Z33" i="3"/>
  <c r="H38" i="1"/>
  <c r="G38" i="1"/>
  <c r="D34" i="3"/>
  <c r="C34" i="3"/>
  <c r="B34" i="3"/>
  <c r="AA59" i="3" l="1"/>
  <c r="U61" i="3"/>
  <c r="V60" i="3"/>
  <c r="W60" i="3"/>
  <c r="X60" i="3"/>
  <c r="Z34" i="3"/>
  <c r="G39" i="1"/>
  <c r="H39" i="1"/>
  <c r="C35" i="3"/>
  <c r="D35" i="3"/>
  <c r="B35" i="3"/>
  <c r="AA60" i="3" l="1"/>
  <c r="U62" i="3"/>
  <c r="X61" i="3"/>
  <c r="V61" i="3"/>
  <c r="W61" i="3"/>
  <c r="Z35" i="3"/>
  <c r="H40" i="1"/>
  <c r="G40" i="1"/>
  <c r="C36" i="3"/>
  <c r="B36" i="3"/>
  <c r="D36" i="3"/>
  <c r="AA61" i="3" l="1"/>
  <c r="U63" i="3"/>
  <c r="W62" i="3"/>
  <c r="V62" i="3"/>
  <c r="X62" i="3"/>
  <c r="Z36" i="3"/>
  <c r="G41" i="1"/>
  <c r="H41" i="1"/>
  <c r="B37" i="3"/>
  <c r="D37" i="3"/>
  <c r="C37" i="3"/>
  <c r="AA62" i="3" l="1"/>
  <c r="U64" i="3"/>
  <c r="X63" i="3"/>
  <c r="W63" i="3"/>
  <c r="V63" i="3"/>
  <c r="Z37" i="3"/>
  <c r="G42" i="1"/>
  <c r="H42" i="1"/>
  <c r="D38" i="3"/>
  <c r="B38" i="3"/>
  <c r="C38" i="3"/>
  <c r="AA63" i="3" l="1"/>
  <c r="U65" i="3"/>
  <c r="X64" i="3"/>
  <c r="W64" i="3"/>
  <c r="V64" i="3"/>
  <c r="Z38" i="3"/>
  <c r="G43" i="1"/>
  <c r="H43" i="1"/>
  <c r="D39" i="3"/>
  <c r="B39" i="3"/>
  <c r="C39" i="3"/>
  <c r="AA64" i="3" l="1"/>
  <c r="U66" i="3"/>
  <c r="W65" i="3"/>
  <c r="V65" i="3"/>
  <c r="X65" i="3"/>
  <c r="Z39" i="3"/>
  <c r="H44" i="1"/>
  <c r="G44" i="1"/>
  <c r="C40" i="3"/>
  <c r="D40" i="3"/>
  <c r="B40" i="3"/>
  <c r="AA65" i="3" l="1"/>
  <c r="U67" i="3"/>
  <c r="V66" i="3"/>
  <c r="W66" i="3"/>
  <c r="X66" i="3"/>
  <c r="Z40" i="3"/>
  <c r="H45" i="1"/>
  <c r="G45" i="1"/>
  <c r="D41" i="3"/>
  <c r="C41" i="3"/>
  <c r="B41" i="3"/>
  <c r="AA66" i="3" l="1"/>
  <c r="U68" i="3"/>
  <c r="W67" i="3"/>
  <c r="X67" i="3"/>
  <c r="V67" i="3"/>
  <c r="Z41" i="3"/>
  <c r="H46" i="1"/>
  <c r="G46" i="1"/>
  <c r="B42" i="3"/>
  <c r="C42" i="3"/>
  <c r="D42" i="3"/>
  <c r="AA67" i="3" l="1"/>
  <c r="U69" i="3"/>
  <c r="V68" i="3"/>
  <c r="W68" i="3"/>
  <c r="X68" i="3"/>
  <c r="Z42" i="3"/>
  <c r="H47" i="1"/>
  <c r="G47" i="1"/>
  <c r="B43" i="3"/>
  <c r="C43" i="3"/>
  <c r="D43" i="3"/>
  <c r="AA68" i="3" l="1"/>
  <c r="U70" i="3"/>
  <c r="X69" i="3"/>
  <c r="W69" i="3"/>
  <c r="V69" i="3"/>
  <c r="Z43" i="3"/>
  <c r="G48" i="1"/>
  <c r="H48" i="1"/>
  <c r="D44" i="3"/>
  <c r="C44" i="3"/>
  <c r="B44" i="3"/>
  <c r="AA69" i="3" l="1"/>
  <c r="U71" i="3"/>
  <c r="X70" i="3"/>
  <c r="W70" i="3"/>
  <c r="V70" i="3"/>
  <c r="Z44" i="3"/>
  <c r="G49" i="1"/>
  <c r="H49" i="1"/>
  <c r="C45" i="3"/>
  <c r="D45" i="3"/>
  <c r="B45" i="3"/>
  <c r="AA70" i="3" l="1"/>
  <c r="U72" i="3"/>
  <c r="X71" i="3"/>
  <c r="W71" i="3"/>
  <c r="V71" i="3"/>
  <c r="Z45" i="3"/>
  <c r="G50" i="1"/>
  <c r="H50" i="1"/>
  <c r="D46" i="3"/>
  <c r="B46" i="3"/>
  <c r="C46" i="3"/>
  <c r="AA71" i="3" l="1"/>
  <c r="U73" i="3"/>
  <c r="W72" i="3"/>
  <c r="V72" i="3"/>
  <c r="X72" i="3"/>
  <c r="Z46" i="3"/>
  <c r="H51" i="1"/>
  <c r="G51" i="1"/>
  <c r="C47" i="3"/>
  <c r="B47" i="3"/>
  <c r="D47" i="3"/>
  <c r="AA72" i="3" l="1"/>
  <c r="U74" i="3"/>
  <c r="W73" i="3"/>
  <c r="V73" i="3"/>
  <c r="X73" i="3"/>
  <c r="Z47" i="3"/>
  <c r="G52" i="1"/>
  <c r="H52" i="1"/>
  <c r="D48" i="3"/>
  <c r="B48" i="3"/>
  <c r="C48" i="3"/>
  <c r="AA73" i="3" l="1"/>
  <c r="U75" i="3"/>
  <c r="V74" i="3"/>
  <c r="W74" i="3"/>
  <c r="X74" i="3"/>
  <c r="Z48" i="3"/>
  <c r="G53" i="1"/>
  <c r="H53" i="1"/>
  <c r="B49" i="3"/>
  <c r="C49" i="3"/>
  <c r="D49" i="3"/>
  <c r="AA74" i="3" l="1"/>
  <c r="U76" i="3"/>
  <c r="X75" i="3"/>
  <c r="W75" i="3"/>
  <c r="V75" i="3"/>
  <c r="Z49" i="3"/>
  <c r="G54" i="1"/>
  <c r="H54" i="1"/>
  <c r="C50" i="3"/>
  <c r="B50" i="3"/>
  <c r="D50" i="3"/>
  <c r="AA75" i="3" l="1"/>
  <c r="U77" i="3"/>
  <c r="X76" i="3"/>
  <c r="W76" i="3"/>
  <c r="V76" i="3"/>
  <c r="Z50" i="3"/>
  <c r="H55" i="1"/>
  <c r="G55" i="1"/>
  <c r="C51" i="3"/>
  <c r="B51" i="3"/>
  <c r="D51" i="3"/>
  <c r="AA76" i="3" l="1"/>
  <c r="U78" i="3"/>
  <c r="X77" i="3"/>
  <c r="W77" i="3"/>
  <c r="V77" i="3"/>
  <c r="Z51" i="3"/>
  <c r="G56" i="1"/>
  <c r="H56" i="1"/>
  <c r="C52" i="3"/>
  <c r="D52" i="3"/>
  <c r="B52" i="3"/>
  <c r="AA77" i="3" l="1"/>
  <c r="U79" i="3"/>
  <c r="X78" i="3"/>
  <c r="W78" i="3"/>
  <c r="V78" i="3"/>
  <c r="Z52" i="3"/>
  <c r="G57" i="1"/>
  <c r="H57" i="1"/>
  <c r="C53" i="3"/>
  <c r="D53" i="3"/>
  <c r="B53" i="3"/>
  <c r="AA78" i="3" l="1"/>
  <c r="U80" i="3"/>
  <c r="W79" i="3"/>
  <c r="V79" i="3"/>
  <c r="X79" i="3"/>
  <c r="Z53" i="3"/>
  <c r="G58" i="1"/>
  <c r="H58" i="1"/>
  <c r="C54" i="3"/>
  <c r="B54" i="3"/>
  <c r="D54" i="3"/>
  <c r="AA79" i="3" l="1"/>
  <c r="U81" i="3"/>
  <c r="X80" i="3"/>
  <c r="W80" i="3"/>
  <c r="V80" i="3"/>
  <c r="Z54" i="3"/>
  <c r="G59" i="1"/>
  <c r="H59" i="1"/>
  <c r="D55" i="3"/>
  <c r="C55" i="3"/>
  <c r="B55" i="3"/>
  <c r="AA80" i="3" l="1"/>
  <c r="U82" i="3"/>
  <c r="X81" i="3"/>
  <c r="W81" i="3"/>
  <c r="V81" i="3"/>
  <c r="Z55" i="3"/>
  <c r="H60" i="1"/>
  <c r="G60" i="1"/>
  <c r="D56" i="3"/>
  <c r="C56" i="3"/>
  <c r="B56" i="3"/>
  <c r="AA81" i="3" l="1"/>
  <c r="U83" i="3"/>
  <c r="X82" i="3"/>
  <c r="W82" i="3"/>
  <c r="V82" i="3"/>
  <c r="Z56" i="3"/>
  <c r="H61" i="1"/>
  <c r="G61" i="1"/>
  <c r="B57" i="3"/>
  <c r="D57" i="3"/>
  <c r="C57" i="3"/>
  <c r="AA82" i="3" l="1"/>
  <c r="U84" i="3"/>
  <c r="X83" i="3"/>
  <c r="W83" i="3"/>
  <c r="V83" i="3"/>
  <c r="Z57" i="3"/>
  <c r="G62" i="1"/>
  <c r="H62" i="1"/>
  <c r="B58" i="3"/>
  <c r="D58" i="3"/>
  <c r="C58" i="3"/>
  <c r="AA83" i="3" l="1"/>
  <c r="U85" i="3"/>
  <c r="X84" i="3"/>
  <c r="V84" i="3"/>
  <c r="W84" i="3"/>
  <c r="Z58" i="3"/>
  <c r="G63" i="1"/>
  <c r="H63" i="1"/>
  <c r="C59" i="3"/>
  <c r="D59" i="3"/>
  <c r="B59" i="3"/>
  <c r="AA84" i="3" l="1"/>
  <c r="U86" i="3"/>
  <c r="V85" i="3"/>
  <c r="X85" i="3"/>
  <c r="W85" i="3"/>
  <c r="Z59" i="3"/>
  <c r="G64" i="1"/>
  <c r="H64" i="1"/>
  <c r="B60" i="3"/>
  <c r="D60" i="3"/>
  <c r="C60" i="3"/>
  <c r="AA85" i="3" l="1"/>
  <c r="U87" i="3"/>
  <c r="X86" i="3"/>
  <c r="W86" i="3"/>
  <c r="V86" i="3"/>
  <c r="Z60" i="3"/>
  <c r="H65" i="1"/>
  <c r="G65" i="1"/>
  <c r="C61" i="3"/>
  <c r="D61" i="3"/>
  <c r="B61" i="3"/>
  <c r="AA86" i="3" l="1"/>
  <c r="U88" i="3"/>
  <c r="X87" i="3"/>
  <c r="W87" i="3"/>
  <c r="V87" i="3"/>
  <c r="Z61" i="3"/>
  <c r="H66" i="1"/>
  <c r="G66" i="1"/>
  <c r="C62" i="3"/>
  <c r="B62" i="3"/>
  <c r="D62" i="3"/>
  <c r="AA87" i="3" l="1"/>
  <c r="U89" i="3"/>
  <c r="X88" i="3"/>
  <c r="W88" i="3"/>
  <c r="V88" i="3"/>
  <c r="Z62" i="3"/>
  <c r="H67" i="1"/>
  <c r="G67" i="1"/>
  <c r="C63" i="3"/>
  <c r="B63" i="3"/>
  <c r="D63" i="3"/>
  <c r="AA88" i="3" l="1"/>
  <c r="U90" i="3"/>
  <c r="X89" i="3"/>
  <c r="W89" i="3"/>
  <c r="V89" i="3"/>
  <c r="Z63" i="3"/>
  <c r="G68" i="1"/>
  <c r="H68" i="1"/>
  <c r="C64" i="3"/>
  <c r="D64" i="3"/>
  <c r="B64" i="3"/>
  <c r="AA89" i="3" l="1"/>
  <c r="U91" i="3"/>
  <c r="W90" i="3"/>
  <c r="V90" i="3"/>
  <c r="X90" i="3"/>
  <c r="Z64" i="3"/>
  <c r="G69" i="1"/>
  <c r="H69" i="1"/>
  <c r="D65" i="3"/>
  <c r="B65" i="3"/>
  <c r="C65" i="3"/>
  <c r="AA90" i="3" l="1"/>
  <c r="U92" i="3"/>
  <c r="X91" i="3"/>
  <c r="V91" i="3"/>
  <c r="W91" i="3"/>
  <c r="Z65" i="3"/>
  <c r="G70" i="1"/>
  <c r="H70" i="1"/>
  <c r="D66" i="3"/>
  <c r="B66" i="3"/>
  <c r="C66" i="3"/>
  <c r="AA91" i="3" l="1"/>
  <c r="U93" i="3"/>
  <c r="X92" i="3"/>
  <c r="W92" i="3"/>
  <c r="V92" i="3"/>
  <c r="Z66" i="3"/>
  <c r="H71" i="1"/>
  <c r="G71" i="1"/>
  <c r="B67" i="3"/>
  <c r="D67" i="3"/>
  <c r="C67" i="3"/>
  <c r="AA92" i="3" l="1"/>
  <c r="U94" i="3"/>
  <c r="X93" i="3"/>
  <c r="W93" i="3"/>
  <c r="V93" i="3"/>
  <c r="Z67" i="3"/>
  <c r="H72" i="1"/>
  <c r="G72" i="1"/>
  <c r="B68" i="3"/>
  <c r="C68" i="3"/>
  <c r="D68" i="3"/>
  <c r="AA93" i="3" l="1"/>
  <c r="U95" i="3"/>
  <c r="X94" i="3"/>
  <c r="W94" i="3"/>
  <c r="V94" i="3"/>
  <c r="Z68" i="3"/>
  <c r="G73" i="1"/>
  <c r="H73" i="1"/>
  <c r="D69" i="3"/>
  <c r="C69" i="3"/>
  <c r="B69" i="3"/>
  <c r="AA94" i="3" l="1"/>
  <c r="U96" i="3"/>
  <c r="X95" i="3"/>
  <c r="W95" i="3"/>
  <c r="V95" i="3"/>
  <c r="Z69" i="3"/>
  <c r="H74" i="1"/>
  <c r="G74" i="1"/>
  <c r="D70" i="3"/>
  <c r="B70" i="3"/>
  <c r="C70" i="3"/>
  <c r="AA95" i="3" l="1"/>
  <c r="U97" i="3"/>
  <c r="X96" i="3"/>
  <c r="W96" i="3"/>
  <c r="V96" i="3"/>
  <c r="Z70" i="3"/>
  <c r="H75" i="1"/>
  <c r="G75" i="1"/>
  <c r="C71" i="3"/>
  <c r="B71" i="3"/>
  <c r="D71" i="3"/>
  <c r="AA96" i="3" l="1"/>
  <c r="U98" i="3"/>
  <c r="X97" i="3"/>
  <c r="W97" i="3"/>
  <c r="V97" i="3"/>
  <c r="Z71" i="3"/>
  <c r="H76" i="1"/>
  <c r="G76" i="1"/>
  <c r="C72" i="3"/>
  <c r="B72" i="3"/>
  <c r="D72" i="3"/>
  <c r="AA97" i="3" l="1"/>
  <c r="U99" i="3"/>
  <c r="X98" i="3"/>
  <c r="W98" i="3"/>
  <c r="V98" i="3"/>
  <c r="Z72" i="3"/>
  <c r="H77" i="1"/>
  <c r="G77" i="1"/>
  <c r="B73" i="3"/>
  <c r="D73" i="3"/>
  <c r="C73" i="3"/>
  <c r="AA98" i="3" l="1"/>
  <c r="U100" i="3"/>
  <c r="X99" i="3"/>
  <c r="W99" i="3"/>
  <c r="V99" i="3"/>
  <c r="Z73" i="3"/>
  <c r="H78" i="1"/>
  <c r="G78" i="1"/>
  <c r="D74" i="3"/>
  <c r="C74" i="3"/>
  <c r="B74" i="3"/>
  <c r="AA99" i="3" l="1"/>
  <c r="U101" i="3"/>
  <c r="X100" i="3"/>
  <c r="W100" i="3"/>
  <c r="V100" i="3"/>
  <c r="Z74" i="3"/>
  <c r="G79" i="1"/>
  <c r="H79" i="1"/>
  <c r="C75" i="3"/>
  <c r="D75" i="3"/>
  <c r="B75" i="3"/>
  <c r="AA100" i="3" l="1"/>
  <c r="U102" i="3"/>
  <c r="V101" i="3"/>
  <c r="W101" i="3"/>
  <c r="X101" i="3"/>
  <c r="Z75" i="3"/>
  <c r="G80" i="1"/>
  <c r="H80" i="1"/>
  <c r="C76" i="3"/>
  <c r="D76" i="3"/>
  <c r="B76" i="3"/>
  <c r="AA101" i="3" l="1"/>
  <c r="U103" i="3"/>
  <c r="X102" i="3"/>
  <c r="W102" i="3"/>
  <c r="V102" i="3"/>
  <c r="Z76" i="3"/>
  <c r="G81" i="1"/>
  <c r="H81" i="1"/>
  <c r="B77" i="3"/>
  <c r="C77" i="3"/>
  <c r="D77" i="3"/>
  <c r="AA102" i="3" l="1"/>
  <c r="U104" i="3"/>
  <c r="X103" i="3"/>
  <c r="W103" i="3"/>
  <c r="V103" i="3"/>
  <c r="Z77" i="3"/>
  <c r="H82" i="1"/>
  <c r="G82" i="1"/>
  <c r="D78" i="3"/>
  <c r="B78" i="3"/>
  <c r="C78" i="3"/>
  <c r="AA103" i="3" l="1"/>
  <c r="U105" i="3"/>
  <c r="X104" i="3"/>
  <c r="W104" i="3"/>
  <c r="V104" i="3"/>
  <c r="Z78" i="3"/>
  <c r="G83" i="1"/>
  <c r="H83" i="1"/>
  <c r="B79" i="3"/>
  <c r="C79" i="3"/>
  <c r="D79" i="3"/>
  <c r="AA104" i="3" l="1"/>
  <c r="U106" i="3"/>
  <c r="X105" i="3"/>
  <c r="W105" i="3"/>
  <c r="V105" i="3"/>
  <c r="Z79" i="3"/>
  <c r="H84" i="1"/>
  <c r="G84" i="1"/>
  <c r="D80" i="3"/>
  <c r="B80" i="3"/>
  <c r="C80" i="3"/>
  <c r="AA105" i="3" l="1"/>
  <c r="U107" i="3"/>
  <c r="W106" i="3"/>
  <c r="V106" i="3"/>
  <c r="X106" i="3"/>
  <c r="Z80" i="3"/>
  <c r="D81" i="3"/>
  <c r="C81" i="3"/>
  <c r="B81" i="3"/>
  <c r="AA106" i="3" l="1"/>
  <c r="U108" i="3"/>
  <c r="X107" i="3"/>
  <c r="W107" i="3"/>
  <c r="V107" i="3"/>
  <c r="Z81" i="3"/>
  <c r="C82" i="3"/>
  <c r="D82" i="3"/>
  <c r="B82" i="3"/>
  <c r="AA107" i="3" l="1"/>
  <c r="U109" i="3"/>
  <c r="X108" i="3"/>
  <c r="W108" i="3"/>
  <c r="V108" i="3"/>
  <c r="Z82" i="3"/>
  <c r="B83" i="3"/>
  <c r="C83" i="3"/>
  <c r="D83" i="3"/>
  <c r="AA108" i="3" l="1"/>
  <c r="U110" i="3"/>
  <c r="X109" i="3"/>
  <c r="W109" i="3"/>
  <c r="V109" i="3"/>
  <c r="Z83" i="3"/>
  <c r="B84" i="3"/>
  <c r="C84" i="3"/>
  <c r="D84" i="3"/>
  <c r="AA109" i="3" l="1"/>
  <c r="U111" i="3"/>
  <c r="X110" i="3"/>
  <c r="W110" i="3"/>
  <c r="V110" i="3"/>
  <c r="Z84" i="3"/>
  <c r="B85" i="3"/>
  <c r="C85" i="3"/>
  <c r="D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B87" i="3"/>
  <c r="D87" i="3"/>
  <c r="C87" i="3"/>
  <c r="AA112" i="3" l="1"/>
  <c r="U114" i="3"/>
  <c r="X113" i="3"/>
  <c r="W113" i="3"/>
  <c r="V113" i="3"/>
  <c r="Z87" i="3"/>
  <c r="C88" i="3"/>
  <c r="B88" i="3"/>
  <c r="D88" i="3"/>
  <c r="AA113" i="3" l="1"/>
  <c r="U115" i="3"/>
  <c r="X114" i="3"/>
  <c r="W114" i="3"/>
  <c r="V114" i="3"/>
  <c r="Z88" i="3"/>
  <c r="B89" i="3"/>
  <c r="D89" i="3"/>
  <c r="C89" i="3"/>
  <c r="AA114" i="3" l="1"/>
  <c r="U116" i="3"/>
  <c r="X115" i="3"/>
  <c r="W115" i="3"/>
  <c r="V115" i="3"/>
  <c r="Z89" i="3"/>
  <c r="D90" i="3"/>
  <c r="C90" i="3"/>
  <c r="B90" i="3"/>
  <c r="AA115" i="3" l="1"/>
  <c r="U117" i="3"/>
  <c r="X116" i="3"/>
  <c r="W116" i="3"/>
  <c r="V116" i="3"/>
  <c r="Z90" i="3"/>
  <c r="C91" i="3"/>
  <c r="D91" i="3"/>
  <c r="B91" i="3"/>
  <c r="AA116" i="3" l="1"/>
  <c r="U118" i="3"/>
  <c r="V117" i="3"/>
  <c r="W117" i="3"/>
  <c r="X117" i="3"/>
  <c r="Z91" i="3"/>
  <c r="B92" i="3"/>
  <c r="C92" i="3"/>
  <c r="D92" i="3"/>
  <c r="AA117" i="3" l="1"/>
  <c r="U119" i="3"/>
  <c r="X118" i="3"/>
  <c r="W118" i="3"/>
  <c r="V118" i="3"/>
  <c r="Z92" i="3"/>
  <c r="B93" i="3"/>
  <c r="C93" i="3"/>
  <c r="D93" i="3"/>
  <c r="AA118" i="3" l="1"/>
  <c r="U120" i="3"/>
  <c r="X119" i="3"/>
  <c r="W119" i="3"/>
  <c r="V119" i="3"/>
  <c r="Z93" i="3"/>
  <c r="D94" i="3"/>
  <c r="B94" i="3"/>
  <c r="C94" i="3"/>
  <c r="AA119" i="3" l="1"/>
  <c r="U121" i="3"/>
  <c r="X120" i="3"/>
  <c r="W120" i="3"/>
  <c r="V120" i="3"/>
  <c r="Z94" i="3"/>
  <c r="D95" i="3"/>
  <c r="B95" i="3"/>
  <c r="C95" i="3"/>
  <c r="AA120" i="3" l="1"/>
  <c r="U122" i="3"/>
  <c r="X121" i="3"/>
  <c r="W121" i="3"/>
  <c r="V121" i="3"/>
  <c r="Z95" i="3"/>
  <c r="C96" i="3"/>
  <c r="D96" i="3"/>
  <c r="B96" i="3"/>
  <c r="AA121" i="3" l="1"/>
  <c r="U123" i="3"/>
  <c r="W122" i="3"/>
  <c r="V122" i="3"/>
  <c r="X122" i="3"/>
  <c r="Z96" i="3"/>
  <c r="C97" i="3"/>
  <c r="B97" i="3"/>
  <c r="D97" i="3"/>
  <c r="AA122" i="3" l="1"/>
  <c r="U124" i="3"/>
  <c r="X123" i="3"/>
  <c r="W123" i="3"/>
  <c r="V123" i="3"/>
  <c r="Z97" i="3"/>
  <c r="D98" i="3"/>
  <c r="C98" i="3"/>
  <c r="B98" i="3"/>
  <c r="AA123" i="3" l="1"/>
  <c r="U125" i="3"/>
  <c r="X124" i="3"/>
  <c r="W124" i="3"/>
  <c r="V124" i="3"/>
  <c r="Z98" i="3"/>
  <c r="C99" i="3"/>
  <c r="D99" i="3"/>
  <c r="B99" i="3"/>
  <c r="AA124" i="3" l="1"/>
  <c r="U126" i="3"/>
  <c r="X125" i="3"/>
  <c r="W125" i="3"/>
  <c r="V125" i="3"/>
  <c r="Z99" i="3"/>
  <c r="B100" i="3"/>
  <c r="C100" i="3"/>
  <c r="D100" i="3"/>
  <c r="AA125" i="3" l="1"/>
  <c r="U127" i="3"/>
  <c r="X126" i="3"/>
  <c r="W126" i="3"/>
  <c r="V126" i="3"/>
  <c r="Z100" i="3"/>
  <c r="D101" i="3"/>
  <c r="C101" i="3"/>
  <c r="B101" i="3"/>
  <c r="AA126" i="3" l="1"/>
  <c r="U128" i="3"/>
  <c r="X127" i="3"/>
  <c r="W127" i="3"/>
  <c r="V127" i="3"/>
  <c r="Z101" i="3"/>
  <c r="C102" i="3"/>
  <c r="D102" i="3"/>
  <c r="B102" i="3"/>
  <c r="AA127" i="3" l="1"/>
  <c r="U129" i="3"/>
  <c r="X128" i="3"/>
  <c r="W128" i="3"/>
  <c r="V128" i="3"/>
  <c r="Z102" i="3"/>
  <c r="D103" i="3"/>
  <c r="B103" i="3"/>
  <c r="C103" i="3"/>
  <c r="AA128" i="3" l="1"/>
  <c r="U130" i="3"/>
  <c r="X129" i="3"/>
  <c r="W129" i="3"/>
  <c r="V129" i="3"/>
  <c r="Z103" i="3"/>
  <c r="C104" i="3"/>
  <c r="B104" i="3"/>
  <c r="D104" i="3"/>
  <c r="AA129" i="3" l="1"/>
  <c r="U131" i="3"/>
  <c r="X130" i="3"/>
  <c r="W130" i="3"/>
  <c r="V130" i="3"/>
  <c r="Z104" i="3"/>
  <c r="C105" i="3"/>
  <c r="B105" i="3"/>
  <c r="D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C107" i="3"/>
  <c r="B107" i="3"/>
  <c r="AA132" i="3" l="1"/>
  <c r="U134" i="3"/>
  <c r="V133" i="3"/>
  <c r="X133" i="3"/>
  <c r="W133" i="3"/>
  <c r="Z107" i="3"/>
  <c r="C108" i="3"/>
  <c r="B108" i="3"/>
  <c r="D108" i="3"/>
  <c r="AA133" i="3" l="1"/>
  <c r="U135" i="3"/>
  <c r="X134" i="3"/>
  <c r="W134" i="3"/>
  <c r="V134" i="3"/>
  <c r="Z108" i="3"/>
  <c r="C109" i="3"/>
  <c r="D109" i="3"/>
  <c r="B109" i="3"/>
  <c r="AA134" i="3" l="1"/>
  <c r="U136" i="3"/>
  <c r="X135" i="3"/>
  <c r="W135" i="3"/>
  <c r="V135" i="3"/>
  <c r="Z109" i="3"/>
  <c r="B110" i="3"/>
  <c r="D110" i="3"/>
  <c r="C110" i="3"/>
  <c r="AA135" i="3" l="1"/>
  <c r="U137" i="3"/>
  <c r="X136" i="3"/>
  <c r="W136" i="3"/>
  <c r="V136" i="3"/>
  <c r="Z110" i="3"/>
  <c r="C111" i="3"/>
  <c r="D111" i="3"/>
  <c r="B111" i="3"/>
  <c r="AA136" i="3" l="1"/>
  <c r="U138" i="3"/>
  <c r="X137" i="3"/>
  <c r="W137" i="3"/>
  <c r="V137" i="3"/>
  <c r="Z111" i="3"/>
  <c r="B112" i="3"/>
  <c r="C112" i="3"/>
  <c r="D112" i="3"/>
  <c r="AA137" i="3" l="1"/>
  <c r="U139" i="3"/>
  <c r="W138" i="3"/>
  <c r="V138" i="3"/>
  <c r="X138" i="3"/>
  <c r="Z112" i="3"/>
  <c r="D113" i="3"/>
  <c r="B113" i="3"/>
  <c r="C113" i="3"/>
  <c r="AA138" i="3" l="1"/>
  <c r="U140" i="3"/>
  <c r="X139" i="3"/>
  <c r="W139" i="3"/>
  <c r="V139" i="3"/>
  <c r="Z113" i="3"/>
  <c r="D114" i="3"/>
  <c r="C114" i="3"/>
  <c r="B114" i="3"/>
  <c r="AA139" i="3" l="1"/>
  <c r="U141" i="3"/>
  <c r="X140" i="3"/>
  <c r="W140" i="3"/>
  <c r="V140" i="3"/>
  <c r="Z114" i="3"/>
  <c r="C115" i="3"/>
  <c r="D115" i="3"/>
  <c r="B115" i="3"/>
  <c r="AA140" i="3" l="1"/>
  <c r="Z140" i="3"/>
  <c r="U142" i="3"/>
  <c r="X141" i="3"/>
  <c r="W141" i="3"/>
  <c r="V141" i="3"/>
  <c r="Z115" i="3"/>
  <c r="C116" i="3"/>
  <c r="B116" i="3"/>
  <c r="D116" i="3"/>
  <c r="AA141" i="3" l="1"/>
  <c r="Z141" i="3"/>
  <c r="U143" i="3"/>
  <c r="X142" i="3"/>
  <c r="W142" i="3"/>
  <c r="V142" i="3"/>
  <c r="Z116" i="3"/>
  <c r="C117" i="3"/>
  <c r="D117" i="3"/>
  <c r="B117" i="3"/>
  <c r="AA142" i="3" l="1"/>
  <c r="Z142" i="3"/>
  <c r="U144" i="3"/>
  <c r="X143" i="3"/>
  <c r="W143" i="3"/>
  <c r="V143" i="3"/>
  <c r="Z117" i="3"/>
  <c r="D118" i="3"/>
  <c r="C118" i="3"/>
  <c r="B118" i="3"/>
  <c r="AA143" i="3" l="1"/>
  <c r="Z143" i="3"/>
  <c r="U145" i="3"/>
  <c r="W144" i="3"/>
  <c r="X144" i="3"/>
  <c r="V144" i="3"/>
  <c r="Z118" i="3"/>
  <c r="B119" i="3"/>
  <c r="C119" i="3"/>
  <c r="D119" i="3"/>
  <c r="Z144" i="3" l="1"/>
  <c r="U146" i="3"/>
  <c r="X145" i="3"/>
  <c r="W145" i="3"/>
  <c r="V145" i="3"/>
  <c r="AA144" i="3"/>
  <c r="Z119" i="3"/>
  <c r="D120" i="3"/>
  <c r="C120" i="3"/>
  <c r="B120" i="3"/>
  <c r="AA145" i="3" l="1"/>
  <c r="Z145" i="3"/>
  <c r="U147" i="3"/>
  <c r="X146" i="3"/>
  <c r="W146" i="3"/>
  <c r="V146" i="3"/>
  <c r="Z120" i="3"/>
  <c r="C121" i="3"/>
  <c r="B121" i="3"/>
  <c r="D121" i="3"/>
  <c r="Z146" i="3" l="1"/>
  <c r="AA146" i="3"/>
  <c r="U148" i="3"/>
  <c r="X147" i="3"/>
  <c r="W147" i="3"/>
  <c r="V147" i="3"/>
  <c r="Z121" i="3"/>
  <c r="C122" i="3"/>
  <c r="D122" i="3"/>
  <c r="B122" i="3"/>
  <c r="AA147" i="3" l="1"/>
  <c r="Z147" i="3"/>
  <c r="U149" i="3"/>
  <c r="X148" i="3"/>
  <c r="W148" i="3"/>
  <c r="V148" i="3"/>
  <c r="Z122" i="3"/>
  <c r="C123" i="3"/>
  <c r="B123" i="3"/>
  <c r="D123" i="3"/>
  <c r="AA148" i="3" l="1"/>
  <c r="Z148" i="3"/>
  <c r="U150" i="3"/>
  <c r="V149" i="3"/>
  <c r="X149" i="3"/>
  <c r="W149" i="3"/>
  <c r="Z123" i="3"/>
  <c r="C124" i="3"/>
  <c r="D124" i="3"/>
  <c r="B124" i="3"/>
  <c r="AA149" i="3" l="1"/>
  <c r="Z149" i="3"/>
  <c r="U151" i="3"/>
  <c r="X150" i="3"/>
  <c r="W150" i="3"/>
  <c r="V150" i="3"/>
  <c r="Z124" i="3"/>
  <c r="C125" i="3"/>
  <c r="B125" i="3"/>
  <c r="D125" i="3"/>
  <c r="Z150" i="3" l="1"/>
  <c r="AA150" i="3"/>
  <c r="U152" i="3"/>
  <c r="X151" i="3"/>
  <c r="W151" i="3"/>
  <c r="V151" i="3"/>
  <c r="Z125" i="3"/>
  <c r="C126" i="3"/>
  <c r="B126" i="3"/>
  <c r="D126" i="3"/>
  <c r="Z151" i="3" l="1"/>
  <c r="AA151" i="3"/>
  <c r="U153" i="3"/>
  <c r="X152" i="3"/>
  <c r="W152" i="3"/>
  <c r="V152" i="3"/>
  <c r="Z126" i="3"/>
  <c r="B127" i="3"/>
  <c r="D127" i="3"/>
  <c r="C127" i="3"/>
  <c r="AA152" i="3" l="1"/>
  <c r="Z152" i="3"/>
  <c r="U154" i="3"/>
  <c r="X153" i="3"/>
  <c r="W153" i="3"/>
  <c r="V153" i="3"/>
  <c r="Z127" i="3"/>
  <c r="D128" i="3"/>
  <c r="B128" i="3"/>
  <c r="C128" i="3"/>
  <c r="AA153" i="3" l="1"/>
  <c r="Z153" i="3"/>
  <c r="U155" i="3"/>
  <c r="W154" i="3"/>
  <c r="V154" i="3"/>
  <c r="X154" i="3"/>
  <c r="Z128" i="3"/>
  <c r="B129" i="3"/>
  <c r="D129" i="3"/>
  <c r="C129" i="3"/>
  <c r="AA154" i="3" l="1"/>
  <c r="Z154" i="3"/>
  <c r="U156" i="3"/>
  <c r="X155" i="3"/>
  <c r="V155" i="3"/>
  <c r="W155" i="3"/>
  <c r="Z129" i="3"/>
  <c r="D130" i="3"/>
  <c r="C130" i="3"/>
  <c r="B130" i="3"/>
  <c r="AA155" i="3" l="1"/>
  <c r="Z155" i="3"/>
  <c r="U157" i="3"/>
  <c r="X156" i="3"/>
  <c r="W156" i="3"/>
  <c r="V156" i="3"/>
  <c r="Z130" i="3"/>
  <c r="D131" i="3"/>
  <c r="B131" i="3"/>
  <c r="C131" i="3"/>
  <c r="Z156" i="3" l="1"/>
  <c r="AA156" i="3"/>
  <c r="U158" i="3"/>
  <c r="X157" i="3"/>
  <c r="W157" i="3"/>
  <c r="V157" i="3"/>
  <c r="Z131" i="3"/>
  <c r="C132" i="3"/>
  <c r="D132" i="3"/>
  <c r="B132" i="3"/>
  <c r="AA157" i="3" l="1"/>
  <c r="Z157" i="3"/>
  <c r="U159" i="3"/>
  <c r="X158" i="3"/>
  <c r="W158" i="3"/>
  <c r="V158" i="3"/>
  <c r="Z132" i="3"/>
  <c r="G137" i="1"/>
  <c r="H137" i="1"/>
  <c r="B133" i="3"/>
  <c r="C133" i="3"/>
  <c r="D133" i="3"/>
  <c r="AA158" i="3" l="1"/>
  <c r="Z158" i="3"/>
  <c r="U160" i="3"/>
  <c r="X159" i="3"/>
  <c r="W159" i="3"/>
  <c r="V159" i="3"/>
  <c r="Z133" i="3"/>
  <c r="H138" i="1"/>
  <c r="G138" i="1"/>
  <c r="D134" i="3"/>
  <c r="C134" i="3"/>
  <c r="B134" i="3"/>
  <c r="AA159" i="3" l="1"/>
  <c r="Z159" i="3"/>
  <c r="U161" i="3"/>
  <c r="W160" i="3"/>
  <c r="X160" i="3"/>
  <c r="V160" i="3"/>
  <c r="Z134" i="3"/>
  <c r="H139" i="1"/>
  <c r="G139" i="1"/>
  <c r="B135" i="3"/>
  <c r="C135" i="3"/>
  <c r="D135" i="3"/>
  <c r="Z160" i="3" l="1"/>
  <c r="AA160" i="3"/>
  <c r="U162" i="3"/>
  <c r="X161" i="3"/>
  <c r="W161" i="3"/>
  <c r="V161" i="3"/>
  <c r="Z135" i="3"/>
  <c r="H140" i="1"/>
  <c r="G140" i="1"/>
  <c r="D136" i="3"/>
  <c r="C136" i="3"/>
  <c r="B136" i="3"/>
  <c r="AA161" i="3" l="1"/>
  <c r="Z161" i="3"/>
  <c r="U163" i="3"/>
  <c r="X162" i="3"/>
  <c r="W162" i="3"/>
  <c r="V162" i="3"/>
  <c r="Z136" i="3"/>
  <c r="G141" i="1"/>
  <c r="H141" i="1"/>
  <c r="D137" i="3"/>
  <c r="B137" i="3"/>
  <c r="C137" i="3"/>
  <c r="AA162" i="3" l="1"/>
  <c r="Z162" i="3"/>
  <c r="U164" i="3"/>
  <c r="X163" i="3"/>
  <c r="W163" i="3"/>
  <c r="V163" i="3"/>
  <c r="Z137" i="3"/>
  <c r="G142" i="1"/>
  <c r="H142" i="1"/>
  <c r="C138" i="3"/>
  <c r="D138" i="3"/>
  <c r="B138" i="3"/>
  <c r="AA163" i="3" l="1"/>
  <c r="Z163" i="3"/>
  <c r="U165" i="3"/>
  <c r="X164" i="3"/>
  <c r="W164" i="3"/>
  <c r="V164" i="3"/>
  <c r="Z138" i="3"/>
  <c r="G143" i="1"/>
  <c r="H143" i="1"/>
  <c r="B139" i="3"/>
  <c r="D139" i="3"/>
  <c r="C139" i="3"/>
  <c r="AA164" i="3" l="1"/>
  <c r="Z164" i="3"/>
  <c r="U166" i="3"/>
  <c r="V165" i="3"/>
  <c r="X165" i="3"/>
  <c r="W165" i="3"/>
  <c r="Z139" i="3"/>
  <c r="H144" i="1"/>
  <c r="H145" i="1"/>
  <c r="G148" i="1"/>
  <c r="G145" i="1"/>
  <c r="H147" i="1"/>
  <c r="H146" i="1"/>
  <c r="H148" i="1"/>
  <c r="G147" i="1"/>
  <c r="G144" i="1"/>
  <c r="G146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<sst xmlns="http://schemas.openxmlformats.org/spreadsheetml/2006/main" count="4233" uniqueCount="1519">
  <si>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</si>
  <si>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</si>
  <si>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</si>
  <si>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</si>
  <si>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</si>
  <si>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</si>
  <si>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</si>
  <si>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</si>
  <si>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</si>
  <si>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</si>
  <si>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</si>
  <si>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</si>
  <si>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</si>
  <si>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</si>
  <si>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</si>
  <si>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</si>
  <si>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</si>
  <si>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</si>
  <si>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</si>
  <si>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</si>
  <si>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</si>
  <si>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</si>
  <si>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</si>
  <si>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</si>
  <si>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</si>
  <si>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</si>
  <si>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</si>
  <si>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</si>
  <si>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</si>
  <si>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</si>
  <si>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</si>
  <si>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</si>
  <si>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</si>
  <si>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</si>
  <si>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</si>
  <si>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</si>
  <si>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</si>
  <si>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</si>
  <si>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</si>
  <si>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</si>
  <si>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</si>
  <si>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</si>
  <si>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</si>
  <si>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</si>
  <si>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</si>
  <si>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</si>
  <si>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</si>
  <si>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</si>
  <si>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</si>
  <si>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</si>
  <si>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</si>
  <si>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</si>
  <si>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</si>
  <si>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</si>
  <si>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</si>
  <si>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</si>
  <si>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</si>
  <si>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</si>
  <si>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</si>
  <si>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</si>
  <si>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</si>
  <si>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</si>
  <si>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</si>
  <si>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</si>
  <si>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</si>
  <si>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</si>
  <si>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</si>
  <si>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</si>
  <si>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</si>
  <si>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</si>
  <si>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</si>
  <si>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</si>
  <si>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</si>
  <si>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</si>
  <si>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</si>
  <si>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</si>
  <si>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</si>
  <si>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</si>
  <si>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</si>
  <si>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</si>
  <si>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</si>
  <si>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</si>
  <si>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</si>
  <si>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</si>
  <si>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</si>
  <si>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</si>
  <si>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</si>
  <si>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</si>
  <si>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</si>
  <si>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</si>
  <si>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</si>
  <si>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</si>
  <si>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</si>
  <si>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</si>
  <si>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</si>
  <si>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</si>
  <si>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</si>
  <si>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</si>
  <si>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</si>
  <si>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</si>
  <si>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</si>
  <si>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</si>
  <si>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</si>
  <si>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</si>
  <si>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</si>
  <si>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</si>
  <si>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</si>
  <si>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</si>
  <si>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</si>
  <si>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</si>
  <si>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</si>
  <si>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</si>
  <si>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</si>
  <si>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</si>
  <si>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</si>
  <si>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</si>
  <si>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</si>
  <si>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</si>
  <si>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</si>
  <si>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</si>
  <si>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</si>
  <si>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</si>
  <si>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</si>
  <si>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</si>
  <si>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</si>
  <si>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</si>
  <si>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</si>
  <si>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</si>
  <si>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</si>
  <si>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</si>
  <si>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</si>
  <si>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</si>
  <si>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</si>
  <si>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</si>
  <si>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</si>
  <si>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</si>
  <si>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</si>
  <si>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</si>
  <si>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</si>
  <si>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</si>
  <si>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</si>
  <si>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</si>
  <si>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</si>
  <si>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</si>
  <si>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</si>
  <si>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</si>
  <si>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</si>
  <si>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</si>
  <si>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</si>
  <si>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</si>
  <si>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</si>
  <si>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</si>
  <si>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</si>
  <si>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</si>
  <si>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</si>
  <si>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</si>
  <si>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</si>
  <si>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</si>
  <si>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</si>
  <si>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</si>
  <si>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</si>
  <si>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</si>
  <si>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</si>
  <si>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</si>
  <si>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</si>
  <si>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</si>
  <si>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</si>
  <si>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</si>
  <si>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</si>
  <si>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</si>
  <si>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</si>
  <si>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</si>
  <si>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</si>
  <si>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</si>
  <si>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</si>
  <si>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</si>
  <si>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</si>
  <si>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</si>
  <si>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</si>
  <si>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</si>
  <si>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</si>
  <si>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</si>
  <si>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</si>
  <si>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</si>
  <si>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</si>
  <si>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</si>
  <si>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</si>
  <si>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</si>
  <si>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</si>
  <si>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</si>
  <si>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</si>
  <si>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</si>
  <si>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</si>
  <si>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</si>
  <si>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</si>
  <si>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</si>
  <si>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</si>
  <si>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</si>
  <si>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</si>
  <si>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</si>
  <si>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</si>
  <si>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</si>
  <si>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</si>
  <si>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</si>
  <si>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</si>
  <si>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</si>
  <si>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</si>
  <si>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</si>
  <si>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</si>
  <si>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</si>
  <si>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</si>
  <si>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</si>
  <si>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</si>
  <si>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</si>
  <si>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</si>
  <si>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</si>
  <si>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</si>
  <si>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</si>
  <si>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</si>
  <si>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</si>
  <si>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</si>
  <si>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</si>
  <si>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</si>
  <si>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</si>
  <si>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</si>
  <si>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</si>
  <si>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</si>
  <si>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</si>
  <si>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</si>
  <si>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</si>
  <si>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</si>
  <si>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</si>
  <si>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</si>
  <si>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</si>
  <si>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</si>
  <si>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</si>
  <si>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</si>
  <si>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</si>
  <si>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</si>
  <si>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</si>
  <si>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</si>
  <si>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</si>
  <si>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</si>
  <si>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</si>
  <si>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</si>
  <si>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</si>
  <si>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</si>
  <si>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</si>
  <si>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</si>
  <si>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</si>
  <si>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</si>
  <si>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</si>
  <si>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</si>
  <si>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</si>
  <si>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</si>
  <si>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</si>
  <si>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</si>
  <si>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</si>
  <si>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</si>
  <si>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</si>
  <si>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</si>
  <si>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</si>
  <si>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</si>
  <si>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</si>
  <si>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</si>
  <si>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</si>
  <si>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</si>
  <si>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</si>
  <si>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</si>
  <si>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</si>
  <si>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</si>
  <si>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</si>
  <si>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</si>
  <si>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</si>
  <si>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</si>
  <si>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</si>
  <si>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</si>
  <si>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</si>
  <si>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</si>
  <si>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</si>
  <si>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</si>
  <si>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</si>
  <si>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</si>
  <si>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</si>
  <si>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</si>
  <si>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</si>
  <si>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</si>
  <si>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</si>
  <si>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</si>
  <si>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</si>
  <si>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</si>
  <si>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</si>
  <si>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</si>
  <si>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</si>
  <si>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</si>
  <si>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</si>
  <si>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</si>
  <si>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</si>
  <si>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</si>
  <si>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</si>
  <si>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</si>
  <si>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</si>
  <si>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</si>
  <si>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</si>
  <si>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</si>
  <si>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</si>
  <si>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</si>
  <si>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</si>
  <si>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</si>
  <si>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</si>
  <si>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</si>
  <si>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</si>
  <si>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</si>
  <si>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</si>
  <si>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</si>
  <si>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</si>
  <si>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</si>
  <si>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</si>
  <si>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</si>
  <si>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</si>
  <si>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</si>
  <si>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</si>
  <si>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</si>
  <si>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</si>
  <si>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</si>
  <si>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</si>
  <si>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</si>
  <si>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</si>
  <si>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</si>
  <si>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</si>
  <si>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</si>
  <si>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</si>
  <si>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</si>
  <si>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</si>
  <si>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</si>
  <si>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</si>
  <si>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</si>
  <si>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</si>
  <si>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</si>
  <si>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</si>
  <si>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</si>
  <si>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</si>
  <si>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</si>
  <si>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</si>
  <si>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</si>
  <si>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</si>
  <si>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</si>
  <si>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</si>
  <si>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</si>
  <si>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</si>
  <si>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</si>
  <si>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</si>
  <si>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</si>
  <si>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</si>
  <si>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</si>
  <si>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</si>
  <si>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</si>
  <si>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</si>
  <si>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</si>
  <si>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</si>
  <si>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</si>
  <si>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</si>
  <si>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</si>
  <si>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</si>
  <si>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</si>
  <si>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</si>
  <si>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</si>
  <si>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</si>
  <si>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</si>
  <si>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</si>
  <si>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</si>
  <si>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</si>
  <si>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</si>
  <si>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</si>
  <si>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</si>
  <si>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</si>
  <si>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</si>
  <si>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</si>
  <si>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</si>
  <si>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</si>
  <si>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</si>
  <si>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</si>
  <si>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</si>
  <si>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</si>
  <si>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</si>
  <si>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</si>
  <si>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</si>
  <si>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</si>
  <si>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</si>
  <si>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</si>
  <si>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</si>
  <si>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</si>
  <si>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</si>
  <si>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</si>
  <si>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</si>
  <si>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</si>
  <si>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</si>
  <si>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</si>
  <si>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</si>
  <si>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</si>
  <si>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</si>
  <si>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</si>
  <si>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</si>
  <si>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</si>
  <si>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</si>
  <si>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</si>
  <si>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</si>
  <si>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</si>
  <si>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</si>
  <si>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</si>
  <si>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</si>
  <si>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</si>
  <si>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</si>
  <si>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</si>
  <si>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</si>
  <si>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</si>
  <si>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</si>
  <si>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</si>
  <si>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</si>
  <si>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</si>
  <si>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</si>
  <si>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</si>
  <si>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</si>
  <si>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</si>
  <si>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</si>
  <si>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</si>
  <si>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</si>
  <si>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</si>
  <si>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</si>
  <si>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</si>
  <si>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</si>
  <si>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</si>
  <si>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</si>
  <si>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</si>
  <si>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</si>
  <si>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</si>
  <si>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</si>
  <si>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</si>
  <si>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</si>
  <si>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</si>
  <si>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</si>
  <si>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</si>
  <si>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</si>
  <si>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</si>
  <si>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</si>
  <si>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</si>
  <si>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</si>
  <si>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</si>
  <si>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</si>
  <si>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</si>
  <si>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</si>
  <si>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</si>
  <si>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</si>
  <si>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</si>
  <si>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</si>
  <si>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</si>
  <si>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</si>
  <si>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</si>
  <si>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</si>
  <si>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</si>
  <si>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</si>
  <si>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</si>
  <si>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</si>
  <si>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</si>
  <si>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</si>
  <si>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</si>
  <si>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</si>
  <si>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</si>
  <si>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</si>
  <si>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</si>
  <si>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</si>
  <si>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</si>
  <si>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</si>
  <si>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</si>
  <si>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</si>
  <si>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</si>
  <si>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</si>
  <si>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</si>
  <si>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</si>
  <si>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</si>
  <si>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</si>
  <si>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</si>
  <si>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</si>
  <si>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</si>
  <si>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</si>
  <si>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</si>
  <si>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</si>
  <si>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</si>
  <si>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</si>
  <si>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</si>
  <si>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</si>
  <si>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</si>
  <si>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</si>
  <si>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</si>
  <si>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</si>
  <si>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</si>
  <si>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</si>
  <si>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</si>
  <si>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</si>
  <si>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</si>
  <si>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</si>
  <si>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</si>
  <si>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</si>
  <si>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</si>
  <si>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</si>
  <si>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</si>
  <si>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</si>
  <si>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</si>
  <si>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</si>
  <si>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</si>
  <si>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</si>
  <si>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</si>
  <si>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</si>
  <si>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</si>
  <si>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</si>
  <si>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</si>
  <si>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</si>
  <si>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</si>
  <si>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</si>
  <si>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</si>
  <si>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</si>
  <si>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</si>
  <si>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</si>
  <si>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</si>
  <si>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</si>
  <si>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</si>
  <si>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</si>
  <si>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</si>
  <si>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</si>
  <si>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</si>
  <si>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</si>
  <si>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</si>
  <si>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</si>
  <si>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</si>
  <si>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</si>
  <si>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</si>
  <si>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</si>
  <si>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</si>
  <si>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</si>
  <si>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</si>
  <si>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</si>
  <si>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</si>
  <si>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</si>
  <si>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</si>
  <si>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</si>
  <si>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</si>
  <si>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</si>
  <si>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</si>
  <si>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</si>
  <si>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</si>
  <si>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</si>
  <si>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</si>
  <si>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</si>
  <si>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</si>
  <si>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</si>
  <si>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</si>
  <si>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</si>
  <si>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</si>
  <si>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</si>
  <si>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</si>
  <si>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</si>
  <si>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</si>
  <si>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</si>
  <si>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</si>
  <si>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</si>
  <si>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</si>
  <si>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</si>
  <si>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</si>
  <si>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</si>
  <si>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</si>
  <si>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</si>
  <si>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</si>
  <si>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</si>
  <si>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</si>
  <si>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</si>
  <si>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</si>
  <si>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</si>
  <si>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</si>
  <si>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</si>
  <si>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</si>
  <si>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</si>
  <si>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</si>
  <si>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</si>
  <si>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</si>
  <si>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</si>
  <si>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</si>
  <si>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</si>
  <si>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</si>
  <si>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</si>
  <si>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</si>
  <si>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</si>
  <si>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</si>
  <si>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</si>
  <si>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</si>
  <si>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</si>
  <si>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</si>
  <si>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</si>
  <si>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</si>
  <si>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</si>
  <si>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</si>
  <si>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</si>
  <si>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</si>
  <si>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</si>
  <si>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</si>
  <si>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</si>
  <si>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</si>
  <si>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</si>
  <si>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</si>
  <si>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</si>
  <si>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</si>
  <si>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</si>
  <si>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</si>
  <si>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</si>
  <si>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</si>
  <si>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</si>
  <si>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</si>
  <si>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</si>
  <si>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</si>
  <si>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</si>
  <si>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</si>
  <si>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</si>
  <si>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</si>
  <si>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</si>
  <si>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</si>
  <si>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</si>
  <si>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</si>
  <si>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</si>
  <si>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</si>
  <si>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</si>
  <si>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</si>
  <si>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</si>
  <si>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</si>
  <si>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</si>
  <si>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</si>
  <si>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</si>
  <si>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</si>
  <si>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</si>
  <si>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</si>
  <si>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</si>
  <si>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</si>
  <si>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</si>
  <si>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</si>
  <si>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</si>
  <si>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</si>
  <si>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</si>
  <si>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</si>
  <si>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</si>
  <si>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</si>
  <si>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</si>
  <si>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</si>
  <si>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</si>
  <si>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</si>
  <si>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</si>
  <si>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</si>
  <si>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</si>
  <si>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</si>
  <si>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</si>
  <si>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</si>
  <si>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</si>
  <si>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</si>
  <si>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</si>
  <si>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</si>
  <si>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</si>
  <si>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</si>
  <si>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</si>
  <si>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</si>
  <si>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</si>
  <si>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</si>
  <si>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</si>
  <si>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</si>
  <si>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</si>
  <si>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</si>
  <si>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</si>
  <si>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</si>
  <si>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</si>
  <si>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</si>
  <si>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</si>
  <si>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</si>
  <si>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</si>
  <si>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</si>
  <si>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</si>
  <si>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</si>
  <si>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</si>
  <si>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</si>
  <si>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</si>
  <si>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</si>
  <si>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</si>
  <si>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</si>
  <si>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</si>
  <si>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</si>
  <si>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</si>
  <si>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</si>
  <si>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</si>
  <si>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</si>
  <si>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</si>
  <si>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</si>
  <si>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</si>
  <si>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</si>
  <si>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</si>
  <si>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</si>
  <si>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</si>
  <si>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</si>
  <si>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</si>
  <si>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</si>
  <si>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</si>
  <si>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</si>
  <si>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</si>
  <si>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</si>
  <si>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</si>
  <si>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</si>
  <si>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</si>
  <si>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</si>
  <si>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</si>
  <si>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</si>
  <si>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</si>
  <si>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</si>
  <si>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</si>
  <si>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</si>
  <si>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</si>
  <si>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</si>
  <si>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</si>
  <si>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</si>
  <si>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</si>
  <si>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</si>
  <si>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</si>
  <si>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</si>
  <si>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</si>
  <si>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</si>
  <si>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</si>
  <si>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</si>
  <si>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</si>
  <si>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</si>
  <si>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</si>
  <si>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</si>
  <si>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</si>
  <si>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</si>
  <si>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</si>
  <si>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</si>
  <si>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</si>
  <si>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</si>
  <si>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</si>
  <si>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</si>
  <si>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</si>
  <si>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</si>
  <si>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</si>
  <si>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</si>
  <si>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</si>
  <si>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</si>
  <si>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</si>
  <si>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</si>
  <si>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</si>
  <si>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</si>
  <si>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</si>
  <si>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</si>
  <si>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</si>
  <si>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</si>
  <si>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</si>
  <si>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</si>
  <si>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</si>
  <si>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</si>
  <si>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</si>
  <si>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</si>
  <si>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</si>
  <si>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</si>
  <si>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</si>
  <si>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</si>
  <si>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</si>
  <si>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</si>
  <si>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</si>
  <si>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</si>
  <si>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</si>
  <si>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</si>
  <si>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</si>
  <si>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</si>
  <si>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</si>
  <si>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</si>
  <si>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</si>
  <si>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</si>
  <si>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</si>
  <si>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</si>
  <si>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</si>
  <si>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</si>
  <si>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</si>
  <si>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</si>
  <si>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</si>
  <si>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</si>
  <si>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</si>
  <si>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</si>
  <si>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</si>
  <si>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</si>
  <si>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</si>
  <si>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</si>
  <si>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</si>
  <si>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</si>
  <si>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</si>
  <si>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</si>
  <si>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</si>
  <si>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</si>
  <si>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</si>
  <si>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</si>
  <si>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</si>
  <si>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</si>
  <si>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</si>
  <si>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</si>
  <si>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</si>
  <si>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</si>
  <si>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</si>
  <si>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</si>
  <si>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</si>
  <si>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</si>
  <si>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</si>
  <si>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</si>
  <si>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</si>
  <si>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</si>
  <si>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</si>
  <si>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</si>
  <si>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</si>
  <si>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</si>
  <si>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</si>
  <si>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</si>
  <si>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</si>
  <si>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</si>
  <si>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</si>
  <si>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</si>
  <si>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</si>
  <si>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</si>
  <si>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</si>
  <si>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</si>
  <si>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</si>
  <si>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</si>
  <si>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</si>
  <si>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</si>
  <si>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</si>
  <si>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</si>
  <si>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</si>
  <si>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</si>
  <si>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</si>
  <si>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</si>
  <si>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</si>
  <si>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</si>
  <si>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</si>
  <si>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</si>
  <si>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</si>
  <si>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</si>
  <si>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</si>
  <si>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</si>
  <si>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</si>
  <si>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</si>
  <si>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</si>
  <si>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</si>
  <si>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</si>
  <si>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</si>
  <si>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</si>
  <si>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</si>
  <si>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</si>
  <si>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</si>
  <si>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</si>
  <si>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</si>
  <si>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</si>
  <si>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</si>
  <si>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</si>
  <si>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</si>
  <si>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</si>
  <si>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</si>
  <si>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</si>
  <si>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</si>
  <si>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</si>
  <si>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</si>
  <si>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</si>
  <si>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</si>
  <si>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</si>
  <si>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</si>
  <si>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</si>
  <si>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</si>
  <si>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</si>
  <si>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</si>
  <si>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</si>
  <si>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</si>
  <si>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</si>
  <si>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</si>
  <si>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</si>
  <si>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</si>
  <si>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</si>
  <si>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</si>
  <si>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</si>
  <si>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</si>
  <si>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</si>
  <si>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</si>
  <si>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</si>
  <si>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</si>
  <si>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</si>
  <si>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</si>
  <si>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</si>
  <si>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</si>
  <si>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</si>
  <si>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</si>
  <si>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</si>
  <si>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</si>
  <si>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</si>
  <si>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</si>
  <si>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</si>
  <si>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</si>
  <si>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</si>
  <si>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</si>
  <si>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</si>
  <si>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</si>
  <si>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</si>
  <si>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</si>
  <si>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</si>
  <si>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</si>
  <si>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</si>
  <si>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</si>
  <si>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</si>
  <si>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</si>
  <si>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</si>
  <si>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</si>
  <si>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</si>
  <si>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</si>
  <si>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</si>
  <si>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</si>
  <si>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</si>
  <si>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</si>
  <si>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</si>
  <si>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</si>
  <si>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</si>
  <si>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</si>
  <si>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</si>
  <si>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</si>
  <si>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</si>
  <si>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</si>
  <si>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</si>
  <si>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</si>
  <si>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</si>
  <si>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</si>
  <si>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</si>
  <si>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</si>
  <si>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</si>
  <si>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</si>
  <si>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</si>
  <si>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</si>
  <si>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</si>
  <si>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</si>
  <si>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</si>
  <si>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</si>
  <si>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</si>
  <si>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</si>
  <si>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</si>
  <si>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</si>
  <si>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</si>
  <si>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</si>
  <si>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</si>
  <si>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</si>
  <si>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</si>
  <si>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</si>
  <si>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</si>
  <si>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</si>
  <si>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</si>
  <si>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</si>
  <si>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</si>
  <si>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</si>
  <si>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</si>
  <si>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</si>
  <si>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</si>
  <si>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</si>
  <si>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</si>
  <si>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</si>
  <si>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</si>
  <si>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</si>
  <si>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</si>
  <si>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</si>
  <si>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</si>
  <si>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</si>
  <si>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</si>
  <si>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</si>
  <si>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</si>
  <si>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</si>
  <si>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</si>
  <si>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</si>
  <si>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</si>
  <si>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</si>
  <si>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</si>
  <si>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</si>
  <si>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</si>
  <si>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</si>
  <si>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</si>
  <si>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</si>
  <si>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</si>
  <si>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</si>
  <si>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</si>
  <si>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</si>
  <si>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</si>
  <si>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</si>
  <si>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</si>
  <si>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</si>
  <si>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</si>
  <si>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</si>
  <si>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</si>
  <si>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</si>
  <si>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</si>
  <si>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</si>
  <si>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</si>
  <si>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</si>
  <si>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</si>
  <si>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</si>
  <si>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</si>
  <si>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</si>
  <si>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</si>
  <si>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</si>
  <si>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</si>
  <si>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</si>
  <si>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</si>
  <si>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</si>
  <si>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</si>
  <si>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</si>
  <si>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</si>
  <si>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</si>
  <si>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</si>
  <si>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</si>
  <si>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</si>
  <si>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</si>
  <si>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</si>
  <si>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</si>
  <si>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</si>
  <si>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</si>
  <si>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</si>
  <si>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</si>
  <si>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</si>
  <si>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</si>
  <si>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</si>
  <si>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</si>
  <si>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</si>
  <si>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</si>
  <si>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</si>
  <si>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</si>
  <si>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</si>
  <si>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</si>
  <si>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</si>
  <si>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</si>
  <si>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</si>
  <si>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</si>
  <si>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</si>
  <si>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</si>
  <si>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</si>
  <si>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</si>
  <si>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</si>
  <si>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</si>
  <si>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</si>
  <si>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</si>
  <si>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</si>
  <si>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</si>
  <si>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</si>
  <si>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</si>
  <si>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</si>
  <si>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</si>
  <si>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</si>
  <si>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</si>
  <si>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</si>
  <si>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</si>
  <si>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</si>
  <si>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</si>
  <si>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</si>
  <si>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</si>
  <si>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</si>
  <si>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</si>
  <si>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</si>
  <si>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</si>
  <si>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</si>
  <si>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</si>
  <si>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</si>
  <si>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</si>
  <si>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</si>
  <si>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</si>
  <si>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</si>
  <si>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</si>
  <si>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</si>
  <si>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</si>
  <si>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</si>
  <si>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</si>
  <si>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</si>
  <si>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</si>
  <si>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</si>
  <si>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</si>
  <si>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</si>
  <si>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</si>
  <si>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</si>
  <si>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</si>
  <si>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</si>
  <si>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</si>
  <si>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</si>
  <si>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</si>
  <si>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</si>
  <si>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</si>
  <si>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</si>
  <si>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</si>
  <si>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</si>
  <si>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</si>
  <si>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</si>
  <si>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</si>
  <si>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</si>
  <si>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</si>
  <si>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</si>
  <si>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</si>
  <si>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</si>
  <si>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</si>
  <si>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</si>
  <si>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</si>
  <si>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</si>
  <si>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</si>
  <si>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</si>
  <si>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</si>
  <si>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</si>
  <si>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</si>
  <si>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</si>
  <si>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</si>
  <si>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</si>
  <si>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</si>
  <si>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</si>
  <si>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</si>
  <si>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</si>
  <si>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</si>
  <si>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</si>
  <si>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</si>
  <si>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</si>
  <si>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</si>
  <si>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</si>
  <si>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</si>
  <si>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</si>
  <si>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</si>
  <si>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</si>
  <si>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</si>
  <si>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</si>
  <si>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</si>
  <si>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</si>
  <si>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</si>
  <si>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</si>
  <si>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</si>
  <si>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</si>
  <si>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</si>
  <si>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</si>
  <si>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</si>
  <si>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</si>
  <si>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</si>
  <si>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</si>
  <si>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</si>
  <si>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</si>
  <si>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</si>
  <si>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</si>
  <si>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</si>
  <si>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</si>
  <si>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</si>
  <si>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</si>
  <si>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</si>
  <si>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</si>
  <si>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</si>
  <si>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</si>
  <si>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</si>
  <si>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</si>
  <si>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</si>
  <si>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</si>
  <si>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</si>
  <si>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</si>
  <si>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</si>
  <si>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</si>
  <si>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</si>
  <si>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</si>
  <si>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</si>
  <si>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</si>
  <si>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</si>
  <si>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</si>
  <si>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</si>
  <si>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</si>
  <si>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</si>
  <si>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</si>
  <si>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</si>
  <si>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</si>
  <si>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</si>
  <si>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</si>
  <si>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</si>
  <si>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</si>
  <si>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</si>
  <si>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</si>
  <si>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</si>
  <si>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</si>
  <si>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</si>
  <si>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</si>
  <si>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</si>
  <si>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</si>
  <si>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</si>
  <si>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</si>
  <si>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</si>
  <si>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</si>
  <si>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</si>
  <si>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</si>
  <si>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</si>
  <si>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</si>
  <si>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</si>
  <si>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</si>
  <si>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</si>
  <si>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</si>
  <si>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</si>
  <si>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</si>
  <si>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</si>
  <si>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</si>
  <si>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</si>
  <si>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</si>
  <si>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</si>
  <si>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</si>
  <si>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</si>
  <si>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</si>
  <si>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</si>
  <si>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</si>
  <si>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</si>
  <si>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</si>
  <si>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</si>
  <si>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</si>
  <si>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</si>
  <si>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</si>
  <si>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</si>
  <si>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</si>
  <si>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</si>
  <si>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</si>
  <si>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</si>
  <si>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</si>
  <si>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</si>
  <si>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</si>
  <si>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</si>
  <si>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</si>
  <si>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</si>
  <si>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</si>
  <si>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</si>
  <si>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</si>
  <si>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</si>
  <si>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</si>
  <si>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</si>
  <si>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</si>
  <si>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upload (save, store) calendar.csv</t>
  </si>
  <si>
    <t>overwrite existing calendar.csv  without warning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</si>
  <si>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</si>
  <si>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</si>
  <si>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</si>
  <si>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</si>
  <si>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</si>
  <si>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</si>
  <si>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</si>
  <si>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</si>
  <si>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</si>
  <si>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</si>
  <si>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</si>
  <si>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</si>
  <si>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</si>
  <si>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</si>
  <si>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</si>
  <si>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</si>
  <si>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</si>
  <si>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</si>
  <si>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</si>
  <si>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</si>
  <si>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</si>
  <si>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</si>
  <si>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</si>
  <si>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</si>
  <si>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</si>
  <si>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</si>
  <si>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</si>
  <si>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</si>
  <si>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</si>
  <si>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</si>
  <si>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</si>
  <si>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</si>
  <si>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</si>
  <si>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</si>
  <si>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</si>
  <si>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</si>
  <si>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</si>
  <si>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</si>
  <si>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</si>
  <si>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</si>
  <si>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</si>
  <si>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</si>
  <si>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</si>
  <si>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</si>
  <si>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</si>
  <si>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</si>
  <si>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</si>
  <si>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</si>
  <si>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</si>
  <si>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</si>
  <si>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</si>
  <si>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</si>
  <si>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</si>
  <si>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</si>
  <si>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</si>
  <si>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</si>
  <si>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</si>
  <si>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</si>
  <si>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</si>
  <si>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</si>
  <si>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</si>
  <si>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</si>
  <si>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</si>
  <si>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</si>
  <si>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</si>
  <si>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</si>
  <si>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</si>
  <si>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</si>
  <si>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</si>
  <si>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</si>
  <si>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</si>
  <si>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</si>
  <si>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</si>
  <si>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</si>
  <si>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</si>
  <si>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</si>
  <si>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</si>
  <si>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</si>
  <si>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</si>
  <si>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</si>
  <si>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</si>
  <si>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</si>
  <si>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</si>
  <si>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</si>
  <si>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</si>
  <si>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</si>
  <si>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</si>
  <si>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</si>
  <si>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</si>
  <si>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</si>
  <si>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</si>
  <si>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</si>
  <si>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</si>
  <si>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</si>
  <si>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</si>
  <si>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</si>
  <si>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</si>
  <si>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</si>
  <si>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</si>
  <si>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</si>
  <si>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</si>
  <si>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</si>
  <si>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</si>
  <si>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</si>
  <si>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</si>
  <si>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</si>
  <si>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</si>
  <si>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</si>
  <si>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</si>
  <si>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</si>
  <si>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</si>
  <si>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</si>
  <si>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</si>
  <si>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</si>
  <si>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</si>
  <si>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</si>
  <si>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</si>
  <si>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</si>
  <si>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</si>
  <si>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</si>
  <si>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</si>
  <si>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</si>
  <si>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</si>
  <si>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</si>
  <si>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</si>
  <si>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</si>
  <si>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</si>
  <si>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</si>
  <si>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</si>
  <si>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</si>
  <si>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</si>
  <si>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Koningsdag of konegginedag</t>
  </si>
  <si>
    <t>OK</t>
  </si>
  <si>
    <t>Onnozele Kinderen</t>
  </si>
  <si>
    <t>SJ</t>
  </si>
  <si>
    <t>SintJan</t>
  </si>
  <si>
    <t>VD</t>
  </si>
  <si>
    <t>Valentijns en verlovingsdag</t>
  </si>
  <si>
    <t>PI</t>
  </si>
  <si>
    <t>piedag - drie komma een vier enzovoorts</t>
  </si>
  <si>
    <t>P1</t>
  </si>
  <si>
    <t>P2</t>
  </si>
  <si>
    <t>Tweede Paasdag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</si>
  <si>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</si>
  <si>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</si>
  <si>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</si>
  <si>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</si>
  <si>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</si>
  <si>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</si>
  <si>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</si>
  <si>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</si>
  <si>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</si>
  <si>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</si>
  <si>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</si>
  <si>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</si>
  <si>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</si>
  <si>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</si>
  <si>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</si>
  <si>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</si>
  <si>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</si>
  <si>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</si>
  <si>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</si>
  <si>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</si>
  <si>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</si>
  <si>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</si>
  <si>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</si>
  <si>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</si>
  <si>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</si>
  <si>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</si>
  <si>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</si>
  <si>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</si>
  <si>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</si>
  <si>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</si>
  <si>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</si>
  <si>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</si>
  <si>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</si>
  <si>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</si>
  <si>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</si>
  <si>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</si>
  <si>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</si>
  <si>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</si>
  <si>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</si>
  <si>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</si>
  <si>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</si>
  <si>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</si>
  <si>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</si>
  <si>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</si>
  <si>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001,004,005,006,007,008,019,022,023,024,025,026,052,053,054,055,056,057,058,059,060,061,062,063,064,065,066,067,068,069,070,071,002,003,020,021,085,086,087,088,089,090,091,092,093,094,095,096,097,098,099,016,034,102,103,104,105,106,107,015,033,046,047,048,049,018,100,101,035,036,037,038,039,040,041,042,051,011,012,029,030,077,078,079,080,081,082,083,084,009,010,013,027,028,031,032,075,109,110,111,112,113,114,115,116,117,118,119,120,121,122,123,124,125,126,127,128,129,130,131,132,133,134,135,136,137,138,139,140,141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</si>
  <si>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</si>
  <si>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</si>
  <si>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</si>
  <si>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</si>
  <si>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</si>
  <si>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</si>
  <si>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</si>
  <si>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</si>
  <si>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</si>
  <si>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</si>
  <si>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</si>
  <si>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</si>
  <si>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</si>
  <si>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</si>
  <si>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</si>
  <si>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</si>
  <si>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</si>
  <si>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</si>
  <si>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</si>
  <si>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</si>
  <si>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</si>
  <si>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</si>
  <si>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</si>
  <si>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</si>
  <si>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</si>
  <si>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</si>
  <si>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</si>
  <si>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</si>
  <si>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</si>
  <si>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</si>
  <si>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</si>
  <si>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</si>
  <si>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</si>
  <si>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</si>
  <si>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</si>
  <si>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</si>
  <si>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</si>
  <si>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</si>
  <si>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</si>
  <si>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</si>
  <si>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</si>
  <si>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075,109,110,111,112,113,114,115,116,117,118,119,120,121,122,123,124,125,126,001,004,005,006,007,008,019,022,023,024,025,026,052,053,054,055,056,057,058,059,060,061,062,063,064,065,066,067,068,069,070,071,127,128,129,130,131,132,133,134,135,136,137,138,139,140,141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</si>
  <si>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</si>
  <si>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</si>
  <si>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</si>
  <si>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</si>
  <si>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</si>
  <si>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</si>
  <si>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</si>
  <si>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</si>
  <si>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</si>
  <si>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</si>
  <si>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</si>
  <si>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</si>
  <si>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</si>
  <si>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</si>
  <si>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</si>
  <si>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</si>
  <si>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011,012,029,030,077,078,079,080,081,082,083,084,009,010,013,027,028,031,032</t>
  </si>
  <si>
    <t>016,034,102,103,104,105,106,107,015,033,046,047,048,049</t>
  </si>
  <si>
    <t>100,101,108,035,036,037,038,039,040,041,042,051</t>
  </si>
  <si>
    <t>009,010,013,027,028,031,032,044,045</t>
  </si>
  <si>
    <t>075,109,110,111,112,113,114,115,116,117,118,119,120,121,122,123,124,125,126,001,004,005,006,007,008,019,022,023,024,025,026,052,053,054,055,056,057,058,059,060,061,062,063,064,065,066,067,068,069,070,071,002,003,020,021,085,086,087,088,089,090,091,092,093,094,095,096,097,098,099,127,128,129,130,131,132,133,134,135,136,137,138,139,140,141</t>
  </si>
  <si>
    <t>018,100,101,035,036,037,038,039,040,041,042,051</t>
  </si>
  <si>
    <t>109,110,111,112,113,114,115,116,117,093</t>
  </si>
  <si>
    <t>118,119,120,121,122,123,124,125,126,094</t>
  </si>
  <si>
    <t>001,004,005,006,007,008,019,022,023,095</t>
  </si>
  <si>
    <t>024,025,026,052,053,054,055,056,057,096</t>
  </si>
  <si>
    <t>058,059,060,061,062,063,064,065,066,097</t>
  </si>
  <si>
    <t>067,068,069,070,071,002,003,020,021,098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</si>
  <si>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</si>
  <si>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</si>
  <si>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</si>
  <si>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</si>
  <si>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</si>
  <si>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</si>
  <si>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</si>
  <si>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piedag - drie komma een vier enzovoortsen nog meer decimalen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</si>
  <si>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</si>
  <si>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</si>
  <si>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</si>
  <si>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</si>
  <si>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</si>
  <si>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</si>
  <si>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</si>
  <si>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</si>
  <si>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</si>
  <si>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</si>
  <si>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</si>
  <si>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</si>
  <si>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</si>
  <si>
    <t>CZ</t>
  </si>
  <si>
    <t>CM</t>
  </si>
  <si>
    <t>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</si>
</sst>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62"/>
  <sheetViews>
    <sheetView tabSelected="1" topLeftCell="K1" workbookViewId="0">
      <selection activeCell="V8" sqref="V8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1377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1380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1377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1516</v>
      </c>
      <c r="V7" s="17" t="s">
        <v>1387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1377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1382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1377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1383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1377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1384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1377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1378</v>
      </c>
      <c r="V11" s="17" t="s">
        <v>1379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1377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1517</v>
      </c>
      <c r="V12" s="17" t="s">
        <v>1390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1377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1518</v>
      </c>
      <c r="V13" s="17" t="s">
        <v>1391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1377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1381</v>
      </c>
      <c r="V14" s="17" t="s">
        <v>1392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1377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1388</v>
      </c>
      <c r="V15" s="17" t="s">
        <v>1389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1377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1377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1377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1377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1516</v>
      </c>
      <c r="E20" s="22" t="s">
        <v>16</v>
      </c>
      <c r="F20" s="18">
        <f t="shared" si="7"/>
        <v>2026</v>
      </c>
      <c r="G20" s="18">
        <f t="shared" si="3"/>
        <v>2</v>
      </c>
      <c r="H20" s="18">
        <f t="shared" si="4"/>
        <v>15</v>
      </c>
      <c r="I20" s="18" t="str">
        <f t="shared" si="5"/>
        <v>MUSIC</v>
      </c>
      <c r="J20" s="18" t="str">
        <f t="shared" si="0"/>
        <v>Candy Pink</v>
      </c>
      <c r="K20" s="18" t="str">
        <f t="shared" si="1"/>
        <v>Rapid Sparks</v>
      </c>
      <c r="L20" s="18">
        <f t="shared" si="2"/>
        <v>117</v>
      </c>
      <c r="M20" s="19" t="str">
        <f t="shared" si="6"/>
        <v>Carnaval, Alaaf!!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1516</v>
      </c>
      <c r="E21" s="22" t="s">
        <v>17</v>
      </c>
      <c r="F21" s="18">
        <f t="shared" si="7"/>
        <v>2027</v>
      </c>
      <c r="G21" s="18">
        <f t="shared" si="3"/>
        <v>2</v>
      </c>
      <c r="H21" s="18">
        <f t="shared" si="4"/>
        <v>7</v>
      </c>
      <c r="I21" s="18" t="str">
        <f t="shared" si="5"/>
        <v>MUSIC</v>
      </c>
      <c r="J21" s="18" t="str">
        <f t="shared" si="0"/>
        <v>Candy Pink</v>
      </c>
      <c r="K21" s="18" t="str">
        <f t="shared" si="1"/>
        <v>Rapid Sparks</v>
      </c>
      <c r="L21" s="18">
        <f t="shared" si="2"/>
        <v>115</v>
      </c>
      <c r="M21" s="19" t="str">
        <f t="shared" si="6"/>
        <v>Carnaval, Keiebijters!!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1516</v>
      </c>
      <c r="E22" s="22" t="s">
        <v>18</v>
      </c>
      <c r="F22" s="18">
        <f t="shared" si="7"/>
        <v>2028</v>
      </c>
      <c r="G22" s="18">
        <f t="shared" si="3"/>
        <v>2</v>
      </c>
      <c r="H22" s="18">
        <f t="shared" si="4"/>
        <v>27</v>
      </c>
      <c r="I22" s="18" t="str">
        <f t="shared" si="5"/>
        <v>MUSIC</v>
      </c>
      <c r="J22" s="18" t="str">
        <f t="shared" si="0"/>
        <v>Candy Pink</v>
      </c>
      <c r="K22" s="18" t="str">
        <f t="shared" si="1"/>
        <v>Rapid Sparks</v>
      </c>
      <c r="L22" s="18">
        <f t="shared" si="2"/>
        <v>98</v>
      </c>
      <c r="M22" s="19" t="str">
        <f t="shared" si="6"/>
        <v>Carnaval, En deh hittie naw gedonn umdettie Hellemonder is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1516</v>
      </c>
      <c r="E23" s="22" t="s">
        <v>1386</v>
      </c>
      <c r="F23" s="18">
        <f t="shared" si="7"/>
        <v>2029</v>
      </c>
      <c r="G23" s="18">
        <f t="shared" si="3"/>
        <v>2</v>
      </c>
      <c r="H23" s="18">
        <f t="shared" si="4"/>
        <v>11</v>
      </c>
      <c r="I23" s="18" t="str">
        <f t="shared" si="5"/>
        <v>MUSIC</v>
      </c>
      <c r="J23" s="18" t="str">
        <f t="shared" si="0"/>
        <v>Candy Pink</v>
      </c>
      <c r="K23" s="18" t="str">
        <f t="shared" si="1"/>
        <v>Rapid Sparks</v>
      </c>
      <c r="L23" s="18">
        <f t="shared" si="2"/>
        <v>82</v>
      </c>
      <c r="M23" s="19" t="str">
        <f t="shared" si="6"/>
        <v>Carnaval, Agge mar leut heht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1516</v>
      </c>
      <c r="E24" s="22" t="s">
        <v>16</v>
      </c>
      <c r="F24" s="18">
        <f t="shared" si="7"/>
        <v>2030</v>
      </c>
      <c r="G24" s="18">
        <f t="shared" si="3"/>
        <v>3</v>
      </c>
      <c r="H24" s="18">
        <f t="shared" si="4"/>
        <v>3</v>
      </c>
      <c r="I24" s="18" t="str">
        <f t="shared" si="5"/>
        <v>MUSIC</v>
      </c>
      <c r="J24" s="18" t="str">
        <f t="shared" si="0"/>
        <v>Candy Pink</v>
      </c>
      <c r="K24" s="18" t="str">
        <f t="shared" si="1"/>
        <v>Rapid Sparks</v>
      </c>
      <c r="L24" s="18">
        <f t="shared" si="2"/>
        <v>81</v>
      </c>
      <c r="M24" s="19" t="str">
        <f t="shared" si="6"/>
        <v>Carnaval, Alaaf!!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1516</v>
      </c>
      <c r="E25" s="22" t="s">
        <v>17</v>
      </c>
      <c r="F25" s="18">
        <f t="shared" si="7"/>
        <v>2031</v>
      </c>
      <c r="G25" s="18">
        <f t="shared" si="3"/>
        <v>2</v>
      </c>
      <c r="H25" s="18">
        <f t="shared" si="4"/>
        <v>23</v>
      </c>
      <c r="I25" s="18" t="str">
        <f t="shared" si="5"/>
        <v>MUSIC</v>
      </c>
      <c r="J25" s="18" t="str">
        <f t="shared" si="0"/>
        <v>Candy Pink</v>
      </c>
      <c r="K25" s="18" t="str">
        <f t="shared" si="1"/>
        <v>Rapid Sparks</v>
      </c>
      <c r="L25" s="18">
        <f t="shared" si="2"/>
        <v>96</v>
      </c>
      <c r="M25" s="19" t="str">
        <f t="shared" si="6"/>
        <v>Carnaval, Keiebijters!!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1516</v>
      </c>
      <c r="E26" s="22" t="s">
        <v>18</v>
      </c>
      <c r="F26" s="18">
        <f t="shared" si="7"/>
        <v>2032</v>
      </c>
      <c r="G26" s="18">
        <f t="shared" si="3"/>
        <v>2</v>
      </c>
      <c r="H26" s="18">
        <f t="shared" si="4"/>
        <v>8</v>
      </c>
      <c r="I26" s="18" t="str">
        <f t="shared" si="5"/>
        <v>MUSIC</v>
      </c>
      <c r="J26" s="18" t="str">
        <f t="shared" si="0"/>
        <v>Candy Pink</v>
      </c>
      <c r="K26" s="18" t="str">
        <f t="shared" si="1"/>
        <v>Rapid Sparks</v>
      </c>
      <c r="L26" s="18">
        <f t="shared" si="2"/>
        <v>114</v>
      </c>
      <c r="M26" s="19" t="str">
        <f t="shared" si="6"/>
        <v>Carnaval, En deh hittie naw gedonn umdettie Hellemonder is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1516</v>
      </c>
      <c r="E27" s="22" t="s">
        <v>1386</v>
      </c>
      <c r="F27" s="18">
        <f t="shared" si="7"/>
        <v>2033</v>
      </c>
      <c r="G27" s="18">
        <f t="shared" si="3"/>
        <v>2</v>
      </c>
      <c r="H27" s="18">
        <f t="shared" si="4"/>
        <v>27</v>
      </c>
      <c r="I27" s="18" t="str">
        <f t="shared" si="5"/>
        <v>MUSIC</v>
      </c>
      <c r="J27" s="18" t="str">
        <f t="shared" si="0"/>
        <v>Candy Pink</v>
      </c>
      <c r="K27" s="18" t="str">
        <f t="shared" si="1"/>
        <v>Rapid Sparks</v>
      </c>
      <c r="L27" s="18">
        <f t="shared" si="2"/>
        <v>117</v>
      </c>
      <c r="M27" s="19" t="str">
        <f t="shared" si="6"/>
        <v>Carnaval, Agge mar leut heht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1516</v>
      </c>
      <c r="E28" s="22" t="s">
        <v>16</v>
      </c>
      <c r="F28" s="18">
        <f t="shared" si="7"/>
        <v>2034</v>
      </c>
      <c r="G28" s="18">
        <f t="shared" si="3"/>
        <v>2</v>
      </c>
      <c r="H28" s="18">
        <f t="shared" si="4"/>
        <v>19</v>
      </c>
      <c r="I28" s="18" t="str">
        <f t="shared" si="5"/>
        <v>MUSIC</v>
      </c>
      <c r="J28" s="18" t="str">
        <f t="shared" si="0"/>
        <v>Candy Pink</v>
      </c>
      <c r="K28" s="18" t="str">
        <f t="shared" si="1"/>
        <v>Rapid Sparks</v>
      </c>
      <c r="L28" s="18">
        <f t="shared" si="2"/>
        <v>104</v>
      </c>
      <c r="M28" s="19" t="str">
        <f t="shared" si="6"/>
        <v>Carnaval, Alaaf!!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1516</v>
      </c>
      <c r="E29" s="22" t="s">
        <v>17</v>
      </c>
      <c r="F29" s="18">
        <f t="shared" si="7"/>
        <v>2035</v>
      </c>
      <c r="G29" s="18">
        <f t="shared" si="3"/>
        <v>2</v>
      </c>
      <c r="H29" s="18">
        <f t="shared" si="4"/>
        <v>4</v>
      </c>
      <c r="I29" s="18" t="str">
        <f t="shared" si="5"/>
        <v>MUSIC</v>
      </c>
      <c r="J29" s="18" t="str">
        <f t="shared" si="0"/>
        <v>Candy Pink</v>
      </c>
      <c r="K29" s="18" t="str">
        <f t="shared" si="1"/>
        <v>Rapid Sparks</v>
      </c>
      <c r="L29" s="18">
        <f t="shared" si="2"/>
        <v>85</v>
      </c>
      <c r="M29" s="19" t="str">
        <f t="shared" si="6"/>
        <v>Carnaval, Keiebijters!!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1516</v>
      </c>
      <c r="E30" s="22" t="s">
        <v>18</v>
      </c>
      <c r="F30" s="18">
        <f t="shared" si="7"/>
        <v>2036</v>
      </c>
      <c r="G30" s="18">
        <f t="shared" si="3"/>
        <v>2</v>
      </c>
      <c r="H30" s="18">
        <f t="shared" si="4"/>
        <v>24</v>
      </c>
      <c r="I30" s="18" t="str">
        <f t="shared" si="5"/>
        <v>MUSIC</v>
      </c>
      <c r="J30" s="18" t="str">
        <f t="shared" si="0"/>
        <v>Candy Pink</v>
      </c>
      <c r="K30" s="18" t="str">
        <f t="shared" si="1"/>
        <v>Rapid Sparks</v>
      </c>
      <c r="L30" s="18">
        <f t="shared" si="2"/>
        <v>79</v>
      </c>
      <c r="M30" s="19" t="str">
        <f t="shared" si="6"/>
        <v>Carnaval, En deh hittie naw gedonn umdettie Hellemonder is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1516</v>
      </c>
      <c r="E31" s="22" t="s">
        <v>1386</v>
      </c>
      <c r="F31" s="18">
        <f t="shared" si="7"/>
        <v>2037</v>
      </c>
      <c r="G31" s="18">
        <f t="shared" si="3"/>
        <v>2</v>
      </c>
      <c r="H31" s="18">
        <f t="shared" si="4"/>
        <v>15</v>
      </c>
      <c r="I31" s="18" t="str">
        <f t="shared" si="5"/>
        <v>MUSIC</v>
      </c>
      <c r="J31" s="18" t="str">
        <f t="shared" si="0"/>
        <v>Candy Pink</v>
      </c>
      <c r="K31" s="18" t="str">
        <f t="shared" si="1"/>
        <v>Rapid Sparks</v>
      </c>
      <c r="L31" s="18">
        <f t="shared" si="2"/>
        <v>91</v>
      </c>
      <c r="M31" s="19" t="str">
        <f t="shared" si="6"/>
        <v>Carnaval, Agge mar leut heht</v>
      </c>
    </row>
    <row r="32" spans="4:26" x14ac:dyDescent="0.25">
      <c r="D32" s="21" t="s">
        <v>1516</v>
      </c>
      <c r="E32" s="22" t="s">
        <v>19</v>
      </c>
      <c r="F32" s="18">
        <f t="shared" si="7"/>
        <v>2038</v>
      </c>
      <c r="G32" s="18">
        <f t="shared" si="3"/>
        <v>3</v>
      </c>
      <c r="H32" s="18">
        <f t="shared" si="4"/>
        <v>7</v>
      </c>
      <c r="I32" s="18" t="str">
        <f t="shared" si="5"/>
        <v>MUSIC</v>
      </c>
      <c r="J32" s="18" t="str">
        <f t="shared" si="0"/>
        <v>Candy Pink</v>
      </c>
      <c r="K32" s="18" t="str">
        <f t="shared" si="1"/>
        <v>Rapid Sparks</v>
      </c>
      <c r="L32" s="18">
        <f t="shared" si="2"/>
        <v>109</v>
      </c>
      <c r="M32" s="19" t="str">
        <f t="shared" si="6"/>
        <v>Carnaval, Tadaaaaah - tadaaaah</v>
      </c>
    </row>
    <row r="33" spans="4:13" x14ac:dyDescent="0.25">
      <c r="D33" s="21" t="s">
        <v>1382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1382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1382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1382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1382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1382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1382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1382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1382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1382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1382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1382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1382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1383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1383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1383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1383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1383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1383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1383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1383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1383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1383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1383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1383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1383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1380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1380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1380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1380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1380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1380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1380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1380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1380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1380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1380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1380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1380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1384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1384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1384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1384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1384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1384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1384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1384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1384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1384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1384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1384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1384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1516</v>
      </c>
      <c r="E85" s="22" t="s">
        <v>19</v>
      </c>
      <c r="F85" s="18">
        <f t="shared" si="16"/>
        <v>2026</v>
      </c>
      <c r="G85" s="18">
        <f t="shared" si="13"/>
        <v>2</v>
      </c>
      <c r="H85" s="18">
        <f t="shared" si="14"/>
        <v>15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1516</v>
      </c>
      <c r="E86" s="22" t="s">
        <v>16</v>
      </c>
      <c r="F86" s="18">
        <f t="shared" si="16"/>
        <v>2027</v>
      </c>
      <c r="G86" s="18">
        <f t="shared" si="13"/>
        <v>2</v>
      </c>
      <c r="H86" s="18">
        <f t="shared" si="14"/>
        <v>7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1516</v>
      </c>
      <c r="E87" s="22" t="s">
        <v>17</v>
      </c>
      <c r="F87" s="18">
        <f t="shared" si="16"/>
        <v>2028</v>
      </c>
      <c r="G87" s="18">
        <f t="shared" si="13"/>
        <v>2</v>
      </c>
      <c r="H87" s="18">
        <f t="shared" si="14"/>
        <v>27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1516</v>
      </c>
      <c r="E88" s="22" t="s">
        <v>18</v>
      </c>
      <c r="F88" s="18">
        <f t="shared" si="16"/>
        <v>2029</v>
      </c>
      <c r="G88" s="18">
        <f t="shared" si="13"/>
        <v>2</v>
      </c>
      <c r="H88" s="18">
        <f t="shared" si="14"/>
        <v>11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1516</v>
      </c>
      <c r="E89" s="22" t="s">
        <v>1386</v>
      </c>
      <c r="F89" s="18">
        <f t="shared" si="16"/>
        <v>2030</v>
      </c>
      <c r="G89" s="18">
        <f t="shared" si="13"/>
        <v>3</v>
      </c>
      <c r="H89" s="18">
        <f t="shared" si="14"/>
        <v>3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1516</v>
      </c>
      <c r="E90" s="22" t="s">
        <v>16</v>
      </c>
      <c r="F90" s="18">
        <f t="shared" si="16"/>
        <v>2031</v>
      </c>
      <c r="G90" s="18">
        <f t="shared" si="13"/>
        <v>2</v>
      </c>
      <c r="H90" s="18">
        <f t="shared" si="14"/>
        <v>23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1516</v>
      </c>
      <c r="E91" s="22" t="s">
        <v>17</v>
      </c>
      <c r="F91" s="18">
        <f t="shared" si="16"/>
        <v>2032</v>
      </c>
      <c r="G91" s="18">
        <f t="shared" si="13"/>
        <v>2</v>
      </c>
      <c r="H91" s="18">
        <f t="shared" si="14"/>
        <v>8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1516</v>
      </c>
      <c r="E92" s="22" t="s">
        <v>18</v>
      </c>
      <c r="F92" s="18">
        <f t="shared" si="16"/>
        <v>2033</v>
      </c>
      <c r="G92" s="18">
        <f t="shared" si="13"/>
        <v>2</v>
      </c>
      <c r="H92" s="18">
        <f t="shared" si="14"/>
        <v>27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1516</v>
      </c>
      <c r="E93" s="22" t="s">
        <v>1386</v>
      </c>
      <c r="F93" s="18">
        <f t="shared" si="16"/>
        <v>2034</v>
      </c>
      <c r="G93" s="18">
        <f t="shared" si="13"/>
        <v>2</v>
      </c>
      <c r="H93" s="18">
        <f t="shared" si="14"/>
        <v>19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1516</v>
      </c>
      <c r="E94" s="22" t="s">
        <v>16</v>
      </c>
      <c r="F94" s="18">
        <f t="shared" si="16"/>
        <v>2035</v>
      </c>
      <c r="G94" s="18">
        <f t="shared" si="13"/>
        <v>2</v>
      </c>
      <c r="H94" s="18">
        <f t="shared" si="14"/>
        <v>4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1516</v>
      </c>
      <c r="E95" s="22" t="s">
        <v>17</v>
      </c>
      <c r="F95" s="18">
        <f t="shared" si="16"/>
        <v>2036</v>
      </c>
      <c r="G95" s="18">
        <f t="shared" si="13"/>
        <v>2</v>
      </c>
      <c r="H95" s="18">
        <f t="shared" si="14"/>
        <v>24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1516</v>
      </c>
      <c r="E96" s="22" t="s">
        <v>18</v>
      </c>
      <c r="F96" s="18">
        <f t="shared" si="16"/>
        <v>2037</v>
      </c>
      <c r="G96" s="18">
        <f t="shared" si="13"/>
        <v>2</v>
      </c>
      <c r="H96" s="18">
        <f t="shared" si="14"/>
        <v>15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1516</v>
      </c>
      <c r="E97" s="22" t="s">
        <v>1386</v>
      </c>
      <c r="F97" s="18">
        <f t="shared" si="16"/>
        <v>2038</v>
      </c>
      <c r="G97" s="18">
        <f t="shared" si="13"/>
        <v>3</v>
      </c>
      <c r="H97" s="18">
        <f t="shared" si="14"/>
        <v>7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1517</v>
      </c>
      <c r="E98" s="22" t="s">
        <v>1386</v>
      </c>
      <c r="F98" s="18">
        <f t="shared" ref="F98:F123" si="17">IF(F97=$F$3,$F$2,IF(D98=D97,F97+1,$F$2))</f>
        <v>2026</v>
      </c>
      <c r="G98" s="18">
        <f t="shared" ref="G98:G123" si="18">FeestMaand(D98,F98)</f>
        <v>2</v>
      </c>
      <c r="H98" s="18">
        <f t="shared" ref="H98:H123" si="19">FeestDag(D98,F98)</f>
        <v>16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1517</v>
      </c>
      <c r="E99" s="22" t="s">
        <v>19</v>
      </c>
      <c r="F99" s="18">
        <f t="shared" si="17"/>
        <v>2027</v>
      </c>
      <c r="G99" s="18">
        <f t="shared" si="18"/>
        <v>2</v>
      </c>
      <c r="H99" s="18">
        <f t="shared" si="19"/>
        <v>8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1517</v>
      </c>
      <c r="E100" s="22" t="s">
        <v>16</v>
      </c>
      <c r="F100" s="18">
        <f t="shared" si="17"/>
        <v>2028</v>
      </c>
      <c r="G100" s="18">
        <f t="shared" si="18"/>
        <v>2</v>
      </c>
      <c r="H100" s="18">
        <f t="shared" si="19"/>
        <v>28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1517</v>
      </c>
      <c r="E101" s="22" t="s">
        <v>17</v>
      </c>
      <c r="F101" s="18">
        <f t="shared" si="17"/>
        <v>2029</v>
      </c>
      <c r="G101" s="18">
        <f t="shared" si="18"/>
        <v>2</v>
      </c>
      <c r="H101" s="18">
        <f t="shared" si="19"/>
        <v>12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1517</v>
      </c>
      <c r="E102" s="22" t="s">
        <v>18</v>
      </c>
      <c r="F102" s="18">
        <f t="shared" si="17"/>
        <v>2030</v>
      </c>
      <c r="G102" s="18">
        <f t="shared" si="18"/>
        <v>3</v>
      </c>
      <c r="H102" s="18">
        <f t="shared" si="19"/>
        <v>4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1517</v>
      </c>
      <c r="E103" s="22" t="s">
        <v>1386</v>
      </c>
      <c r="F103" s="18">
        <f t="shared" si="17"/>
        <v>2031</v>
      </c>
      <c r="G103" s="18">
        <f t="shared" si="18"/>
        <v>2</v>
      </c>
      <c r="H103" s="18">
        <f t="shared" si="19"/>
        <v>24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1517</v>
      </c>
      <c r="E104" s="22" t="s">
        <v>16</v>
      </c>
      <c r="F104" s="18">
        <f t="shared" si="17"/>
        <v>2032</v>
      </c>
      <c r="G104" s="18">
        <f t="shared" si="18"/>
        <v>2</v>
      </c>
      <c r="H104" s="18">
        <f t="shared" si="19"/>
        <v>9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1517</v>
      </c>
      <c r="E105" s="22" t="s">
        <v>17</v>
      </c>
      <c r="F105" s="18">
        <f t="shared" si="17"/>
        <v>2033</v>
      </c>
      <c r="G105" s="18">
        <f t="shared" si="18"/>
        <v>2</v>
      </c>
      <c r="H105" s="18">
        <f t="shared" si="19"/>
        <v>28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1517</v>
      </c>
      <c r="E106" s="22" t="s">
        <v>18</v>
      </c>
      <c r="F106" s="18">
        <f t="shared" si="17"/>
        <v>2034</v>
      </c>
      <c r="G106" s="18">
        <f t="shared" si="18"/>
        <v>2</v>
      </c>
      <c r="H106" s="18">
        <f t="shared" si="19"/>
        <v>20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1517</v>
      </c>
      <c r="E107" s="22" t="s">
        <v>1386</v>
      </c>
      <c r="F107" s="18">
        <f t="shared" si="17"/>
        <v>2035</v>
      </c>
      <c r="G107" s="18">
        <f t="shared" si="18"/>
        <v>2</v>
      </c>
      <c r="H107" s="18">
        <f t="shared" si="19"/>
        <v>5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1517</v>
      </c>
      <c r="E108" s="22" t="s">
        <v>16</v>
      </c>
      <c r="F108" s="18">
        <f t="shared" si="17"/>
        <v>2036</v>
      </c>
      <c r="G108" s="18">
        <f t="shared" si="18"/>
        <v>2</v>
      </c>
      <c r="H108" s="18">
        <f t="shared" si="19"/>
        <v>25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1517</v>
      </c>
      <c r="E109" s="22" t="s">
        <v>17</v>
      </c>
      <c r="F109" s="18">
        <f t="shared" si="17"/>
        <v>2037</v>
      </c>
      <c r="G109" s="18">
        <f t="shared" si="18"/>
        <v>2</v>
      </c>
      <c r="H109" s="18">
        <f t="shared" si="19"/>
        <v>16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1517</v>
      </c>
      <c r="E110" s="22" t="s">
        <v>18</v>
      </c>
      <c r="F110" s="18">
        <f t="shared" si="17"/>
        <v>2038</v>
      </c>
      <c r="G110" s="18">
        <f t="shared" si="18"/>
        <v>3</v>
      </c>
      <c r="H110" s="18">
        <f t="shared" si="19"/>
        <v>8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1381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1381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1381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1381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1381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1381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1381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1381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1381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1381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1381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1381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1381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1378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1378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1378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1378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1378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1378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1378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1378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1378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1378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1378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1378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1378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1388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62" si="33">IF(D137="","",VLOOKUP($D137,$U$5:$AA$30,I$4,0))</f>
        <v>GUITAR</v>
      </c>
      <c r="J137" s="18" t="str">
        <f t="shared" ref="J137:J162" si="34">IF(D137="","",VLOOKUP($D137,$U$5:$AA$30,J$4,0))</f>
        <v>Warm Sunset</v>
      </c>
      <c r="K137" s="18" t="str">
        <f t="shared" ref="K137:K162" si="35">IF(D137="","",VLOOKUP($D137,$U$5:$AA$30,K$4,0))</f>
        <v>Radiant Glow</v>
      </c>
      <c r="L137" s="18">
        <f t="shared" ref="L137:L162" si="36">IF(ISNA(VLOOKUP($D137,$U$5:$AA$30,L$4,0)),"",INT(VLOOKUP($D137,$U$5:$AA$30,L$4,0)*(1+$L$2*SIN(ROW($D137)))))</f>
        <v>171</v>
      </c>
      <c r="M137" s="19" t="str">
        <f t="shared" ref="M137:M162" si="37">IF(D137="","",VLOOKUP($D137,$U$5:$AA$30,M$4,0)&amp;IF(E137="","",", "&amp;E137))</f>
        <v>Suikerfeest</v>
      </c>
    </row>
    <row r="138" spans="4:13" x14ac:dyDescent="0.25">
      <c r="D138" s="21" t="s">
        <v>1388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1388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1388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1388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1388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1388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1388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1388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1388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1388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1388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1388</v>
      </c>
      <c r="E149" s="23"/>
      <c r="F149" s="18">
        <f t="shared" ref="F149:F162" si="40">IF(F148=$F$3,$F$2,IF(D149=D148,F148+1,$F$2))</f>
        <v>2038</v>
      </c>
      <c r="G149" s="18">
        <f t="shared" ref="G149:G162" si="41">FeestMaand(D149,F149)</f>
        <v>10</v>
      </c>
      <c r="H149" s="18">
        <f t="shared" ref="H149:H162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 t="s">
        <v>1518</v>
      </c>
      <c r="E150" s="22" t="s">
        <v>1386</v>
      </c>
      <c r="F150" s="18">
        <f t="shared" si="40"/>
        <v>2026</v>
      </c>
      <c r="G150" s="18">
        <f t="shared" si="41"/>
        <v>2</v>
      </c>
      <c r="H150" s="18">
        <f t="shared" si="42"/>
        <v>17</v>
      </c>
      <c r="I150" s="18" t="str">
        <f t="shared" si="33"/>
        <v>MUSIC</v>
      </c>
      <c r="J150" s="18" t="str">
        <f t="shared" si="34"/>
        <v>Candy Pink</v>
      </c>
      <c r="K150" s="18" t="str">
        <f t="shared" si="35"/>
        <v>Rapid Sparks</v>
      </c>
      <c r="L150" s="18">
        <f t="shared" si="36"/>
        <v>180</v>
      </c>
      <c r="M150" s="19" t="str">
        <f t="shared" si="37"/>
        <v>Laatste Carnavalsdag, Agge mar leut heht</v>
      </c>
    </row>
    <row r="151" spans="4:13" x14ac:dyDescent="0.25">
      <c r="D151" s="21" t="s">
        <v>1518</v>
      </c>
      <c r="E151" s="22" t="s">
        <v>19</v>
      </c>
      <c r="F151" s="18">
        <f t="shared" si="40"/>
        <v>2027</v>
      </c>
      <c r="G151" s="18">
        <f t="shared" si="41"/>
        <v>2</v>
      </c>
      <c r="H151" s="18">
        <f t="shared" si="42"/>
        <v>9</v>
      </c>
      <c r="I151" s="18" t="str">
        <f t="shared" si="33"/>
        <v>MUSIC</v>
      </c>
      <c r="J151" s="18" t="str">
        <f t="shared" si="34"/>
        <v>Candy Pink</v>
      </c>
      <c r="K151" s="18" t="str">
        <f t="shared" si="35"/>
        <v>Rapid Sparks</v>
      </c>
      <c r="L151" s="18">
        <f t="shared" si="36"/>
        <v>219</v>
      </c>
      <c r="M151" s="19" t="str">
        <f t="shared" si="37"/>
        <v>Laatste Carnavalsdag, Tadaaaaah - tadaaaah</v>
      </c>
    </row>
    <row r="152" spans="4:13" x14ac:dyDescent="0.25">
      <c r="D152" s="21" t="s">
        <v>1518</v>
      </c>
      <c r="E152" s="22" t="s">
        <v>16</v>
      </c>
      <c r="F152" s="18">
        <f t="shared" si="40"/>
        <v>2028</v>
      </c>
      <c r="G152" s="18">
        <f t="shared" si="41"/>
        <v>2</v>
      </c>
      <c r="H152" s="18">
        <f t="shared" si="42"/>
        <v>29</v>
      </c>
      <c r="I152" s="18" t="str">
        <f t="shared" si="33"/>
        <v>MUSIC</v>
      </c>
      <c r="J152" s="18" t="str">
        <f t="shared" si="34"/>
        <v>Candy Pink</v>
      </c>
      <c r="K152" s="18" t="str">
        <f t="shared" si="35"/>
        <v>Rapid Sparks</v>
      </c>
      <c r="L152" s="18">
        <f t="shared" si="36"/>
        <v>250</v>
      </c>
      <c r="M152" s="19" t="str">
        <f t="shared" si="37"/>
        <v>Laatste Carnavalsdag, Alaaf!!</v>
      </c>
    </row>
    <row r="153" spans="4:13" x14ac:dyDescent="0.25">
      <c r="D153" s="21" t="s">
        <v>1518</v>
      </c>
      <c r="E153" s="22" t="s">
        <v>17</v>
      </c>
      <c r="F153" s="18">
        <f t="shared" si="40"/>
        <v>2029</v>
      </c>
      <c r="G153" s="18">
        <f t="shared" si="41"/>
        <v>2</v>
      </c>
      <c r="H153" s="18">
        <f t="shared" si="42"/>
        <v>13</v>
      </c>
      <c r="I153" s="18" t="str">
        <f t="shared" si="33"/>
        <v>MUSIC</v>
      </c>
      <c r="J153" s="18" t="str">
        <f t="shared" si="34"/>
        <v>Candy Pink</v>
      </c>
      <c r="K153" s="18" t="str">
        <f t="shared" si="35"/>
        <v>Rapid Sparks</v>
      </c>
      <c r="L153" s="18">
        <f t="shared" si="36"/>
        <v>245</v>
      </c>
      <c r="M153" s="19" t="str">
        <f t="shared" si="37"/>
        <v>Laatste Carnavalsdag, Keiebijters!!</v>
      </c>
    </row>
    <row r="154" spans="4:13" x14ac:dyDescent="0.25">
      <c r="D154" s="21" t="s">
        <v>1518</v>
      </c>
      <c r="E154" s="22" t="s">
        <v>18</v>
      </c>
      <c r="F154" s="18">
        <f t="shared" si="40"/>
        <v>2030</v>
      </c>
      <c r="G154" s="18">
        <f t="shared" si="41"/>
        <v>3</v>
      </c>
      <c r="H154" s="18">
        <f t="shared" si="42"/>
        <v>5</v>
      </c>
      <c r="I154" s="18" t="str">
        <f t="shared" si="33"/>
        <v>MUSIC</v>
      </c>
      <c r="J154" s="18" t="str">
        <f t="shared" si="34"/>
        <v>Candy Pink</v>
      </c>
      <c r="K154" s="18" t="str">
        <f t="shared" si="35"/>
        <v>Rapid Sparks</v>
      </c>
      <c r="L154" s="18">
        <f t="shared" si="36"/>
        <v>208</v>
      </c>
      <c r="M154" s="19" t="str">
        <f t="shared" si="37"/>
        <v>Laatste Carnavalsdag, En deh hittie naw gedonn umdettie Hellemonder is</v>
      </c>
    </row>
    <row r="155" spans="4:13" x14ac:dyDescent="0.25">
      <c r="D155" s="21" t="s">
        <v>1518</v>
      </c>
      <c r="E155" s="22" t="s">
        <v>1386</v>
      </c>
      <c r="F155" s="18">
        <f t="shared" si="40"/>
        <v>2031</v>
      </c>
      <c r="G155" s="18">
        <f t="shared" si="41"/>
        <v>2</v>
      </c>
      <c r="H155" s="18">
        <f t="shared" si="42"/>
        <v>25</v>
      </c>
      <c r="I155" s="18" t="str">
        <f t="shared" si="33"/>
        <v>MUSIC</v>
      </c>
      <c r="J155" s="18" t="str">
        <f t="shared" si="34"/>
        <v>Candy Pink</v>
      </c>
      <c r="K155" s="18" t="str">
        <f t="shared" si="35"/>
        <v>Rapid Sparks</v>
      </c>
      <c r="L155" s="18">
        <f t="shared" si="36"/>
        <v>174</v>
      </c>
      <c r="M155" s="19" t="str">
        <f t="shared" si="37"/>
        <v>Laatste Carnavalsdag, Agge mar leut heht</v>
      </c>
    </row>
    <row r="156" spans="4:13" x14ac:dyDescent="0.25">
      <c r="D156" s="21" t="s">
        <v>1518</v>
      </c>
      <c r="E156" s="22" t="s">
        <v>16</v>
      </c>
      <c r="F156" s="18">
        <f t="shared" si="40"/>
        <v>2032</v>
      </c>
      <c r="G156" s="18">
        <f t="shared" si="41"/>
        <v>2</v>
      </c>
      <c r="H156" s="18">
        <f t="shared" si="42"/>
        <v>10</v>
      </c>
      <c r="I156" s="18" t="str">
        <f t="shared" si="33"/>
        <v>MUSIC</v>
      </c>
      <c r="J156" s="18" t="str">
        <f t="shared" si="34"/>
        <v>Candy Pink</v>
      </c>
      <c r="K156" s="18" t="str">
        <f t="shared" si="35"/>
        <v>Rapid Sparks</v>
      </c>
      <c r="L156" s="18">
        <f t="shared" si="36"/>
        <v>173</v>
      </c>
      <c r="M156" s="19" t="str">
        <f t="shared" si="37"/>
        <v>Laatste Carnavalsdag, Alaaf!!</v>
      </c>
    </row>
    <row r="157" spans="4:13" x14ac:dyDescent="0.25">
      <c r="D157" s="21" t="s">
        <v>1518</v>
      </c>
      <c r="E157" s="22" t="s">
        <v>17</v>
      </c>
      <c r="F157" s="18">
        <f t="shared" si="40"/>
        <v>2033</v>
      </c>
      <c r="G157" s="18">
        <f t="shared" si="41"/>
        <v>3</v>
      </c>
      <c r="H157" s="18">
        <f t="shared" si="42"/>
        <v>1</v>
      </c>
      <c r="I157" s="18" t="str">
        <f t="shared" si="33"/>
        <v>MUSIC</v>
      </c>
      <c r="J157" s="18" t="str">
        <f t="shared" si="34"/>
        <v>Candy Pink</v>
      </c>
      <c r="K157" s="18" t="str">
        <f t="shared" si="35"/>
        <v>Rapid Sparks</v>
      </c>
      <c r="L157" s="18">
        <f t="shared" si="36"/>
        <v>207</v>
      </c>
      <c r="M157" s="19" t="str">
        <f t="shared" si="37"/>
        <v>Laatste Carnavalsdag, Keiebijters!!</v>
      </c>
    </row>
    <row r="158" spans="4:13" x14ac:dyDescent="0.25">
      <c r="D158" s="21" t="s">
        <v>1518</v>
      </c>
      <c r="E158" s="22" t="s">
        <v>18</v>
      </c>
      <c r="F158" s="18">
        <f t="shared" si="40"/>
        <v>2034</v>
      </c>
      <c r="G158" s="18">
        <f t="shared" si="41"/>
        <v>2</v>
      </c>
      <c r="H158" s="18">
        <f t="shared" si="42"/>
        <v>21</v>
      </c>
      <c r="I158" s="18" t="str">
        <f t="shared" si="33"/>
        <v>MUSIC</v>
      </c>
      <c r="J158" s="18" t="str">
        <f t="shared" si="34"/>
        <v>Candy Pink</v>
      </c>
      <c r="K158" s="18" t="str">
        <f t="shared" si="35"/>
        <v>Rapid Sparks</v>
      </c>
      <c r="L158" s="18">
        <f t="shared" si="36"/>
        <v>244</v>
      </c>
      <c r="M158" s="19" t="str">
        <f t="shared" si="37"/>
        <v>Laatste Carnavalsdag, En deh hittie naw gedonn umdettie Hellemonder is</v>
      </c>
    </row>
    <row r="159" spans="4:13" x14ac:dyDescent="0.25">
      <c r="D159" s="21" t="s">
        <v>1518</v>
      </c>
      <c r="E159" s="22" t="s">
        <v>1386</v>
      </c>
      <c r="F159" s="18">
        <f t="shared" si="40"/>
        <v>2035</v>
      </c>
      <c r="G159" s="18">
        <f t="shared" si="41"/>
        <v>2</v>
      </c>
      <c r="H159" s="18">
        <f t="shared" si="42"/>
        <v>6</v>
      </c>
      <c r="I159" s="18" t="str">
        <f t="shared" si="33"/>
        <v>MUSIC</v>
      </c>
      <c r="J159" s="18" t="str">
        <f t="shared" si="34"/>
        <v>Candy Pink</v>
      </c>
      <c r="K159" s="18" t="str">
        <f t="shared" si="35"/>
        <v>Rapid Sparks</v>
      </c>
      <c r="L159" s="18">
        <f t="shared" si="36"/>
        <v>250</v>
      </c>
      <c r="M159" s="19" t="str">
        <f t="shared" si="37"/>
        <v>Laatste Carnavalsdag, Agge mar leut heht</v>
      </c>
    </row>
    <row r="160" spans="4:13" x14ac:dyDescent="0.25">
      <c r="D160" s="21" t="s">
        <v>1518</v>
      </c>
      <c r="E160" s="22" t="s">
        <v>16</v>
      </c>
      <c r="F160" s="18">
        <f t="shared" si="40"/>
        <v>2036</v>
      </c>
      <c r="G160" s="18">
        <f t="shared" si="41"/>
        <v>2</v>
      </c>
      <c r="H160" s="18">
        <f t="shared" si="42"/>
        <v>26</v>
      </c>
      <c r="I160" s="18" t="str">
        <f t="shared" si="33"/>
        <v>MUSIC</v>
      </c>
      <c r="J160" s="18" t="str">
        <f t="shared" si="34"/>
        <v>Candy Pink</v>
      </c>
      <c r="K160" s="18" t="str">
        <f t="shared" si="35"/>
        <v>Rapid Sparks</v>
      </c>
      <c r="L160" s="18">
        <f t="shared" si="36"/>
        <v>220</v>
      </c>
      <c r="M160" s="19" t="str">
        <f t="shared" si="37"/>
        <v>Laatste Carnavalsdag, Alaaf!!</v>
      </c>
    </row>
    <row r="161" spans="4:13" x14ac:dyDescent="0.25">
      <c r="D161" s="21" t="s">
        <v>1518</v>
      </c>
      <c r="E161" s="22" t="s">
        <v>17</v>
      </c>
      <c r="F161" s="18">
        <f t="shared" si="40"/>
        <v>2037</v>
      </c>
      <c r="G161" s="18">
        <f t="shared" si="41"/>
        <v>2</v>
      </c>
      <c r="H161" s="18">
        <f t="shared" si="42"/>
        <v>17</v>
      </c>
      <c r="I161" s="18" t="str">
        <f t="shared" si="33"/>
        <v>MUSIC</v>
      </c>
      <c r="J161" s="18" t="str">
        <f t="shared" si="34"/>
        <v>Candy Pink</v>
      </c>
      <c r="K161" s="18" t="str">
        <f t="shared" si="35"/>
        <v>Rapid Sparks</v>
      </c>
      <c r="L161" s="18">
        <f t="shared" si="36"/>
        <v>181</v>
      </c>
      <c r="M161" s="19" t="str">
        <f t="shared" si="37"/>
        <v>Laatste Carnavalsdag, Keiebijters!!</v>
      </c>
    </row>
    <row r="162" spans="4:13" x14ac:dyDescent="0.25">
      <c r="D162" s="21" t="s">
        <v>1518</v>
      </c>
      <c r="E162" s="22" t="s">
        <v>18</v>
      </c>
      <c r="F162" s="18">
        <f t="shared" si="40"/>
        <v>2038</v>
      </c>
      <c r="G162" s="18">
        <f t="shared" si="41"/>
        <v>3</v>
      </c>
      <c r="H162" s="18">
        <f t="shared" si="42"/>
        <v>9</v>
      </c>
      <c r="I162" s="18" t="str">
        <f t="shared" si="33"/>
        <v>MUSIC</v>
      </c>
      <c r="J162" s="18" t="str">
        <f t="shared" si="34"/>
        <v>Candy Pink</v>
      </c>
      <c r="K162" s="18" t="str">
        <f t="shared" si="35"/>
        <v>Rapid Sparks</v>
      </c>
      <c r="L162" s="18">
        <f t="shared" si="36"/>
        <v>169</v>
      </c>
      <c r="M162" s="19" t="str">
        <f t="shared" si="37"/>
        <v>Laatste Carnavalsdag, En deh hittie naw gedonn umdettie Hellemonder is</v>
      </c>
    </row>
  </sheetData>
  <dataValidations count="1">
    <dataValidation type="list" allowBlank="1" showInputMessage="1" showErrorMessage="1" sqref="D7:D162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J7" sqref="J7:J3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1360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1357</v>
      </c>
      <c r="V6" s="3" t="s">
        <v>7</v>
      </c>
      <c r="W6" s="3" t="s">
        <v>43</v>
      </c>
      <c r="X6" s="3" t="s">
        <v>230</v>
      </c>
      <c r="Y6" s="3" t="s">
        <v>1412</v>
      </c>
      <c r="Z6">
        <v>99</v>
      </c>
    </row>
    <row r="7" spans="4:26" x14ac:dyDescent="0.25">
      <c r="D7" s="10" t="s">
        <v>1360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1356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1360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1359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1360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1361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1360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1358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1356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1362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1360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1363</v>
      </c>
      <c r="V12" s="3" t="s">
        <v>1364</v>
      </c>
      <c r="W12" s="3" t="s">
        <v>87</v>
      </c>
      <c r="X12" s="3" t="s">
        <v>164</v>
      </c>
      <c r="Y12" s="3" t="s">
        <v>1414</v>
      </c>
      <c r="Z12">
        <v>88</v>
      </c>
    </row>
    <row r="13" spans="4:26" x14ac:dyDescent="0.25">
      <c r="D13" s="10" t="s">
        <v>1359</v>
      </c>
      <c r="E13" s="10" t="s">
        <v>1355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1365</v>
      </c>
      <c r="V13" s="3" t="s">
        <v>1366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1359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1367</v>
      </c>
      <c r="V14" s="3" t="s">
        <v>1368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1359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1369</v>
      </c>
      <c r="V15" s="3" t="s">
        <v>1370</v>
      </c>
      <c r="W15" s="3" t="s">
        <v>52</v>
      </c>
      <c r="X15" s="3" t="s">
        <v>245</v>
      </c>
      <c r="Y15" s="3" t="s">
        <v>1412</v>
      </c>
      <c r="Z15">
        <v>88</v>
      </c>
    </row>
    <row r="16" spans="4:26" x14ac:dyDescent="0.25">
      <c r="D16" s="10" t="s">
        <v>1359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1371</v>
      </c>
      <c r="V16" s="3" t="s">
        <v>1372</v>
      </c>
      <c r="W16" s="3" t="s">
        <v>93</v>
      </c>
      <c r="X16" s="3" t="s">
        <v>158</v>
      </c>
      <c r="Y16" s="3" t="s">
        <v>1413</v>
      </c>
      <c r="Z16">
        <v>88</v>
      </c>
    </row>
    <row r="17" spans="4:26" x14ac:dyDescent="0.25">
      <c r="D17" s="10" t="s">
        <v>1359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1373</v>
      </c>
      <c r="V17" s="3" t="s">
        <v>1374</v>
      </c>
      <c r="W17" s="3" t="s">
        <v>93</v>
      </c>
      <c r="X17" s="3" t="s">
        <v>1393</v>
      </c>
      <c r="Y17" s="3" t="s">
        <v>258</v>
      </c>
      <c r="Z17">
        <v>88</v>
      </c>
    </row>
    <row r="18" spans="4:26" x14ac:dyDescent="0.25">
      <c r="D18" s="10" t="s">
        <v>1359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1375</v>
      </c>
      <c r="V18" s="3" t="s">
        <v>1376</v>
      </c>
      <c r="W18" s="3" t="s">
        <v>45</v>
      </c>
      <c r="X18" s="3" t="s">
        <v>161</v>
      </c>
      <c r="Y18" s="3" t="s">
        <v>1414</v>
      </c>
      <c r="Z18">
        <v>88</v>
      </c>
    </row>
    <row r="19" spans="4:26" x14ac:dyDescent="0.25">
      <c r="D19" s="10" t="s">
        <v>1359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1412</v>
      </c>
      <c r="Z19">
        <v>88</v>
      </c>
    </row>
    <row r="20" spans="4:26" x14ac:dyDescent="0.25">
      <c r="D20" s="10" t="s">
        <v>1359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1412</v>
      </c>
      <c r="Z20">
        <v>88</v>
      </c>
    </row>
    <row r="21" spans="4:26" x14ac:dyDescent="0.25">
      <c r="D21" s="10" t="s">
        <v>1359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1412</v>
      </c>
      <c r="Z21">
        <v>88</v>
      </c>
    </row>
    <row r="22" spans="4:26" x14ac:dyDescent="0.25">
      <c r="D22" s="10" t="s">
        <v>1359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1412</v>
      </c>
      <c r="Z22">
        <v>88</v>
      </c>
    </row>
    <row r="23" spans="4:26" x14ac:dyDescent="0.25">
      <c r="D23" s="10" t="s">
        <v>1359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1412</v>
      </c>
      <c r="Z23">
        <v>88</v>
      </c>
    </row>
    <row r="24" spans="4:26" x14ac:dyDescent="0.25">
      <c r="D24" s="10" t="s">
        <v>1361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1412</v>
      </c>
      <c r="Z24">
        <v>88</v>
      </c>
    </row>
    <row r="25" spans="4:26" x14ac:dyDescent="0.25">
      <c r="D25" s="10" t="s">
        <v>1357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1412</v>
      </c>
      <c r="Z25">
        <v>88</v>
      </c>
    </row>
    <row r="26" spans="4:26" x14ac:dyDescent="0.25">
      <c r="D26" s="10" t="s">
        <v>1358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1412</v>
      </c>
      <c r="Z26">
        <v>88</v>
      </c>
    </row>
    <row r="27" spans="4:26" x14ac:dyDescent="0.25">
      <c r="D27" s="10" t="s">
        <v>1362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1412</v>
      </c>
      <c r="Z27">
        <v>88</v>
      </c>
    </row>
    <row r="28" spans="4:26" x14ac:dyDescent="0.25">
      <c r="D28" s="10" t="s">
        <v>1375</v>
      </c>
      <c r="E28" s="10" t="s">
        <v>1385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1412</v>
      </c>
      <c r="Z28">
        <v>88</v>
      </c>
    </row>
    <row r="29" spans="4:26" x14ac:dyDescent="0.25">
      <c r="D29" s="10" t="s">
        <v>1373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1412</v>
      </c>
      <c r="Z29">
        <v>88</v>
      </c>
    </row>
    <row r="30" spans="4:26" x14ac:dyDescent="0.25">
      <c r="D30" s="10" t="s">
        <v>1371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1412</v>
      </c>
      <c r="Z30">
        <v>88</v>
      </c>
    </row>
    <row r="31" spans="4:26" x14ac:dyDescent="0.25">
      <c r="D31" s="10" t="s">
        <v>1369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1365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478"/>
  <sheetViews>
    <sheetView workbookViewId="0">
      <selection activeCell="F29" sqref="F29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3.42578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46078.579874305557</v>
      </c>
      <c r="V3">
        <f ca="1">YEAR(U3)</f>
        <v>2026</v>
      </c>
      <c r="W3">
        <f ca="1">MONTH(U3)</f>
        <v>2</v>
      </c>
      <c r="X3">
        <f ca="1">DAY(U3)</f>
        <v>25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46079.579874305557</v>
      </c>
      <c r="V4">
        <f t="shared" ref="V4:V67" ca="1" si="12">YEAR(U4)</f>
        <v>2026</v>
      </c>
      <c r="W4">
        <f t="shared" ref="W4:W67" ca="1" si="13">MONTH(U4)</f>
        <v>2</v>
      </c>
      <c r="X4">
        <f t="shared" ref="X4:X67" ca="1" si="14">DAY(U4)</f>
        <v>26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46080.579874305557</v>
      </c>
      <c r="V5">
        <f t="shared" ca="1" si="12"/>
        <v>2026</v>
      </c>
      <c r="W5">
        <f t="shared" ca="1" si="13"/>
        <v>2</v>
      </c>
      <c r="X5">
        <f t="shared" ca="1" si="14"/>
        <v>27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1498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46081.579874305557</v>
      </c>
      <c r="V6">
        <f t="shared" ca="1" si="12"/>
        <v>2026</v>
      </c>
      <c r="W6">
        <f t="shared" ca="1" si="13"/>
        <v>2</v>
      </c>
      <c r="X6">
        <f t="shared" ca="1" si="14"/>
        <v>28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1393</v>
      </c>
      <c r="AN6" t="s">
        <v>258</v>
      </c>
      <c r="AO6" s="1">
        <v>70</v>
      </c>
      <c r="AP6" t="s">
        <v>1374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46082.579874305557</v>
      </c>
      <c r="V7">
        <f t="shared" ca="1" si="12"/>
        <v>2026</v>
      </c>
      <c r="W7">
        <f t="shared" ca="1" si="13"/>
        <v>3</v>
      </c>
      <c r="X7">
        <f t="shared" ca="1" si="14"/>
        <v>1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1499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46083.579874305557</v>
      </c>
      <c r="V8">
        <f t="shared" ca="1" si="12"/>
        <v>2026</v>
      </c>
      <c r="W8">
        <f t="shared" ca="1" si="13"/>
        <v>3</v>
      </c>
      <c r="X8">
        <f t="shared" ca="1" si="14"/>
        <v>2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15</v>
      </c>
      <c r="AL8" t="s">
        <v>93</v>
      </c>
      <c r="AM8" t="s">
        <v>164</v>
      </c>
      <c r="AN8" t="s">
        <v>84</v>
      </c>
      <c r="AO8" s="1">
        <v>117</v>
      </c>
      <c r="AP8" t="s">
        <v>1500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46084.579874305557</v>
      </c>
      <c r="V9">
        <f t="shared" ca="1" si="12"/>
        <v>2026</v>
      </c>
      <c r="W9">
        <f t="shared" ca="1" si="13"/>
        <v>3</v>
      </c>
      <c r="X9">
        <f t="shared" ca="1" si="14"/>
        <v>3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16</v>
      </c>
      <c r="AL9" t="s">
        <v>93</v>
      </c>
      <c r="AM9" t="s">
        <v>164</v>
      </c>
      <c r="AN9" t="s">
        <v>84</v>
      </c>
      <c r="AO9" s="1">
        <v>98</v>
      </c>
      <c r="AP9" t="s">
        <v>1501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46085.579874305557</v>
      </c>
      <c r="V10">
        <f t="shared" ca="1" si="12"/>
        <v>2026</v>
      </c>
      <c r="W10">
        <f t="shared" ca="1" si="13"/>
        <v>3</v>
      </c>
      <c r="X10">
        <f t="shared" ca="1" si="14"/>
        <v>4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46086.579874305557</v>
      </c>
      <c r="V11">
        <f t="shared" ca="1" si="12"/>
        <v>2026</v>
      </c>
      <c r="W11">
        <f t="shared" ca="1" si="13"/>
        <v>3</v>
      </c>
      <c r="X11">
        <f t="shared" ca="1" si="14"/>
        <v>5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46087.579874305557</v>
      </c>
      <c r="V12">
        <f t="shared" ca="1" si="12"/>
        <v>2026</v>
      </c>
      <c r="W12">
        <f t="shared" ca="1" si="13"/>
        <v>3</v>
      </c>
      <c r="X12">
        <f t="shared" ca="1" si="14"/>
        <v>6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1414</v>
      </c>
      <c r="AO12" s="1">
        <v>95</v>
      </c>
      <c r="AP12" t="s">
        <v>1502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46088.579874305557</v>
      </c>
      <c r="V13">
        <f t="shared" ca="1" si="12"/>
        <v>2026</v>
      </c>
      <c r="W13">
        <f t="shared" ca="1" si="13"/>
        <v>3</v>
      </c>
      <c r="X13">
        <f t="shared" ca="1" si="14"/>
        <v>7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171</v>
      </c>
      <c r="AP13" t="s">
        <v>1389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46089.579874305557</v>
      </c>
      <c r="V14">
        <f t="shared" ca="1" si="12"/>
        <v>2026</v>
      </c>
      <c r="W14">
        <f t="shared" ca="1" si="13"/>
        <v>3</v>
      </c>
      <c r="X14">
        <f t="shared" ca="1" si="14"/>
        <v>8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21</v>
      </c>
      <c r="AL14" t="s">
        <v>56</v>
      </c>
      <c r="AM14" t="s">
        <v>184</v>
      </c>
      <c r="AN14" t="s">
        <v>84</v>
      </c>
      <c r="AO14" s="1">
        <v>73</v>
      </c>
      <c r="AP14" t="s">
        <v>123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46090.579874305557</v>
      </c>
      <c r="V15">
        <f t="shared" ca="1" si="12"/>
        <v>2026</v>
      </c>
      <c r="W15">
        <f t="shared" ca="1" si="13"/>
        <v>3</v>
      </c>
      <c r="X15">
        <f t="shared" ca="1" si="14"/>
        <v>9</v>
      </c>
      <c r="Z15" t="b">
        <f t="shared" ca="1" si="15"/>
        <v>0</v>
      </c>
      <c r="AA15" t="b">
        <f t="shared" ca="1" si="16"/>
        <v>0</v>
      </c>
      <c r="AI15">
        <v>2026</v>
      </c>
      <c r="AJ15">
        <v>4</v>
      </c>
      <c r="AK15">
        <v>1</v>
      </c>
      <c r="AL15" t="s">
        <v>91</v>
      </c>
      <c r="AM15" t="s">
        <v>164</v>
      </c>
      <c r="AN15" t="s">
        <v>85</v>
      </c>
      <c r="AO15" s="1">
        <v>265</v>
      </c>
      <c r="AP15" t="s">
        <v>124</v>
      </c>
    </row>
    <row r="16" spans="2:43" x14ac:dyDescent="0.25">
      <c r="B16" s="6">
        <f t="shared" ca="1" si="18"/>
        <v>2026</v>
      </c>
      <c r="C16" s="6">
        <f t="shared" ca="1" si="18"/>
        <v>2</v>
      </c>
      <c r="D16" s="6">
        <f t="shared" ca="1" si="18"/>
        <v>15</v>
      </c>
      <c r="E16" s="6" t="str">
        <f t="shared" ca="1" si="18"/>
        <v>MUSIC</v>
      </c>
      <c r="F16" s="6" t="str">
        <f t="shared" ca="1" si="18"/>
        <v>Candy Pink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46091.579874305557</v>
      </c>
      <c r="V16">
        <f t="shared" ca="1" si="12"/>
        <v>2026</v>
      </c>
      <c r="W16">
        <f t="shared" ca="1" si="13"/>
        <v>3</v>
      </c>
      <c r="X16">
        <f t="shared" ca="1" si="14"/>
        <v>10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3</v>
      </c>
      <c r="AL16" t="s">
        <v>54</v>
      </c>
      <c r="AM16" t="s">
        <v>181</v>
      </c>
      <c r="AN16" t="s">
        <v>83</v>
      </c>
      <c r="AO16" s="1">
        <v>245</v>
      </c>
      <c r="AP16" t="s">
        <v>125</v>
      </c>
    </row>
    <row r="17" spans="2:42" x14ac:dyDescent="0.25">
      <c r="B17" s="6">
        <f t="shared" ca="1" si="18"/>
        <v>2027</v>
      </c>
      <c r="C17" s="6">
        <f t="shared" ca="1" si="18"/>
        <v>2</v>
      </c>
      <c r="D17" s="6">
        <f t="shared" ca="1" si="18"/>
        <v>7</v>
      </c>
      <c r="E17" s="6" t="str">
        <f t="shared" ca="1" si="18"/>
        <v>MUSIC</v>
      </c>
      <c r="F17" s="6" t="str">
        <f t="shared" ca="1" si="18"/>
        <v>Candy Pink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46092.579874305557</v>
      </c>
      <c r="V17">
        <f t="shared" ca="1" si="12"/>
        <v>2026</v>
      </c>
      <c r="W17">
        <f t="shared" ca="1" si="13"/>
        <v>3</v>
      </c>
      <c r="X17">
        <f t="shared" ca="1" si="14"/>
        <v>11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5</v>
      </c>
      <c r="AL17" t="s">
        <v>58</v>
      </c>
      <c r="AM17" t="s">
        <v>158</v>
      </c>
      <c r="AN17" t="s">
        <v>261</v>
      </c>
      <c r="AO17" s="1">
        <v>90</v>
      </c>
      <c r="AP17" t="s">
        <v>12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27</v>
      </c>
      <c r="E18" s="6" t="str">
        <f t="shared" ca="1" si="18"/>
        <v>MUSIC</v>
      </c>
      <c r="F18" s="6" t="str">
        <f t="shared" ca="1" si="18"/>
        <v>Candy Pink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46093.579874305557</v>
      </c>
      <c r="V18">
        <f t="shared" ca="1" si="12"/>
        <v>2026</v>
      </c>
      <c r="W18">
        <f t="shared" ca="1" si="13"/>
        <v>3</v>
      </c>
      <c r="X18">
        <f t="shared" ca="1" si="14"/>
        <v>12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6</v>
      </c>
      <c r="AL18" t="s">
        <v>58</v>
      </c>
      <c r="AM18" t="s">
        <v>198</v>
      </c>
      <c r="AN18" t="s">
        <v>265</v>
      </c>
      <c r="AO18" s="1">
        <v>249</v>
      </c>
      <c r="AP18" t="s">
        <v>1379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11</v>
      </c>
      <c r="E19" s="6" t="str">
        <f t="shared" ca="1" si="18"/>
        <v>MUSIC</v>
      </c>
      <c r="F19" s="6" t="str">
        <f t="shared" ca="1" si="18"/>
        <v>Candy Pink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Carnaval, Agge mar leut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46094.579874305557</v>
      </c>
      <c r="V19">
        <f t="shared" ca="1" si="12"/>
        <v>2026</v>
      </c>
      <c r="W19">
        <f t="shared" ca="1" si="13"/>
        <v>3</v>
      </c>
      <c r="X19">
        <f t="shared" ca="1" si="14"/>
        <v>13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30</v>
      </c>
      <c r="AL19" t="s">
        <v>56</v>
      </c>
      <c r="AM19" t="s">
        <v>184</v>
      </c>
      <c r="AN19" t="s">
        <v>84</v>
      </c>
      <c r="AO19" s="1">
        <v>98</v>
      </c>
      <c r="AP19" t="s">
        <v>126</v>
      </c>
    </row>
    <row r="20" spans="2:42" x14ac:dyDescent="0.25">
      <c r="B20" s="6">
        <f t="shared" ca="1" si="18"/>
        <v>2030</v>
      </c>
      <c r="C20" s="6">
        <f t="shared" ca="1" si="18"/>
        <v>3</v>
      </c>
      <c r="D20" s="6">
        <f t="shared" ca="1" si="18"/>
        <v>3</v>
      </c>
      <c r="E20" s="6" t="str">
        <f t="shared" ca="1" si="18"/>
        <v>MUSIC</v>
      </c>
      <c r="F20" s="6" t="str">
        <f t="shared" ca="1" si="18"/>
        <v>Candy Pink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46095.579874305557</v>
      </c>
      <c r="V20">
        <f t="shared" ca="1" si="12"/>
        <v>2026</v>
      </c>
      <c r="W20">
        <f t="shared" ca="1" si="13"/>
        <v>3</v>
      </c>
      <c r="X20">
        <f t="shared" ca="1" si="14"/>
        <v>14</v>
      </c>
      <c r="Z20" t="b">
        <f t="shared" ca="1" si="15"/>
        <v>0</v>
      </c>
      <c r="AA20" t="b">
        <f t="shared" ca="1" si="16"/>
        <v>0</v>
      </c>
      <c r="AI20">
        <v>2026</v>
      </c>
      <c r="AJ20">
        <v>5</v>
      </c>
      <c r="AK20">
        <v>1</v>
      </c>
      <c r="AL20" t="s">
        <v>91</v>
      </c>
      <c r="AM20" t="s">
        <v>164</v>
      </c>
      <c r="AN20" t="s">
        <v>85</v>
      </c>
      <c r="AO20" s="1">
        <v>202</v>
      </c>
      <c r="AP20" t="s">
        <v>127</v>
      </c>
    </row>
    <row r="21" spans="2:42" x14ac:dyDescent="0.25">
      <c r="B21" s="6">
        <f t="shared" ca="1" si="18"/>
        <v>2031</v>
      </c>
      <c r="C21" s="6">
        <f t="shared" ca="1" si="18"/>
        <v>2</v>
      </c>
      <c r="D21" s="6">
        <f t="shared" ca="1" si="18"/>
        <v>23</v>
      </c>
      <c r="E21" s="6" t="str">
        <f t="shared" ca="1" si="18"/>
        <v>MUSIC</v>
      </c>
      <c r="F21" s="6" t="str">
        <f t="shared" ca="1" si="18"/>
        <v>Candy Pink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46096.579874305557</v>
      </c>
      <c r="V21">
        <f t="shared" ca="1" si="12"/>
        <v>2026</v>
      </c>
      <c r="W21">
        <f t="shared" ca="1" si="13"/>
        <v>3</v>
      </c>
      <c r="X21">
        <f t="shared" ca="1" si="14"/>
        <v>15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4</v>
      </c>
      <c r="AL21" t="s">
        <v>89</v>
      </c>
      <c r="AM21" t="s">
        <v>233</v>
      </c>
      <c r="AN21" t="s">
        <v>83</v>
      </c>
      <c r="AO21" s="1">
        <v>102</v>
      </c>
      <c r="AP21" t="s">
        <v>1366</v>
      </c>
    </row>
    <row r="22" spans="2:42" x14ac:dyDescent="0.25">
      <c r="B22" s="6">
        <f t="shared" ca="1" si="18"/>
        <v>2032</v>
      </c>
      <c r="C22" s="6">
        <f t="shared" ca="1" si="18"/>
        <v>2</v>
      </c>
      <c r="D22" s="6">
        <f t="shared" ca="1" si="18"/>
        <v>8</v>
      </c>
      <c r="E22" s="6" t="str">
        <f t="shared" ca="1" si="18"/>
        <v>MUSIC</v>
      </c>
      <c r="F22" s="6" t="str">
        <f t="shared" ca="1" si="18"/>
        <v>Candy Pink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46097.579874305557</v>
      </c>
      <c r="V22">
        <f t="shared" ca="1" si="12"/>
        <v>2026</v>
      </c>
      <c r="W22">
        <f t="shared" ca="1" si="13"/>
        <v>3</v>
      </c>
      <c r="X22">
        <f t="shared" ca="1" si="14"/>
        <v>16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5</v>
      </c>
      <c r="AL22" t="s">
        <v>93</v>
      </c>
      <c r="AM22" t="s">
        <v>152</v>
      </c>
      <c r="AN22" t="s">
        <v>84</v>
      </c>
      <c r="AO22" s="1">
        <v>64</v>
      </c>
      <c r="AP22" t="s">
        <v>107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2</v>
      </c>
      <c r="D23" s="6">
        <f t="shared" ca="1" si="19"/>
        <v>27</v>
      </c>
      <c r="E23" s="6" t="str">
        <f t="shared" ca="1" si="19"/>
        <v>MUSIC</v>
      </c>
      <c r="F23" s="6" t="str">
        <f t="shared" ca="1" si="19"/>
        <v>Candy Pink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Carnaval, Agge mar leut heht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46098.579874305557</v>
      </c>
      <c r="V23">
        <f t="shared" ca="1" si="12"/>
        <v>2026</v>
      </c>
      <c r="W23">
        <f t="shared" ca="1" si="13"/>
        <v>3</v>
      </c>
      <c r="X23">
        <f t="shared" ca="1" si="14"/>
        <v>17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10</v>
      </c>
      <c r="AL23" t="s">
        <v>56</v>
      </c>
      <c r="AM23" t="s">
        <v>184</v>
      </c>
      <c r="AN23" t="s">
        <v>84</v>
      </c>
      <c r="AO23" s="1">
        <v>73</v>
      </c>
      <c r="AP23" t="s">
        <v>128</v>
      </c>
    </row>
    <row r="24" spans="2:42" x14ac:dyDescent="0.25">
      <c r="B24" s="6">
        <f t="shared" ca="1" si="19"/>
        <v>2034</v>
      </c>
      <c r="C24" s="6">
        <f t="shared" ca="1" si="19"/>
        <v>2</v>
      </c>
      <c r="D24" s="6">
        <f t="shared" ca="1" si="19"/>
        <v>19</v>
      </c>
      <c r="E24" s="6" t="str">
        <f t="shared" ca="1" si="19"/>
        <v>MUSIC</v>
      </c>
      <c r="F24" s="6" t="str">
        <f t="shared" ca="1" si="19"/>
        <v>Candy Pink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Carnaval, Alaaf!!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enzovoortsen nog meer decimalen</v>
      </c>
      <c r="S24" s="7"/>
      <c r="U24" s="5">
        <f t="shared" ca="1" si="17"/>
        <v>46099.579874305557</v>
      </c>
      <c r="V24">
        <f t="shared" ca="1" si="12"/>
        <v>2026</v>
      </c>
      <c r="W24">
        <f t="shared" ca="1" si="13"/>
        <v>3</v>
      </c>
      <c r="X24">
        <f t="shared" ca="1" si="14"/>
        <v>18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14</v>
      </c>
      <c r="AL24" t="s">
        <v>44</v>
      </c>
      <c r="AM24" t="s">
        <v>227</v>
      </c>
      <c r="AN24" t="s">
        <v>83</v>
      </c>
      <c r="AO24" s="1">
        <v>133</v>
      </c>
      <c r="AP24" t="s">
        <v>14</v>
      </c>
    </row>
    <row r="25" spans="2:42" x14ac:dyDescent="0.25">
      <c r="B25" s="6">
        <f t="shared" ca="1" si="19"/>
        <v>2035</v>
      </c>
      <c r="C25" s="6">
        <f t="shared" ca="1" si="19"/>
        <v>2</v>
      </c>
      <c r="D25" s="6">
        <f t="shared" ca="1" si="19"/>
        <v>4</v>
      </c>
      <c r="E25" s="6" t="str">
        <f t="shared" ca="1" si="19"/>
        <v>MUSIC</v>
      </c>
      <c r="F25" s="6" t="str">
        <f t="shared" ca="1" si="19"/>
        <v>Candy Pink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Carnaval, Keiebijters!!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46100.579874305557</v>
      </c>
      <c r="V25">
        <f t="shared" ca="1" si="12"/>
        <v>2026</v>
      </c>
      <c r="W25">
        <f t="shared" ca="1" si="13"/>
        <v>3</v>
      </c>
      <c r="X25">
        <f t="shared" ca="1" si="14"/>
        <v>19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24</v>
      </c>
      <c r="AL25" t="s">
        <v>49</v>
      </c>
      <c r="AM25" t="s">
        <v>167</v>
      </c>
      <c r="AN25" t="s">
        <v>85</v>
      </c>
      <c r="AO25" s="1">
        <v>164</v>
      </c>
      <c r="AP25" t="s">
        <v>129</v>
      </c>
    </row>
    <row r="26" spans="2:42" x14ac:dyDescent="0.25">
      <c r="B26" s="6">
        <f t="shared" ca="1" si="19"/>
        <v>2036</v>
      </c>
      <c r="C26" s="6">
        <f t="shared" ca="1" si="19"/>
        <v>2</v>
      </c>
      <c r="D26" s="6">
        <f t="shared" ca="1" si="19"/>
        <v>24</v>
      </c>
      <c r="E26" s="6" t="str">
        <f t="shared" ca="1" si="19"/>
        <v>MUSIC</v>
      </c>
      <c r="F26" s="6" t="str">
        <f t="shared" ca="1" si="19"/>
        <v>Candy Pink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Carnaval, En deh hittie naw gedonn umdettie Hellemonder is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46101.579874305557</v>
      </c>
      <c r="V26">
        <f t="shared" ca="1" si="12"/>
        <v>2026</v>
      </c>
      <c r="W26">
        <f t="shared" ca="1" si="13"/>
        <v>3</v>
      </c>
      <c r="X26">
        <f t="shared" ca="1" si="14"/>
        <v>20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25</v>
      </c>
      <c r="AL26" t="s">
        <v>49</v>
      </c>
      <c r="AM26" t="s">
        <v>167</v>
      </c>
      <c r="AN26" t="s">
        <v>85</v>
      </c>
      <c r="AO26" s="1">
        <v>174</v>
      </c>
      <c r="AP26" t="s">
        <v>1503</v>
      </c>
    </row>
    <row r="27" spans="2:42" x14ac:dyDescent="0.25">
      <c r="B27" s="6">
        <f t="shared" ca="1" si="19"/>
        <v>2037</v>
      </c>
      <c r="C27" s="6">
        <f t="shared" ca="1" si="19"/>
        <v>2</v>
      </c>
      <c r="D27" s="6">
        <f t="shared" ca="1" si="19"/>
        <v>15</v>
      </c>
      <c r="E27" s="6" t="str">
        <f t="shared" ca="1" si="19"/>
        <v>MUSIC</v>
      </c>
      <c r="F27" s="6" t="str">
        <f t="shared" ca="1" si="19"/>
        <v>Candy Pink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Carnaval, Agge mar leut heht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46102.579874305557</v>
      </c>
      <c r="V27">
        <f t="shared" ca="1" si="12"/>
        <v>2026</v>
      </c>
      <c r="W27">
        <f t="shared" ca="1" si="13"/>
        <v>3</v>
      </c>
      <c r="X27">
        <f t="shared" ca="1" si="14"/>
        <v>21</v>
      </c>
      <c r="Z27" t="b">
        <f t="shared" ca="1" si="15"/>
        <v>0</v>
      </c>
      <c r="AA27" t="b">
        <f t="shared" ca="1" si="16"/>
        <v>0</v>
      </c>
      <c r="AI27">
        <v>2026</v>
      </c>
      <c r="AJ27">
        <v>6</v>
      </c>
      <c r="AK27">
        <v>1</v>
      </c>
      <c r="AL27" t="s">
        <v>91</v>
      </c>
      <c r="AM27" t="s">
        <v>164</v>
      </c>
      <c r="AN27" t="s">
        <v>85</v>
      </c>
      <c r="AO27" s="1">
        <v>157</v>
      </c>
      <c r="AP27" t="s">
        <v>130</v>
      </c>
    </row>
    <row r="28" spans="2:42" x14ac:dyDescent="0.25">
      <c r="B28" s="6">
        <f t="shared" ca="1" si="19"/>
        <v>2038</v>
      </c>
      <c r="C28" s="6">
        <f t="shared" ca="1" si="19"/>
        <v>3</v>
      </c>
      <c r="D28" s="6">
        <f t="shared" ca="1" si="19"/>
        <v>7</v>
      </c>
      <c r="E28" s="6" t="str">
        <f t="shared" ca="1" si="19"/>
        <v>MUSIC</v>
      </c>
      <c r="F28" s="6" t="str">
        <f t="shared" ca="1" si="19"/>
        <v>Candy Pink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Carnaval, Tadaaaaah - tadaaaah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46103.579874305557</v>
      </c>
      <c r="V28">
        <f t="shared" ca="1" si="12"/>
        <v>2026</v>
      </c>
      <c r="W28">
        <f t="shared" ca="1" si="13"/>
        <v>3</v>
      </c>
      <c r="X28">
        <f t="shared" ca="1" si="14"/>
        <v>22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24</v>
      </c>
      <c r="AL28" t="s">
        <v>93</v>
      </c>
      <c r="AM28" t="s">
        <v>158</v>
      </c>
      <c r="AN28" t="s">
        <v>1413</v>
      </c>
      <c r="AO28" s="1">
        <v>61</v>
      </c>
      <c r="AP28" t="s">
        <v>1372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46104.579874305557</v>
      </c>
      <c r="V29">
        <f t="shared" ca="1" si="12"/>
        <v>2026</v>
      </c>
      <c r="W29">
        <f t="shared" ca="1" si="13"/>
        <v>3</v>
      </c>
      <c r="X29">
        <f t="shared" ca="1" si="14"/>
        <v>23</v>
      </c>
      <c r="Z29" t="b">
        <f t="shared" ca="1" si="15"/>
        <v>0</v>
      </c>
      <c r="AA29" t="b">
        <f t="shared" ca="1" si="16"/>
        <v>0</v>
      </c>
      <c r="AI29">
        <v>2026</v>
      </c>
      <c r="AJ29">
        <v>7</v>
      </c>
      <c r="AK29">
        <v>1</v>
      </c>
      <c r="AL29" t="s">
        <v>91</v>
      </c>
      <c r="AM29" t="s">
        <v>164</v>
      </c>
      <c r="AN29" t="s">
        <v>85</v>
      </c>
      <c r="AO29" s="1">
        <v>171</v>
      </c>
      <c r="AP29" t="s">
        <v>131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46105.579874305557</v>
      </c>
      <c r="V30">
        <f t="shared" ca="1" si="12"/>
        <v>2026</v>
      </c>
      <c r="W30">
        <f t="shared" ca="1" si="13"/>
        <v>3</v>
      </c>
      <c r="X30">
        <f t="shared" ca="1" si="14"/>
        <v>24</v>
      </c>
      <c r="Z30" t="b">
        <f t="shared" ca="1" si="15"/>
        <v>0</v>
      </c>
      <c r="AA30" t="b">
        <f t="shared" ca="1" si="16"/>
        <v>0</v>
      </c>
      <c r="AI30">
        <v>2026</v>
      </c>
      <c r="AJ30">
        <v>8</v>
      </c>
      <c r="AK30">
        <v>1</v>
      </c>
      <c r="AL30" t="s">
        <v>91</v>
      </c>
      <c r="AM30" t="s">
        <v>164</v>
      </c>
      <c r="AN30" t="s">
        <v>85</v>
      </c>
      <c r="AO30" s="1">
        <v>231</v>
      </c>
      <c r="AP30" t="s">
        <v>132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46106.579874305557</v>
      </c>
      <c r="V31">
        <f t="shared" ca="1" si="12"/>
        <v>2026</v>
      </c>
      <c r="W31">
        <f t="shared" ca="1" si="13"/>
        <v>3</v>
      </c>
      <c r="X31">
        <f t="shared" ca="1" si="14"/>
        <v>25</v>
      </c>
      <c r="Z31" t="b">
        <f t="shared" ca="1" si="15"/>
        <v>0</v>
      </c>
      <c r="AA31" t="b">
        <f t="shared" ca="1" si="16"/>
        <v>0</v>
      </c>
      <c r="AI31">
        <v>2026</v>
      </c>
      <c r="AJ31">
        <v>9</v>
      </c>
      <c r="AK31">
        <v>1</v>
      </c>
      <c r="AL31" t="s">
        <v>91</v>
      </c>
      <c r="AM31" t="s">
        <v>164</v>
      </c>
      <c r="AN31" t="s">
        <v>85</v>
      </c>
      <c r="AO31" s="1">
        <v>282</v>
      </c>
      <c r="AP31" t="s">
        <v>133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46107.579874305557</v>
      </c>
      <c r="V32">
        <f t="shared" ca="1" si="12"/>
        <v>2026</v>
      </c>
      <c r="W32">
        <f t="shared" ca="1" si="13"/>
        <v>3</v>
      </c>
      <c r="X32">
        <f t="shared" ca="1" si="14"/>
        <v>26</v>
      </c>
      <c r="Z32" t="b">
        <f t="shared" ca="1" si="15"/>
        <v>0</v>
      </c>
      <c r="AA32" t="b">
        <f t="shared" ca="1" si="16"/>
        <v>0</v>
      </c>
      <c r="AI32">
        <v>2026</v>
      </c>
      <c r="AJ32">
        <v>10</v>
      </c>
      <c r="AK32">
        <v>1</v>
      </c>
      <c r="AL32" t="s">
        <v>91</v>
      </c>
      <c r="AM32" t="s">
        <v>164</v>
      </c>
      <c r="AN32" t="s">
        <v>85</v>
      </c>
      <c r="AO32" s="1">
        <v>277</v>
      </c>
      <c r="AP32" t="s">
        <v>134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46108.579874305557</v>
      </c>
      <c r="V33">
        <f t="shared" ca="1" si="12"/>
        <v>2026</v>
      </c>
      <c r="W33">
        <f t="shared" ca="1" si="13"/>
        <v>3</v>
      </c>
      <c r="X33">
        <f t="shared" ca="1" si="14"/>
        <v>27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8</v>
      </c>
      <c r="AL33" t="s">
        <v>56</v>
      </c>
      <c r="AM33" t="s">
        <v>184</v>
      </c>
      <c r="AN33" t="s">
        <v>84</v>
      </c>
      <c r="AO33" s="1">
        <v>105</v>
      </c>
      <c r="AP33" t="s">
        <v>135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46109.579874305557</v>
      </c>
      <c r="V34">
        <f t="shared" ca="1" si="12"/>
        <v>2026</v>
      </c>
      <c r="W34">
        <f t="shared" ca="1" si="13"/>
        <v>3</v>
      </c>
      <c r="X34">
        <f t="shared" ca="1" si="14"/>
        <v>28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11</v>
      </c>
      <c r="AK34">
        <v>1</v>
      </c>
      <c r="AL34" t="s">
        <v>91</v>
      </c>
      <c r="AM34" t="s">
        <v>164</v>
      </c>
      <c r="AN34" t="s">
        <v>85</v>
      </c>
      <c r="AO34" s="1">
        <v>221</v>
      </c>
      <c r="AP34" t="s">
        <v>136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46110.579874305557</v>
      </c>
      <c r="V35">
        <f t="shared" ca="1" si="12"/>
        <v>2026</v>
      </c>
      <c r="W35">
        <f t="shared" ca="1" si="13"/>
        <v>3</v>
      </c>
      <c r="X35">
        <f t="shared" ca="1" si="14"/>
        <v>29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12</v>
      </c>
      <c r="AK35">
        <v>1</v>
      </c>
      <c r="AL35" t="s">
        <v>91</v>
      </c>
      <c r="AM35" t="s">
        <v>164</v>
      </c>
      <c r="AN35" t="s">
        <v>85</v>
      </c>
      <c r="AO35" s="1">
        <v>165</v>
      </c>
      <c r="AP35" t="s">
        <v>137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46111.579874305557</v>
      </c>
      <c r="V36">
        <f t="shared" ca="1" si="12"/>
        <v>2026</v>
      </c>
      <c r="W36">
        <f t="shared" ca="1" si="13"/>
        <v>3</v>
      </c>
      <c r="X36">
        <f t="shared" ca="1" si="14"/>
        <v>30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5</v>
      </c>
      <c r="AL36" t="s">
        <v>53</v>
      </c>
      <c r="AM36" t="s">
        <v>224</v>
      </c>
      <c r="AN36" t="s">
        <v>258</v>
      </c>
      <c r="AO36" s="1">
        <v>113</v>
      </c>
      <c r="AP36" t="s">
        <v>1234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46112.579874305557</v>
      </c>
      <c r="V37">
        <f t="shared" ca="1" si="12"/>
        <v>2026</v>
      </c>
      <c r="W37">
        <f t="shared" ca="1" si="13"/>
        <v>3</v>
      </c>
      <c r="X37">
        <f t="shared" ca="1" si="14"/>
        <v>31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13</v>
      </c>
      <c r="AL37" t="s">
        <v>56</v>
      </c>
      <c r="AM37" t="s">
        <v>184</v>
      </c>
      <c r="AN37" t="s">
        <v>84</v>
      </c>
      <c r="AO37" s="1">
        <v>114</v>
      </c>
      <c r="AP37" t="s">
        <v>138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46113.579874305557</v>
      </c>
      <c r="V38">
        <f t="shared" ca="1" si="12"/>
        <v>2026</v>
      </c>
      <c r="W38">
        <f t="shared" ca="1" si="13"/>
        <v>4</v>
      </c>
      <c r="X38">
        <f t="shared" ca="1" si="14"/>
        <v>1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25</v>
      </c>
      <c r="AL38" t="s">
        <v>43</v>
      </c>
      <c r="AM38" t="s">
        <v>230</v>
      </c>
      <c r="AN38" t="s">
        <v>1412</v>
      </c>
      <c r="AO38" s="1">
        <v>95</v>
      </c>
      <c r="AP38" t="s">
        <v>7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46114.579874305557</v>
      </c>
      <c r="V39">
        <f t="shared" ca="1" si="12"/>
        <v>2026</v>
      </c>
      <c r="W39">
        <f t="shared" ca="1" si="13"/>
        <v>4</v>
      </c>
      <c r="X39">
        <f t="shared" ca="1" si="14"/>
        <v>2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26</v>
      </c>
      <c r="AL39" t="s">
        <v>43</v>
      </c>
      <c r="AM39" t="s">
        <v>201</v>
      </c>
      <c r="AN39" t="s">
        <v>86</v>
      </c>
      <c r="AO39" s="1">
        <v>108</v>
      </c>
      <c r="AP39" t="s">
        <v>78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46115.579874305557</v>
      </c>
      <c r="V40">
        <f t="shared" ca="1" si="12"/>
        <v>2026</v>
      </c>
      <c r="W40">
        <f t="shared" ca="1" si="13"/>
        <v>4</v>
      </c>
      <c r="X40">
        <f t="shared" ca="1" si="14"/>
        <v>3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28</v>
      </c>
      <c r="AL40" t="s">
        <v>52</v>
      </c>
      <c r="AM40" t="s">
        <v>245</v>
      </c>
      <c r="AN40" t="s">
        <v>1412</v>
      </c>
      <c r="AO40" s="1">
        <v>77</v>
      </c>
      <c r="AP40" t="s">
        <v>1370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46116.579874305557</v>
      </c>
      <c r="V41">
        <f t="shared" ca="1" si="12"/>
        <v>2026</v>
      </c>
      <c r="W41">
        <f t="shared" ca="1" si="13"/>
        <v>4</v>
      </c>
      <c r="X41">
        <f t="shared" ca="1" si="14"/>
        <v>4</v>
      </c>
      <c r="Z41" t="b">
        <f t="shared" ca="1" si="15"/>
        <v>0</v>
      </c>
      <c r="AA41" t="b">
        <f t="shared" ca="1" si="16"/>
        <v>0</v>
      </c>
      <c r="AI41">
        <v>2027</v>
      </c>
      <c r="AJ41">
        <v>1</v>
      </c>
      <c r="AK41">
        <v>1</v>
      </c>
      <c r="AL41" t="s">
        <v>93</v>
      </c>
      <c r="AM41" t="s">
        <v>256</v>
      </c>
      <c r="AN41" t="s">
        <v>83</v>
      </c>
      <c r="AO41" s="1">
        <v>77</v>
      </c>
      <c r="AP41" t="s">
        <v>8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46117.579874305557</v>
      </c>
      <c r="V42">
        <f t="shared" ca="1" si="12"/>
        <v>2026</v>
      </c>
      <c r="W42">
        <f t="shared" ca="1" si="13"/>
        <v>4</v>
      </c>
      <c r="X42">
        <f t="shared" ca="1" si="14"/>
        <v>5</v>
      </c>
      <c r="Z42" t="b">
        <f t="shared" ca="1" si="15"/>
        <v>0</v>
      </c>
      <c r="AA42" t="b">
        <f t="shared" ca="1" si="16"/>
        <v>0</v>
      </c>
      <c r="AI42">
        <v>2027</v>
      </c>
      <c r="AJ42">
        <v>2</v>
      </c>
      <c r="AK42">
        <v>1</v>
      </c>
      <c r="AL42" t="s">
        <v>91</v>
      </c>
      <c r="AM42" t="s">
        <v>164</v>
      </c>
      <c r="AN42" t="s">
        <v>85</v>
      </c>
      <c r="AO42" s="1">
        <v>249</v>
      </c>
      <c r="AP42" t="s">
        <v>1498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46118.579874305557</v>
      </c>
      <c r="V43">
        <f t="shared" ca="1" si="12"/>
        <v>2026</v>
      </c>
      <c r="W43">
        <f t="shared" ca="1" si="13"/>
        <v>4</v>
      </c>
      <c r="X43">
        <f t="shared" ca="1" si="14"/>
        <v>6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7</v>
      </c>
      <c r="AL43" t="s">
        <v>93</v>
      </c>
      <c r="AM43" t="s">
        <v>164</v>
      </c>
      <c r="AN43" t="s">
        <v>84</v>
      </c>
      <c r="AO43" s="1">
        <v>115</v>
      </c>
      <c r="AP43" t="s">
        <v>1504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46119.579874305557</v>
      </c>
      <c r="V44">
        <f t="shared" ca="1" si="12"/>
        <v>2026</v>
      </c>
      <c r="W44">
        <f t="shared" ca="1" si="13"/>
        <v>4</v>
      </c>
      <c r="X44">
        <f t="shared" ca="1" si="14"/>
        <v>7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1500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46120.579874305557</v>
      </c>
      <c r="V45">
        <f t="shared" ca="1" si="12"/>
        <v>2026</v>
      </c>
      <c r="W45">
        <f t="shared" ca="1" si="13"/>
        <v>4</v>
      </c>
      <c r="X45">
        <f t="shared" ca="1" si="14"/>
        <v>8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1505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46121.579874305557</v>
      </c>
      <c r="V46">
        <f t="shared" ca="1" si="12"/>
        <v>2026</v>
      </c>
      <c r="W46">
        <f t="shared" ca="1" si="13"/>
        <v>4</v>
      </c>
      <c r="X46">
        <f t="shared" ca="1" si="14"/>
        <v>9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10</v>
      </c>
      <c r="AL46" t="s">
        <v>89</v>
      </c>
      <c r="AM46" t="s">
        <v>204</v>
      </c>
      <c r="AN46" t="s">
        <v>86</v>
      </c>
      <c r="AO46" s="1">
        <v>227</v>
      </c>
      <c r="AP46" t="s">
        <v>139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46122.579874305557</v>
      </c>
      <c r="V47">
        <f t="shared" ca="1" si="12"/>
        <v>2026</v>
      </c>
      <c r="W47">
        <f t="shared" ca="1" si="13"/>
        <v>4</v>
      </c>
      <c r="X47">
        <f t="shared" ca="1" si="14"/>
        <v>10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14</v>
      </c>
      <c r="AL47" t="s">
        <v>93</v>
      </c>
      <c r="AM47" t="s">
        <v>1393</v>
      </c>
      <c r="AN47" t="s">
        <v>258</v>
      </c>
      <c r="AO47" s="1">
        <v>70</v>
      </c>
      <c r="AP47" t="s">
        <v>1374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46123.579874305557</v>
      </c>
      <c r="V48">
        <f t="shared" ca="1" si="12"/>
        <v>2026</v>
      </c>
      <c r="W48">
        <f t="shared" ca="1" si="13"/>
        <v>4</v>
      </c>
      <c r="X48">
        <f t="shared" ca="1" si="14"/>
        <v>11</v>
      </c>
      <c r="Z48" t="b">
        <f t="shared" ca="1" si="15"/>
        <v>0</v>
      </c>
      <c r="AA48" t="b">
        <f t="shared" ca="1" si="16"/>
        <v>0</v>
      </c>
      <c r="AI48">
        <v>2027</v>
      </c>
      <c r="AJ48">
        <v>3</v>
      </c>
      <c r="AK48">
        <v>1</v>
      </c>
      <c r="AL48" t="s">
        <v>91</v>
      </c>
      <c r="AM48" t="s">
        <v>164</v>
      </c>
      <c r="AN48" t="s">
        <v>85</v>
      </c>
      <c r="AO48" s="1">
        <v>287</v>
      </c>
      <c r="AP48" t="s">
        <v>122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46124.579874305557</v>
      </c>
      <c r="V49">
        <f t="shared" ca="1" si="12"/>
        <v>2026</v>
      </c>
      <c r="W49">
        <f t="shared" ca="1" si="13"/>
        <v>4</v>
      </c>
      <c r="X49">
        <f t="shared" ca="1" si="14"/>
        <v>12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9</v>
      </c>
      <c r="AL49" t="s">
        <v>52</v>
      </c>
      <c r="AM49" t="s">
        <v>79</v>
      </c>
      <c r="AN49" t="s">
        <v>259</v>
      </c>
      <c r="AO49" s="1">
        <v>201</v>
      </c>
      <c r="AP49" t="s">
        <v>1389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46125.579874305557</v>
      </c>
      <c r="V50">
        <f t="shared" ca="1" si="12"/>
        <v>2026</v>
      </c>
      <c r="W50">
        <f t="shared" ca="1" si="13"/>
        <v>4</v>
      </c>
      <c r="X50">
        <f t="shared" ca="1" si="14"/>
        <v>13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14</v>
      </c>
      <c r="AL50" t="s">
        <v>45</v>
      </c>
      <c r="AM50" t="s">
        <v>161</v>
      </c>
      <c r="AN50" t="s">
        <v>1414</v>
      </c>
      <c r="AO50" s="1">
        <v>95</v>
      </c>
      <c r="AP50" t="s">
        <v>1502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46126.579874305557</v>
      </c>
      <c r="V51">
        <f t="shared" ca="1" si="12"/>
        <v>2026</v>
      </c>
      <c r="W51">
        <f t="shared" ca="1" si="13"/>
        <v>4</v>
      </c>
      <c r="X51">
        <f t="shared" ca="1" si="14"/>
        <v>14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21</v>
      </c>
      <c r="AL51" t="s">
        <v>56</v>
      </c>
      <c r="AM51" t="s">
        <v>184</v>
      </c>
      <c r="AN51" t="s">
        <v>84</v>
      </c>
      <c r="AO51" s="1">
        <v>73</v>
      </c>
      <c r="AP51" t="s">
        <v>123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46127.579874305557</v>
      </c>
      <c r="V52">
        <f t="shared" ca="1" si="12"/>
        <v>2026</v>
      </c>
      <c r="W52">
        <f t="shared" ca="1" si="13"/>
        <v>4</v>
      </c>
      <c r="X52">
        <f t="shared" ca="1" si="14"/>
        <v>15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26</v>
      </c>
      <c r="AL52" t="s">
        <v>54</v>
      </c>
      <c r="AM52" t="s">
        <v>181</v>
      </c>
      <c r="AN52" t="s">
        <v>83</v>
      </c>
      <c r="AO52" s="1">
        <v>202</v>
      </c>
      <c r="AP52" t="s">
        <v>140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46128.579874305557</v>
      </c>
      <c r="V53">
        <f t="shared" ca="1" si="12"/>
        <v>2026</v>
      </c>
      <c r="W53">
        <f t="shared" ca="1" si="13"/>
        <v>4</v>
      </c>
      <c r="X53">
        <f t="shared" ca="1" si="14"/>
        <v>16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28</v>
      </c>
      <c r="AL53" t="s">
        <v>58</v>
      </c>
      <c r="AM53" t="s">
        <v>158</v>
      </c>
      <c r="AN53" t="s">
        <v>261</v>
      </c>
      <c r="AO53" s="1">
        <v>95</v>
      </c>
      <c r="AP53" t="s">
        <v>141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46129.579874305557</v>
      </c>
      <c r="V54">
        <f t="shared" ca="1" si="12"/>
        <v>2026</v>
      </c>
      <c r="W54">
        <f t="shared" ca="1" si="13"/>
        <v>4</v>
      </c>
      <c r="X54">
        <f t="shared" ca="1" si="14"/>
        <v>17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29</v>
      </c>
      <c r="AL54" t="s">
        <v>58</v>
      </c>
      <c r="AM54" t="s">
        <v>198</v>
      </c>
      <c r="AN54" t="s">
        <v>265</v>
      </c>
      <c r="AO54" s="1">
        <v>272</v>
      </c>
      <c r="AP54" t="s">
        <v>1506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46130.579874305557</v>
      </c>
      <c r="V55">
        <f t="shared" ca="1" si="12"/>
        <v>2026</v>
      </c>
      <c r="W55">
        <f t="shared" ca="1" si="13"/>
        <v>4</v>
      </c>
      <c r="X55">
        <f t="shared" ca="1" si="14"/>
        <v>18</v>
      </c>
      <c r="Z55" t="b">
        <f t="shared" ca="1" si="15"/>
        <v>0</v>
      </c>
      <c r="AA55" t="b">
        <f t="shared" ca="1" si="16"/>
        <v>0</v>
      </c>
      <c r="AI55">
        <v>2027</v>
      </c>
      <c r="AJ55">
        <v>4</v>
      </c>
      <c r="AK55">
        <v>1</v>
      </c>
      <c r="AL55" t="s">
        <v>91</v>
      </c>
      <c r="AM55" t="s">
        <v>164</v>
      </c>
      <c r="AN55" t="s">
        <v>85</v>
      </c>
      <c r="AO55" s="1">
        <v>265</v>
      </c>
      <c r="AP55" t="s">
        <v>124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46131.579874305557</v>
      </c>
      <c r="V56">
        <f t="shared" ca="1" si="12"/>
        <v>2026</v>
      </c>
      <c r="W56">
        <f t="shared" ca="1" si="13"/>
        <v>4</v>
      </c>
      <c r="X56">
        <f t="shared" ca="1" si="14"/>
        <v>19</v>
      </c>
      <c r="Z56" t="b">
        <f t="shared" ca="1" si="15"/>
        <v>0</v>
      </c>
      <c r="AA56" t="b">
        <f t="shared" ca="1" si="16"/>
        <v>0</v>
      </c>
      <c r="AI56">
        <v>2027</v>
      </c>
      <c r="AJ56">
        <v>4</v>
      </c>
      <c r="AK56">
        <v>30</v>
      </c>
      <c r="AL56" t="s">
        <v>56</v>
      </c>
      <c r="AM56" t="s">
        <v>184</v>
      </c>
      <c r="AN56" t="s">
        <v>84</v>
      </c>
      <c r="AO56" s="1">
        <v>98</v>
      </c>
      <c r="AP56" t="s">
        <v>126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46132.579874305557</v>
      </c>
      <c r="V57">
        <f t="shared" ca="1" si="12"/>
        <v>2026</v>
      </c>
      <c r="W57">
        <f t="shared" ca="1" si="13"/>
        <v>4</v>
      </c>
      <c r="X57">
        <f t="shared" ca="1" si="14"/>
        <v>20</v>
      </c>
      <c r="Z57" t="b">
        <f t="shared" ca="1" si="15"/>
        <v>0</v>
      </c>
      <c r="AA57" t="b">
        <f t="shared" ca="1" si="16"/>
        <v>0</v>
      </c>
      <c r="AI57">
        <v>2027</v>
      </c>
      <c r="AJ57">
        <v>5</v>
      </c>
      <c r="AK57">
        <v>1</v>
      </c>
      <c r="AL57" t="s">
        <v>91</v>
      </c>
      <c r="AM57" t="s">
        <v>164</v>
      </c>
      <c r="AN57" t="s">
        <v>85</v>
      </c>
      <c r="AO57" s="1">
        <v>202</v>
      </c>
      <c r="AP57" t="s">
        <v>127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46133.579874305557</v>
      </c>
      <c r="V58">
        <f t="shared" ca="1" si="12"/>
        <v>2026</v>
      </c>
      <c r="W58">
        <f t="shared" ca="1" si="13"/>
        <v>4</v>
      </c>
      <c r="X58">
        <f t="shared" ca="1" si="14"/>
        <v>21</v>
      </c>
      <c r="Z58" t="b">
        <f t="shared" ca="1" si="15"/>
        <v>0</v>
      </c>
      <c r="AA58" t="b">
        <f t="shared" ca="1" si="16"/>
        <v>0</v>
      </c>
      <c r="AI58">
        <v>2027</v>
      </c>
      <c r="AJ58">
        <v>5</v>
      </c>
      <c r="AK58">
        <v>4</v>
      </c>
      <c r="AL58" t="s">
        <v>89</v>
      </c>
      <c r="AM58" t="s">
        <v>233</v>
      </c>
      <c r="AN58" t="s">
        <v>83</v>
      </c>
      <c r="AO58" s="1">
        <v>102</v>
      </c>
      <c r="AP58" t="s">
        <v>1366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46134.579874305557</v>
      </c>
      <c r="V59">
        <f t="shared" ca="1" si="12"/>
        <v>2026</v>
      </c>
      <c r="W59">
        <f t="shared" ca="1" si="13"/>
        <v>4</v>
      </c>
      <c r="X59">
        <f t="shared" ca="1" si="14"/>
        <v>22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5</v>
      </c>
      <c r="AL59" t="s">
        <v>93</v>
      </c>
      <c r="AM59" t="s">
        <v>152</v>
      </c>
      <c r="AN59" t="s">
        <v>84</v>
      </c>
      <c r="AO59" s="1">
        <v>64</v>
      </c>
      <c r="AP59" t="s">
        <v>107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46135.579874305557</v>
      </c>
      <c r="V60">
        <f t="shared" ca="1" si="12"/>
        <v>2026</v>
      </c>
      <c r="W60">
        <f t="shared" ca="1" si="13"/>
        <v>4</v>
      </c>
      <c r="X60">
        <f t="shared" ca="1" si="14"/>
        <v>23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6</v>
      </c>
      <c r="AL60" t="s">
        <v>44</v>
      </c>
      <c r="AM60" t="s">
        <v>227</v>
      </c>
      <c r="AN60" t="s">
        <v>83</v>
      </c>
      <c r="AO60" s="1">
        <v>122</v>
      </c>
      <c r="AP60" t="s">
        <v>14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46136.579874305557</v>
      </c>
      <c r="V61">
        <f t="shared" ca="1" si="12"/>
        <v>2026</v>
      </c>
      <c r="W61">
        <f t="shared" ca="1" si="13"/>
        <v>4</v>
      </c>
      <c r="X61">
        <f t="shared" ca="1" si="14"/>
        <v>24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10</v>
      </c>
      <c r="AL61" t="s">
        <v>56</v>
      </c>
      <c r="AM61" t="s">
        <v>184</v>
      </c>
      <c r="AN61" t="s">
        <v>84</v>
      </c>
      <c r="AO61" s="1">
        <v>73</v>
      </c>
      <c r="AP61" t="s">
        <v>128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46137.579874305557</v>
      </c>
      <c r="V62">
        <f t="shared" ca="1" si="12"/>
        <v>2026</v>
      </c>
      <c r="W62">
        <f t="shared" ca="1" si="13"/>
        <v>4</v>
      </c>
      <c r="X62">
        <f t="shared" ca="1" si="14"/>
        <v>25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16</v>
      </c>
      <c r="AL62" t="s">
        <v>49</v>
      </c>
      <c r="AM62" t="s">
        <v>167</v>
      </c>
      <c r="AN62" t="s">
        <v>85</v>
      </c>
      <c r="AO62" s="1">
        <v>137</v>
      </c>
      <c r="AP62" t="s">
        <v>142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46138.579874305557</v>
      </c>
      <c r="V63">
        <f t="shared" ca="1" si="12"/>
        <v>2026</v>
      </c>
      <c r="W63">
        <f t="shared" ca="1" si="13"/>
        <v>4</v>
      </c>
      <c r="X63">
        <f t="shared" ca="1" si="14"/>
        <v>26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17</v>
      </c>
      <c r="AL63" t="s">
        <v>49</v>
      </c>
      <c r="AM63" t="s">
        <v>167</v>
      </c>
      <c r="AN63" t="s">
        <v>85</v>
      </c>
      <c r="AO63" s="1">
        <v>173</v>
      </c>
      <c r="AP63" t="s">
        <v>1507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46139.579874305557</v>
      </c>
      <c r="V64">
        <f t="shared" ca="1" si="12"/>
        <v>2026</v>
      </c>
      <c r="W64">
        <f t="shared" ca="1" si="13"/>
        <v>4</v>
      </c>
      <c r="X64">
        <f t="shared" ca="1" si="14"/>
        <v>27</v>
      </c>
      <c r="Z64" t="b">
        <f t="shared" ca="1" si="15"/>
        <v>0</v>
      </c>
      <c r="AA64" t="b">
        <f t="shared" ca="1" si="16"/>
        <v>0</v>
      </c>
      <c r="AI64">
        <v>2027</v>
      </c>
      <c r="AJ64">
        <v>6</v>
      </c>
      <c r="AK64">
        <v>1</v>
      </c>
      <c r="AL64" t="s">
        <v>91</v>
      </c>
      <c r="AM64" t="s">
        <v>164</v>
      </c>
      <c r="AN64" t="s">
        <v>85</v>
      </c>
      <c r="AO64" s="1">
        <v>157</v>
      </c>
      <c r="AP64" t="s">
        <v>130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46140.579874305557</v>
      </c>
      <c r="V65">
        <f t="shared" ca="1" si="12"/>
        <v>2026</v>
      </c>
      <c r="W65">
        <f t="shared" ca="1" si="13"/>
        <v>4</v>
      </c>
      <c r="X65">
        <f t="shared" ca="1" si="14"/>
        <v>28</v>
      </c>
      <c r="Z65" t="b">
        <f t="shared" ca="1" si="15"/>
        <v>0</v>
      </c>
      <c r="AA65" t="b">
        <f t="shared" ca="1" si="16"/>
        <v>0</v>
      </c>
      <c r="AI65">
        <v>2027</v>
      </c>
      <c r="AJ65">
        <v>6</v>
      </c>
      <c r="AK65">
        <v>24</v>
      </c>
      <c r="AL65" t="s">
        <v>93</v>
      </c>
      <c r="AM65" t="s">
        <v>158</v>
      </c>
      <c r="AN65" t="s">
        <v>1413</v>
      </c>
      <c r="AO65" s="1">
        <v>61</v>
      </c>
      <c r="AP65" t="s">
        <v>1372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46141.579874305557</v>
      </c>
      <c r="V66">
        <f t="shared" ca="1" si="12"/>
        <v>2026</v>
      </c>
      <c r="W66">
        <f t="shared" ca="1" si="13"/>
        <v>4</v>
      </c>
      <c r="X66">
        <f t="shared" ca="1" si="14"/>
        <v>29</v>
      </c>
      <c r="Z66" t="b">
        <f t="shared" ca="1" si="15"/>
        <v>0</v>
      </c>
      <c r="AA66" t="b">
        <f t="shared" ca="1" si="16"/>
        <v>0</v>
      </c>
      <c r="AI66">
        <v>2027</v>
      </c>
      <c r="AJ66">
        <v>7</v>
      </c>
      <c r="AK66">
        <v>1</v>
      </c>
      <c r="AL66" t="s">
        <v>91</v>
      </c>
      <c r="AM66" t="s">
        <v>164</v>
      </c>
      <c r="AN66" t="s">
        <v>85</v>
      </c>
      <c r="AO66" s="1">
        <v>171</v>
      </c>
      <c r="AP66" t="s">
        <v>131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46142.579874305557</v>
      </c>
      <c r="V67">
        <f t="shared" ca="1" si="12"/>
        <v>2026</v>
      </c>
      <c r="W67">
        <f t="shared" ca="1" si="13"/>
        <v>4</v>
      </c>
      <c r="X67">
        <f t="shared" ca="1" si="14"/>
        <v>30</v>
      </c>
      <c r="Z67" t="b">
        <f t="shared" ca="1" si="15"/>
        <v>0</v>
      </c>
      <c r="AA67" t="b">
        <f t="shared" ca="1" si="16"/>
        <v>0</v>
      </c>
      <c r="AI67">
        <v>2027</v>
      </c>
      <c r="AJ67">
        <v>8</v>
      </c>
      <c r="AK67">
        <v>1</v>
      </c>
      <c r="AL67" t="s">
        <v>91</v>
      </c>
      <c r="AM67" t="s">
        <v>164</v>
      </c>
      <c r="AN67" t="s">
        <v>85</v>
      </c>
      <c r="AO67" s="1">
        <v>231</v>
      </c>
      <c r="AP67" t="s">
        <v>132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46143.579874305557</v>
      </c>
      <c r="V68">
        <f t="shared" ref="V68:V131" ca="1" si="34">YEAR(U68)</f>
        <v>2026</v>
      </c>
      <c r="W68">
        <f t="shared" ref="W68:W131" ca="1" si="35">MONTH(U68)</f>
        <v>5</v>
      </c>
      <c r="X68">
        <f t="shared" ref="X68:X131" ca="1" si="36">DAY(U68)</f>
        <v>1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9</v>
      </c>
      <c r="AK68">
        <v>1</v>
      </c>
      <c r="AL68" t="s">
        <v>91</v>
      </c>
      <c r="AM68" t="s">
        <v>164</v>
      </c>
      <c r="AN68" t="s">
        <v>85</v>
      </c>
      <c r="AO68" s="1">
        <v>282</v>
      </c>
      <c r="AP68" t="s">
        <v>133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46144.579874305557</v>
      </c>
      <c r="V69">
        <f t="shared" ca="1" si="34"/>
        <v>2026</v>
      </c>
      <c r="W69">
        <f t="shared" ca="1" si="35"/>
        <v>5</v>
      </c>
      <c r="X69">
        <f t="shared" ca="1" si="36"/>
        <v>2</v>
      </c>
      <c r="Z69" t="b">
        <f t="shared" ca="1" si="37"/>
        <v>0</v>
      </c>
      <c r="AA69" t="b">
        <f t="shared" ca="1" si="38"/>
        <v>0</v>
      </c>
      <c r="AI69">
        <v>2027</v>
      </c>
      <c r="AJ69">
        <v>10</v>
      </c>
      <c r="AK69">
        <v>1</v>
      </c>
      <c r="AL69" t="s">
        <v>91</v>
      </c>
      <c r="AM69" t="s">
        <v>164</v>
      </c>
      <c r="AN69" t="s">
        <v>85</v>
      </c>
      <c r="AO69" s="1">
        <v>277</v>
      </c>
      <c r="AP69" t="s">
        <v>134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46145.579874305557</v>
      </c>
      <c r="V70">
        <f t="shared" ca="1" si="34"/>
        <v>2026</v>
      </c>
      <c r="W70">
        <f t="shared" ca="1" si="35"/>
        <v>5</v>
      </c>
      <c r="X70">
        <f t="shared" ca="1" si="36"/>
        <v>3</v>
      </c>
      <c r="Z70" t="b">
        <f t="shared" ca="1" si="37"/>
        <v>0</v>
      </c>
      <c r="AA70" t="b">
        <f t="shared" ca="1" si="38"/>
        <v>0</v>
      </c>
      <c r="AI70">
        <v>2027</v>
      </c>
      <c r="AJ70">
        <v>10</v>
      </c>
      <c r="AK70">
        <v>8</v>
      </c>
      <c r="AL70" t="s">
        <v>56</v>
      </c>
      <c r="AM70" t="s">
        <v>184</v>
      </c>
      <c r="AN70" t="s">
        <v>84</v>
      </c>
      <c r="AO70" s="1">
        <v>105</v>
      </c>
      <c r="AP70" t="s">
        <v>135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46146.579874305557</v>
      </c>
      <c r="V71">
        <f t="shared" ca="1" si="34"/>
        <v>2026</v>
      </c>
      <c r="W71">
        <f t="shared" ca="1" si="35"/>
        <v>5</v>
      </c>
      <c r="X71">
        <f t="shared" ca="1" si="36"/>
        <v>4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11</v>
      </c>
      <c r="AK71">
        <v>1</v>
      </c>
      <c r="AL71" t="s">
        <v>91</v>
      </c>
      <c r="AM71" t="s">
        <v>164</v>
      </c>
      <c r="AN71" t="s">
        <v>85</v>
      </c>
      <c r="AO71" s="1">
        <v>221</v>
      </c>
      <c r="AP71" t="s">
        <v>136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46147.579874305557</v>
      </c>
      <c r="V72">
        <f t="shared" ca="1" si="34"/>
        <v>2026</v>
      </c>
      <c r="W72">
        <f t="shared" ca="1" si="35"/>
        <v>5</v>
      </c>
      <c r="X72">
        <f t="shared" ca="1" si="36"/>
        <v>5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12</v>
      </c>
      <c r="AK72">
        <v>1</v>
      </c>
      <c r="AL72" t="s">
        <v>91</v>
      </c>
      <c r="AM72" t="s">
        <v>164</v>
      </c>
      <c r="AN72" t="s">
        <v>85</v>
      </c>
      <c r="AO72" s="1">
        <v>165</v>
      </c>
      <c r="AP72" t="s">
        <v>137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46148.579874305557</v>
      </c>
      <c r="V73">
        <f t="shared" ca="1" si="34"/>
        <v>2026</v>
      </c>
      <c r="W73">
        <f t="shared" ca="1" si="35"/>
        <v>5</v>
      </c>
      <c r="X73">
        <f t="shared" ca="1" si="36"/>
        <v>6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12</v>
      </c>
      <c r="AK73">
        <v>5</v>
      </c>
      <c r="AL73" t="s">
        <v>53</v>
      </c>
      <c r="AM73" t="s">
        <v>224</v>
      </c>
      <c r="AN73" t="s">
        <v>258</v>
      </c>
      <c r="AO73" s="1">
        <v>113</v>
      </c>
      <c r="AP73" t="s">
        <v>1234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46149.579874305557</v>
      </c>
      <c r="V74">
        <f t="shared" ca="1" si="34"/>
        <v>2026</v>
      </c>
      <c r="W74">
        <f t="shared" ca="1" si="35"/>
        <v>5</v>
      </c>
      <c r="X74">
        <f t="shared" ca="1" si="36"/>
        <v>7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13</v>
      </c>
      <c r="AL74" t="s">
        <v>56</v>
      </c>
      <c r="AM74" t="s">
        <v>184</v>
      </c>
      <c r="AN74" t="s">
        <v>84</v>
      </c>
      <c r="AO74" s="1">
        <v>114</v>
      </c>
      <c r="AP74" t="s">
        <v>138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46150.579874305557</v>
      </c>
      <c r="V75">
        <f t="shared" ca="1" si="34"/>
        <v>2026</v>
      </c>
      <c r="W75">
        <f t="shared" ca="1" si="35"/>
        <v>5</v>
      </c>
      <c r="X75">
        <f t="shared" ca="1" si="36"/>
        <v>8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25</v>
      </c>
      <c r="AL75" t="s">
        <v>43</v>
      </c>
      <c r="AM75" t="s">
        <v>230</v>
      </c>
      <c r="AN75" t="s">
        <v>1412</v>
      </c>
      <c r="AO75" s="1">
        <v>95</v>
      </c>
      <c r="AP75" t="s">
        <v>7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46151.579874305557</v>
      </c>
      <c r="V76">
        <f t="shared" ca="1" si="34"/>
        <v>2026</v>
      </c>
      <c r="W76">
        <f t="shared" ca="1" si="35"/>
        <v>5</v>
      </c>
      <c r="X76">
        <f t="shared" ca="1" si="36"/>
        <v>9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26</v>
      </c>
      <c r="AL76" t="s">
        <v>43</v>
      </c>
      <c r="AM76" t="s">
        <v>201</v>
      </c>
      <c r="AN76" t="s">
        <v>86</v>
      </c>
      <c r="AO76" s="1">
        <v>108</v>
      </c>
      <c r="AP76" t="s">
        <v>78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46152.579874305557</v>
      </c>
      <c r="V77">
        <f t="shared" ca="1" si="34"/>
        <v>2026</v>
      </c>
      <c r="W77">
        <f t="shared" ca="1" si="35"/>
        <v>5</v>
      </c>
      <c r="X77">
        <f t="shared" ca="1" si="36"/>
        <v>10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28</v>
      </c>
      <c r="AL77" t="s">
        <v>52</v>
      </c>
      <c r="AM77" t="s">
        <v>245</v>
      </c>
      <c r="AN77" t="s">
        <v>1412</v>
      </c>
      <c r="AO77" s="1">
        <v>77</v>
      </c>
      <c r="AP77" t="s">
        <v>1370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46153.579874305557</v>
      </c>
      <c r="V78">
        <f t="shared" ca="1" si="34"/>
        <v>2026</v>
      </c>
      <c r="W78">
        <f t="shared" ca="1" si="35"/>
        <v>5</v>
      </c>
      <c r="X78">
        <f t="shared" ca="1" si="36"/>
        <v>11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</v>
      </c>
      <c r="AK78">
        <v>1</v>
      </c>
      <c r="AL78" t="s">
        <v>93</v>
      </c>
      <c r="AM78" t="s">
        <v>256</v>
      </c>
      <c r="AN78" t="s">
        <v>83</v>
      </c>
      <c r="AO78" s="1">
        <v>77</v>
      </c>
      <c r="AP78" t="s">
        <v>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46154.579874305557</v>
      </c>
      <c r="V79">
        <f t="shared" ca="1" si="34"/>
        <v>2026</v>
      </c>
      <c r="W79">
        <f t="shared" ca="1" si="35"/>
        <v>5</v>
      </c>
      <c r="X79">
        <f t="shared" ca="1" si="36"/>
        <v>12</v>
      </c>
      <c r="Z79" t="b">
        <f t="shared" ca="1" si="37"/>
        <v>0</v>
      </c>
      <c r="AA79" t="b">
        <f t="shared" ca="1" si="38"/>
        <v>0</v>
      </c>
      <c r="AI79">
        <v>2028</v>
      </c>
      <c r="AJ79">
        <v>2</v>
      </c>
      <c r="AK79">
        <v>1</v>
      </c>
      <c r="AL79" t="s">
        <v>91</v>
      </c>
      <c r="AM79" t="s">
        <v>164</v>
      </c>
      <c r="AN79" t="s">
        <v>85</v>
      </c>
      <c r="AO79" s="1">
        <v>249</v>
      </c>
      <c r="AP79" t="s">
        <v>1498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46155.579874305557</v>
      </c>
      <c r="V80">
        <f t="shared" ca="1" si="34"/>
        <v>2026</v>
      </c>
      <c r="W80">
        <f t="shared" ca="1" si="35"/>
        <v>5</v>
      </c>
      <c r="X80">
        <f t="shared" ca="1" si="36"/>
        <v>13</v>
      </c>
      <c r="Z80" t="b">
        <f t="shared" ca="1" si="37"/>
        <v>0</v>
      </c>
      <c r="AA80" t="b">
        <f t="shared" ca="1" si="38"/>
        <v>0</v>
      </c>
      <c r="AI80">
        <v>2028</v>
      </c>
      <c r="AJ80">
        <v>2</v>
      </c>
      <c r="AK80">
        <v>14</v>
      </c>
      <c r="AL80" t="s">
        <v>93</v>
      </c>
      <c r="AM80" t="s">
        <v>1393</v>
      </c>
      <c r="AN80" t="s">
        <v>258</v>
      </c>
      <c r="AO80" s="1">
        <v>70</v>
      </c>
      <c r="AP80" t="s">
        <v>1374</v>
      </c>
    </row>
    <row r="81" spans="2:42" x14ac:dyDescent="0.25">
      <c r="B81" s="6">
        <f t="shared" ca="1" si="40"/>
        <v>2026</v>
      </c>
      <c r="C81" s="6">
        <f t="shared" ca="1" si="40"/>
        <v>2</v>
      </c>
      <c r="D81" s="6">
        <f t="shared" ca="1" si="40"/>
        <v>15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46156.579874305557</v>
      </c>
      <c r="V81">
        <f t="shared" ca="1" si="34"/>
        <v>2026</v>
      </c>
      <c r="W81">
        <f t="shared" ca="1" si="35"/>
        <v>5</v>
      </c>
      <c r="X81">
        <f t="shared" ca="1" si="36"/>
        <v>14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26</v>
      </c>
      <c r="AL81" t="s">
        <v>52</v>
      </c>
      <c r="AM81" t="s">
        <v>79</v>
      </c>
      <c r="AN81" t="s">
        <v>259</v>
      </c>
      <c r="AO81" s="1">
        <v>240</v>
      </c>
      <c r="AP81" t="s">
        <v>1389</v>
      </c>
    </row>
    <row r="82" spans="2:42" x14ac:dyDescent="0.25">
      <c r="B82" s="6">
        <f t="shared" ca="1" si="40"/>
        <v>2027</v>
      </c>
      <c r="C82" s="6">
        <f t="shared" ca="1" si="40"/>
        <v>2</v>
      </c>
      <c r="D82" s="6">
        <f t="shared" ca="1" si="40"/>
        <v>7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46157.579874305557</v>
      </c>
      <c r="V82">
        <f t="shared" ca="1" si="34"/>
        <v>2026</v>
      </c>
      <c r="W82">
        <f t="shared" ca="1" si="35"/>
        <v>5</v>
      </c>
      <c r="X82">
        <f t="shared" ca="1" si="36"/>
        <v>15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27</v>
      </c>
      <c r="AL82" t="s">
        <v>93</v>
      </c>
      <c r="AM82" t="s">
        <v>164</v>
      </c>
      <c r="AN82" t="s">
        <v>84</v>
      </c>
      <c r="AO82" s="1">
        <v>98</v>
      </c>
      <c r="AP82" t="s">
        <v>1508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2</v>
      </c>
      <c r="D83" s="6">
        <f t="shared" ca="1" si="41"/>
        <v>27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46158.579874305557</v>
      </c>
      <c r="V83">
        <f t="shared" ca="1" si="34"/>
        <v>2026</v>
      </c>
      <c r="W83">
        <f t="shared" ca="1" si="35"/>
        <v>5</v>
      </c>
      <c r="X83">
        <f t="shared" ca="1" si="36"/>
        <v>16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27</v>
      </c>
      <c r="AL83" t="s">
        <v>93</v>
      </c>
      <c r="AM83" t="s">
        <v>164</v>
      </c>
      <c r="AN83" t="s">
        <v>84</v>
      </c>
      <c r="AO83" s="1">
        <v>82</v>
      </c>
      <c r="AP83" t="s">
        <v>1504</v>
      </c>
    </row>
    <row r="84" spans="2:42" x14ac:dyDescent="0.25">
      <c r="B84" s="6">
        <f t="shared" ca="1" si="41"/>
        <v>2029</v>
      </c>
      <c r="C84" s="6">
        <f t="shared" ca="1" si="41"/>
        <v>2</v>
      </c>
      <c r="D84" s="6">
        <f t="shared" ca="1" si="41"/>
        <v>11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46159.579874305557</v>
      </c>
      <c r="V84">
        <f t="shared" ca="1" si="34"/>
        <v>2026</v>
      </c>
      <c r="W84">
        <f t="shared" ca="1" si="35"/>
        <v>5</v>
      </c>
      <c r="X84">
        <f t="shared" ca="1" si="36"/>
        <v>17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28</v>
      </c>
      <c r="AL84" t="s">
        <v>93</v>
      </c>
      <c r="AM84" t="s">
        <v>164</v>
      </c>
      <c r="AN84" t="s">
        <v>84</v>
      </c>
      <c r="AO84" s="1">
        <v>99</v>
      </c>
      <c r="AP84" t="s">
        <v>1509</v>
      </c>
    </row>
    <row r="85" spans="2:42" x14ac:dyDescent="0.25">
      <c r="B85" s="6">
        <f t="shared" ca="1" si="41"/>
        <v>2030</v>
      </c>
      <c r="C85" s="6">
        <f t="shared" ca="1" si="41"/>
        <v>3</v>
      </c>
      <c r="D85" s="6">
        <f t="shared" ca="1" si="41"/>
        <v>3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46160.579874305557</v>
      </c>
      <c r="V85">
        <f t="shared" ca="1" si="34"/>
        <v>2026</v>
      </c>
      <c r="W85">
        <f t="shared" ca="1" si="35"/>
        <v>5</v>
      </c>
      <c r="X85">
        <f t="shared" ca="1" si="36"/>
        <v>18</v>
      </c>
      <c r="Z85" t="b">
        <f t="shared" ca="1" si="37"/>
        <v>0</v>
      </c>
      <c r="AA85" t="b">
        <f t="shared" ca="1" si="38"/>
        <v>0</v>
      </c>
      <c r="AI85">
        <v>2028</v>
      </c>
      <c r="AJ85">
        <v>3</v>
      </c>
      <c r="AK85">
        <v>1</v>
      </c>
      <c r="AL85" t="s">
        <v>91</v>
      </c>
      <c r="AM85" t="s">
        <v>164</v>
      </c>
      <c r="AN85" t="s">
        <v>85</v>
      </c>
      <c r="AO85" s="1">
        <v>287</v>
      </c>
      <c r="AP85" t="s">
        <v>122</v>
      </c>
    </row>
    <row r="86" spans="2:42" x14ac:dyDescent="0.25">
      <c r="B86" s="6">
        <f t="shared" ca="1" si="41"/>
        <v>2031</v>
      </c>
      <c r="C86" s="6">
        <f t="shared" ca="1" si="41"/>
        <v>2</v>
      </c>
      <c r="D86" s="6">
        <f t="shared" ca="1" si="41"/>
        <v>23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46161.579874305557</v>
      </c>
      <c r="V86">
        <f t="shared" ca="1" si="34"/>
        <v>2026</v>
      </c>
      <c r="W86">
        <f t="shared" ca="1" si="35"/>
        <v>5</v>
      </c>
      <c r="X86">
        <f t="shared" ca="1" si="36"/>
        <v>19</v>
      </c>
      <c r="Z86" t="b">
        <f t="shared" ca="1" si="37"/>
        <v>0</v>
      </c>
      <c r="AA86" t="b">
        <f t="shared" ca="1" si="38"/>
        <v>0</v>
      </c>
      <c r="AI86">
        <v>2028</v>
      </c>
      <c r="AJ86">
        <v>3</v>
      </c>
      <c r="AK86">
        <v>1</v>
      </c>
      <c r="AL86" t="s">
        <v>89</v>
      </c>
      <c r="AM86" t="s">
        <v>204</v>
      </c>
      <c r="AN86" t="s">
        <v>86</v>
      </c>
      <c r="AO86" s="1">
        <v>187</v>
      </c>
      <c r="AP86" t="s">
        <v>143</v>
      </c>
    </row>
    <row r="87" spans="2:42" x14ac:dyDescent="0.25">
      <c r="B87" s="6">
        <f t="shared" ca="1" si="41"/>
        <v>2032</v>
      </c>
      <c r="C87" s="6">
        <f t="shared" ca="1" si="41"/>
        <v>2</v>
      </c>
      <c r="D87" s="6">
        <f t="shared" ca="1" si="41"/>
        <v>8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46162.579874305557</v>
      </c>
      <c r="V87">
        <f t="shared" ca="1" si="34"/>
        <v>2026</v>
      </c>
      <c r="W87">
        <f t="shared" ca="1" si="35"/>
        <v>5</v>
      </c>
      <c r="X87">
        <f t="shared" ca="1" si="36"/>
        <v>20</v>
      </c>
      <c r="Z87" t="b">
        <f t="shared" ca="1" si="37"/>
        <v>0</v>
      </c>
      <c r="AA87" t="b">
        <f t="shared" ca="1" si="38"/>
        <v>0</v>
      </c>
      <c r="AI87">
        <v>2028</v>
      </c>
      <c r="AJ87">
        <v>3</v>
      </c>
      <c r="AK87">
        <v>14</v>
      </c>
      <c r="AL87" t="s">
        <v>45</v>
      </c>
      <c r="AM87" t="s">
        <v>161</v>
      </c>
      <c r="AN87" t="s">
        <v>1414</v>
      </c>
      <c r="AO87" s="1">
        <v>95</v>
      </c>
      <c r="AP87" t="s">
        <v>1502</v>
      </c>
    </row>
    <row r="88" spans="2:42" x14ac:dyDescent="0.25">
      <c r="B88" s="6">
        <f t="shared" ca="1" si="41"/>
        <v>2033</v>
      </c>
      <c r="C88" s="6">
        <f t="shared" ca="1" si="41"/>
        <v>2</v>
      </c>
      <c r="D88" s="6">
        <f t="shared" ca="1" si="41"/>
        <v>27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46163.579874305557</v>
      </c>
      <c r="V88">
        <f t="shared" ca="1" si="34"/>
        <v>2026</v>
      </c>
      <c r="W88">
        <f t="shared" ca="1" si="35"/>
        <v>5</v>
      </c>
      <c r="X88">
        <f t="shared" ca="1" si="36"/>
        <v>21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21</v>
      </c>
      <c r="AL88" t="s">
        <v>56</v>
      </c>
      <c r="AM88" t="s">
        <v>184</v>
      </c>
      <c r="AN88" t="s">
        <v>84</v>
      </c>
      <c r="AO88" s="1">
        <v>73</v>
      </c>
      <c r="AP88" t="s">
        <v>123</v>
      </c>
    </row>
    <row r="89" spans="2:42" x14ac:dyDescent="0.25">
      <c r="B89" s="6">
        <f t="shared" ca="1" si="41"/>
        <v>2034</v>
      </c>
      <c r="C89" s="6">
        <f t="shared" ca="1" si="41"/>
        <v>2</v>
      </c>
      <c r="D89" s="6">
        <f t="shared" ca="1" si="41"/>
        <v>19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46164.579874305557</v>
      </c>
      <c r="V89">
        <f t="shared" ca="1" si="34"/>
        <v>2026</v>
      </c>
      <c r="W89">
        <f t="shared" ca="1" si="35"/>
        <v>5</v>
      </c>
      <c r="X89">
        <f t="shared" ca="1" si="36"/>
        <v>22</v>
      </c>
      <c r="Z89" t="b">
        <f t="shared" ca="1" si="37"/>
        <v>0</v>
      </c>
      <c r="AA89" t="b">
        <f t="shared" ca="1" si="38"/>
        <v>0</v>
      </c>
      <c r="AI89">
        <v>2028</v>
      </c>
      <c r="AJ89">
        <v>4</v>
      </c>
      <c r="AK89">
        <v>1</v>
      </c>
      <c r="AL89" t="s">
        <v>91</v>
      </c>
      <c r="AM89" t="s">
        <v>164</v>
      </c>
      <c r="AN89" t="s">
        <v>85</v>
      </c>
      <c r="AO89" s="1">
        <v>265</v>
      </c>
      <c r="AP89" t="s">
        <v>124</v>
      </c>
    </row>
    <row r="90" spans="2:42" x14ac:dyDescent="0.25">
      <c r="B90" s="6">
        <f t="shared" ca="1" si="41"/>
        <v>2035</v>
      </c>
      <c r="C90" s="6">
        <f t="shared" ca="1" si="41"/>
        <v>2</v>
      </c>
      <c r="D90" s="6">
        <f t="shared" ca="1" si="41"/>
        <v>4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46165.579874305557</v>
      </c>
      <c r="V90">
        <f t="shared" ca="1" si="34"/>
        <v>2026</v>
      </c>
      <c r="W90">
        <f t="shared" ca="1" si="35"/>
        <v>5</v>
      </c>
      <c r="X90">
        <f t="shared" ca="1" si="36"/>
        <v>23</v>
      </c>
      <c r="Z90" t="b">
        <f t="shared" ca="1" si="37"/>
        <v>0</v>
      </c>
      <c r="AA90" t="b">
        <f t="shared" ca="1" si="38"/>
        <v>0</v>
      </c>
      <c r="AI90">
        <v>2028</v>
      </c>
      <c r="AJ90">
        <v>4</v>
      </c>
      <c r="AK90">
        <v>14</v>
      </c>
      <c r="AL90" t="s">
        <v>54</v>
      </c>
      <c r="AM90" t="s">
        <v>181</v>
      </c>
      <c r="AN90" t="s">
        <v>83</v>
      </c>
      <c r="AO90" s="1">
        <v>187</v>
      </c>
      <c r="AP90" t="s">
        <v>28</v>
      </c>
    </row>
    <row r="91" spans="2:42" x14ac:dyDescent="0.25">
      <c r="B91" s="6">
        <f t="shared" ca="1" si="41"/>
        <v>2036</v>
      </c>
      <c r="C91" s="6">
        <f t="shared" ca="1" si="41"/>
        <v>2</v>
      </c>
      <c r="D91" s="6">
        <f t="shared" ca="1" si="41"/>
        <v>24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46166.579874305557</v>
      </c>
      <c r="V91">
        <f t="shared" ca="1" si="34"/>
        <v>2026</v>
      </c>
      <c r="W91">
        <f t="shared" ca="1" si="35"/>
        <v>5</v>
      </c>
      <c r="X91">
        <f t="shared" ca="1" si="36"/>
        <v>24</v>
      </c>
      <c r="Z91" t="b">
        <f t="shared" ca="1" si="37"/>
        <v>0</v>
      </c>
      <c r="AA91" t="b">
        <f t="shared" ca="1" si="38"/>
        <v>0</v>
      </c>
      <c r="AI91">
        <v>2028</v>
      </c>
      <c r="AJ91">
        <v>4</v>
      </c>
      <c r="AK91">
        <v>16</v>
      </c>
      <c r="AL91" t="s">
        <v>58</v>
      </c>
      <c r="AM91" t="s">
        <v>158</v>
      </c>
      <c r="AN91" t="s">
        <v>261</v>
      </c>
      <c r="AO91" s="1">
        <v>86</v>
      </c>
      <c r="AP91" t="s">
        <v>12</v>
      </c>
    </row>
    <row r="92" spans="2:42" x14ac:dyDescent="0.25">
      <c r="B92" s="6">
        <f t="shared" ca="1" si="41"/>
        <v>2037</v>
      </c>
      <c r="C92" s="6">
        <f t="shared" ca="1" si="41"/>
        <v>2</v>
      </c>
      <c r="D92" s="6">
        <f t="shared" ca="1" si="41"/>
        <v>15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46167.579874305557</v>
      </c>
      <c r="V92">
        <f t="shared" ca="1" si="34"/>
        <v>2026</v>
      </c>
      <c r="W92">
        <f t="shared" ca="1" si="35"/>
        <v>5</v>
      </c>
      <c r="X92">
        <f t="shared" ca="1" si="36"/>
        <v>25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17</v>
      </c>
      <c r="AL92" t="s">
        <v>58</v>
      </c>
      <c r="AM92" t="s">
        <v>198</v>
      </c>
      <c r="AN92" t="s">
        <v>265</v>
      </c>
      <c r="AO92" s="1">
        <v>331</v>
      </c>
      <c r="AP92" t="s">
        <v>1379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3</v>
      </c>
      <c r="D93" s="6">
        <f t="shared" ca="1" si="42"/>
        <v>7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46168.579874305557</v>
      </c>
      <c r="V93">
        <f t="shared" ca="1" si="34"/>
        <v>2026</v>
      </c>
      <c r="W93">
        <f t="shared" ca="1" si="35"/>
        <v>5</v>
      </c>
      <c r="X93">
        <f t="shared" ca="1" si="36"/>
        <v>26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30</v>
      </c>
      <c r="AL93" t="s">
        <v>56</v>
      </c>
      <c r="AM93" t="s">
        <v>184</v>
      </c>
      <c r="AN93" t="s">
        <v>84</v>
      </c>
      <c r="AO93" s="1">
        <v>98</v>
      </c>
      <c r="AP93" t="s">
        <v>126</v>
      </c>
    </row>
    <row r="94" spans="2:42" x14ac:dyDescent="0.25">
      <c r="B94" s="6">
        <f t="shared" ca="1" si="42"/>
        <v>2026</v>
      </c>
      <c r="C94" s="6">
        <f t="shared" ca="1" si="42"/>
        <v>2</v>
      </c>
      <c r="D94" s="6">
        <f t="shared" ca="1" si="42"/>
        <v>16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46169.579874305557</v>
      </c>
      <c r="V94">
        <f t="shared" ca="1" si="34"/>
        <v>2026</v>
      </c>
      <c r="W94">
        <f t="shared" ca="1" si="35"/>
        <v>5</v>
      </c>
      <c r="X94">
        <f t="shared" ca="1" si="36"/>
        <v>27</v>
      </c>
      <c r="Z94" t="b">
        <f t="shared" ca="1" si="37"/>
        <v>0</v>
      </c>
      <c r="AA94" t="b">
        <f t="shared" ca="1" si="38"/>
        <v>0</v>
      </c>
      <c r="AI94">
        <v>2028</v>
      </c>
      <c r="AJ94">
        <v>5</v>
      </c>
      <c r="AK94">
        <v>1</v>
      </c>
      <c r="AL94" t="s">
        <v>91</v>
      </c>
      <c r="AM94" t="s">
        <v>164</v>
      </c>
      <c r="AN94" t="s">
        <v>85</v>
      </c>
      <c r="AO94" s="1">
        <v>202</v>
      </c>
      <c r="AP94" t="s">
        <v>127</v>
      </c>
    </row>
    <row r="95" spans="2:42" x14ac:dyDescent="0.25">
      <c r="B95" s="6">
        <f t="shared" ca="1" si="42"/>
        <v>2027</v>
      </c>
      <c r="C95" s="6">
        <f t="shared" ca="1" si="42"/>
        <v>2</v>
      </c>
      <c r="D95" s="6">
        <f t="shared" ca="1" si="42"/>
        <v>8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46170.579874305557</v>
      </c>
      <c r="V95">
        <f t="shared" ca="1" si="34"/>
        <v>2026</v>
      </c>
      <c r="W95">
        <f t="shared" ca="1" si="35"/>
        <v>5</v>
      </c>
      <c r="X95">
        <f t="shared" ca="1" si="36"/>
        <v>28</v>
      </c>
      <c r="Z95" t="b">
        <f t="shared" ca="1" si="37"/>
        <v>0</v>
      </c>
      <c r="AA95" t="b">
        <f t="shared" ca="1" si="38"/>
        <v>0</v>
      </c>
      <c r="AI95">
        <v>2028</v>
      </c>
      <c r="AJ95">
        <v>5</v>
      </c>
      <c r="AK95">
        <v>4</v>
      </c>
      <c r="AL95" t="s">
        <v>89</v>
      </c>
      <c r="AM95" t="s">
        <v>233</v>
      </c>
      <c r="AN95" t="s">
        <v>83</v>
      </c>
      <c r="AO95" s="1">
        <v>102</v>
      </c>
      <c r="AP95" t="s">
        <v>1366</v>
      </c>
    </row>
    <row r="96" spans="2:42" x14ac:dyDescent="0.25">
      <c r="B96" s="6">
        <f t="shared" ca="1" si="42"/>
        <v>2028</v>
      </c>
      <c r="C96" s="6">
        <f t="shared" ca="1" si="42"/>
        <v>2</v>
      </c>
      <c r="D96" s="6">
        <f t="shared" ca="1" si="42"/>
        <v>28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46171.579874305557</v>
      </c>
      <c r="V96">
        <f t="shared" ca="1" si="34"/>
        <v>2026</v>
      </c>
      <c r="W96">
        <f t="shared" ca="1" si="35"/>
        <v>5</v>
      </c>
      <c r="X96">
        <f t="shared" ca="1" si="36"/>
        <v>29</v>
      </c>
      <c r="Z96" t="b">
        <f t="shared" ca="1" si="37"/>
        <v>0</v>
      </c>
      <c r="AA96" t="b">
        <f t="shared" ca="1" si="38"/>
        <v>0</v>
      </c>
      <c r="AI96">
        <v>2028</v>
      </c>
      <c r="AJ96">
        <v>5</v>
      </c>
      <c r="AK96">
        <v>5</v>
      </c>
      <c r="AL96" t="s">
        <v>93</v>
      </c>
      <c r="AM96" t="s">
        <v>152</v>
      </c>
      <c r="AN96" t="s">
        <v>84</v>
      </c>
      <c r="AO96" s="1">
        <v>64</v>
      </c>
      <c r="AP96" t="s">
        <v>107</v>
      </c>
    </row>
    <row r="97" spans="2:42" x14ac:dyDescent="0.25">
      <c r="B97" s="6">
        <f t="shared" ca="1" si="42"/>
        <v>2029</v>
      </c>
      <c r="C97" s="6">
        <f t="shared" ca="1" si="42"/>
        <v>2</v>
      </c>
      <c r="D97" s="6">
        <f t="shared" ca="1" si="42"/>
        <v>12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46172.579874305557</v>
      </c>
      <c r="V97">
        <f t="shared" ca="1" si="34"/>
        <v>2026</v>
      </c>
      <c r="W97">
        <f t="shared" ca="1" si="35"/>
        <v>5</v>
      </c>
      <c r="X97">
        <f t="shared" ca="1" si="36"/>
        <v>30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10</v>
      </c>
      <c r="AL97" t="s">
        <v>56</v>
      </c>
      <c r="AM97" t="s">
        <v>184</v>
      </c>
      <c r="AN97" t="s">
        <v>84</v>
      </c>
      <c r="AO97" s="1">
        <v>73</v>
      </c>
      <c r="AP97" t="s">
        <v>128</v>
      </c>
    </row>
    <row r="98" spans="2:42" x14ac:dyDescent="0.25">
      <c r="B98" s="6">
        <f t="shared" ca="1" si="42"/>
        <v>2030</v>
      </c>
      <c r="C98" s="6">
        <f t="shared" ca="1" si="42"/>
        <v>3</v>
      </c>
      <c r="D98" s="6">
        <f t="shared" ca="1" si="42"/>
        <v>4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46173.579874305557</v>
      </c>
      <c r="V98">
        <f t="shared" ca="1" si="34"/>
        <v>2026</v>
      </c>
      <c r="W98">
        <f t="shared" ca="1" si="35"/>
        <v>5</v>
      </c>
      <c r="X98">
        <f t="shared" ca="1" si="36"/>
        <v>31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25</v>
      </c>
      <c r="AL98" t="s">
        <v>44</v>
      </c>
      <c r="AM98" t="s">
        <v>227</v>
      </c>
      <c r="AN98" t="s">
        <v>83</v>
      </c>
      <c r="AO98" s="1">
        <v>101</v>
      </c>
      <c r="AP98" t="s">
        <v>14</v>
      </c>
    </row>
    <row r="99" spans="2:42" x14ac:dyDescent="0.25">
      <c r="B99" s="6">
        <f t="shared" ca="1" si="42"/>
        <v>2031</v>
      </c>
      <c r="C99" s="6">
        <f t="shared" ca="1" si="42"/>
        <v>2</v>
      </c>
      <c r="D99" s="6">
        <f t="shared" ca="1" si="42"/>
        <v>24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46174.579874305557</v>
      </c>
      <c r="V99">
        <f t="shared" ca="1" si="34"/>
        <v>2026</v>
      </c>
      <c r="W99">
        <f t="shared" ca="1" si="35"/>
        <v>6</v>
      </c>
      <c r="X99">
        <f t="shared" ca="1" si="36"/>
        <v>1</v>
      </c>
      <c r="Z99" t="b">
        <f t="shared" ca="1" si="37"/>
        <v>0</v>
      </c>
      <c r="AA99" t="b">
        <f t="shared" ca="1" si="38"/>
        <v>0</v>
      </c>
      <c r="AI99">
        <v>2028</v>
      </c>
      <c r="AJ99">
        <v>6</v>
      </c>
      <c r="AK99">
        <v>1</v>
      </c>
      <c r="AL99" t="s">
        <v>91</v>
      </c>
      <c r="AM99" t="s">
        <v>164</v>
      </c>
      <c r="AN99" t="s">
        <v>85</v>
      </c>
      <c r="AO99" s="1">
        <v>157</v>
      </c>
      <c r="AP99" t="s">
        <v>130</v>
      </c>
    </row>
    <row r="100" spans="2:42" x14ac:dyDescent="0.25">
      <c r="B100" s="6">
        <f t="shared" ca="1" si="42"/>
        <v>2032</v>
      </c>
      <c r="C100" s="6">
        <f t="shared" ca="1" si="42"/>
        <v>2</v>
      </c>
      <c r="D100" s="6">
        <f t="shared" ca="1" si="42"/>
        <v>9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46175.579874305557</v>
      </c>
      <c r="V100">
        <f t="shared" ca="1" si="34"/>
        <v>2026</v>
      </c>
      <c r="W100">
        <f t="shared" ca="1" si="35"/>
        <v>6</v>
      </c>
      <c r="X100">
        <f t="shared" ca="1" si="36"/>
        <v>2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6</v>
      </c>
      <c r="AK100">
        <v>4</v>
      </c>
      <c r="AL100" t="s">
        <v>49</v>
      </c>
      <c r="AM100" t="s">
        <v>167</v>
      </c>
      <c r="AN100" t="s">
        <v>85</v>
      </c>
      <c r="AO100" s="1">
        <v>117</v>
      </c>
      <c r="AP100" t="s">
        <v>144</v>
      </c>
    </row>
    <row r="101" spans="2:42" x14ac:dyDescent="0.25">
      <c r="B101" s="6">
        <f t="shared" ca="1" si="42"/>
        <v>2033</v>
      </c>
      <c r="C101" s="6">
        <f t="shared" ca="1" si="42"/>
        <v>2</v>
      </c>
      <c r="D101" s="6">
        <f t="shared" ca="1" si="42"/>
        <v>28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46176.579874305557</v>
      </c>
      <c r="V101">
        <f t="shared" ca="1" si="34"/>
        <v>2026</v>
      </c>
      <c r="W101">
        <f t="shared" ca="1" si="35"/>
        <v>6</v>
      </c>
      <c r="X101">
        <f t="shared" ca="1" si="36"/>
        <v>3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6</v>
      </c>
      <c r="AK101">
        <v>5</v>
      </c>
      <c r="AL101" t="s">
        <v>49</v>
      </c>
      <c r="AM101" t="s">
        <v>167</v>
      </c>
      <c r="AN101" t="s">
        <v>85</v>
      </c>
      <c r="AO101" s="1">
        <v>206</v>
      </c>
      <c r="AP101" t="s">
        <v>1510</v>
      </c>
    </row>
    <row r="102" spans="2:42" x14ac:dyDescent="0.25">
      <c r="B102" s="6">
        <f t="shared" ca="1" si="42"/>
        <v>2034</v>
      </c>
      <c r="C102" s="6">
        <f t="shared" ca="1" si="42"/>
        <v>2</v>
      </c>
      <c r="D102" s="6">
        <f t="shared" ca="1" si="42"/>
        <v>20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46177.579874305557</v>
      </c>
      <c r="V102">
        <f t="shared" ca="1" si="34"/>
        <v>2026</v>
      </c>
      <c r="W102">
        <f t="shared" ca="1" si="35"/>
        <v>6</v>
      </c>
      <c r="X102">
        <f t="shared" ca="1" si="36"/>
        <v>4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24</v>
      </c>
      <c r="AL102" t="s">
        <v>93</v>
      </c>
      <c r="AM102" t="s">
        <v>158</v>
      </c>
      <c r="AN102" t="s">
        <v>1413</v>
      </c>
      <c r="AO102" s="1">
        <v>61</v>
      </c>
      <c r="AP102" t="s">
        <v>1372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2</v>
      </c>
      <c r="D103" s="6">
        <f t="shared" ca="1" si="43"/>
        <v>5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46178.579874305557</v>
      </c>
      <c r="V103">
        <f t="shared" ca="1" si="34"/>
        <v>2026</v>
      </c>
      <c r="W103">
        <f t="shared" ca="1" si="35"/>
        <v>6</v>
      </c>
      <c r="X103">
        <f t="shared" ca="1" si="36"/>
        <v>5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7</v>
      </c>
      <c r="AK103">
        <v>1</v>
      </c>
      <c r="AL103" t="s">
        <v>91</v>
      </c>
      <c r="AM103" t="s">
        <v>164</v>
      </c>
      <c r="AN103" t="s">
        <v>85</v>
      </c>
      <c r="AO103" s="1">
        <v>171</v>
      </c>
      <c r="AP103" t="s">
        <v>131</v>
      </c>
    </row>
    <row r="104" spans="2:42" x14ac:dyDescent="0.25">
      <c r="B104" s="6">
        <f t="shared" ca="1" si="43"/>
        <v>2036</v>
      </c>
      <c r="C104" s="6">
        <f t="shared" ca="1" si="43"/>
        <v>2</v>
      </c>
      <c r="D104" s="6">
        <f t="shared" ca="1" si="43"/>
        <v>25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46179.579874305557</v>
      </c>
      <c r="V104">
        <f t="shared" ca="1" si="34"/>
        <v>2026</v>
      </c>
      <c r="W104">
        <f t="shared" ca="1" si="35"/>
        <v>6</v>
      </c>
      <c r="X104">
        <f t="shared" ca="1" si="36"/>
        <v>6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8</v>
      </c>
      <c r="AK104">
        <v>1</v>
      </c>
      <c r="AL104" t="s">
        <v>91</v>
      </c>
      <c r="AM104" t="s">
        <v>164</v>
      </c>
      <c r="AN104" t="s">
        <v>85</v>
      </c>
      <c r="AO104" s="1">
        <v>231</v>
      </c>
      <c r="AP104" t="s">
        <v>132</v>
      </c>
    </row>
    <row r="105" spans="2:42" x14ac:dyDescent="0.25">
      <c r="B105" s="6">
        <f t="shared" ca="1" si="43"/>
        <v>2037</v>
      </c>
      <c r="C105" s="6">
        <f t="shared" ca="1" si="43"/>
        <v>2</v>
      </c>
      <c r="D105" s="6">
        <f t="shared" ca="1" si="43"/>
        <v>16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46180.579874305557</v>
      </c>
      <c r="V105">
        <f t="shared" ca="1" si="34"/>
        <v>2026</v>
      </c>
      <c r="W105">
        <f t="shared" ca="1" si="35"/>
        <v>6</v>
      </c>
      <c r="X105">
        <f t="shared" ca="1" si="36"/>
        <v>7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9</v>
      </c>
      <c r="AK105">
        <v>1</v>
      </c>
      <c r="AL105" t="s">
        <v>91</v>
      </c>
      <c r="AM105" t="s">
        <v>164</v>
      </c>
      <c r="AN105" t="s">
        <v>85</v>
      </c>
      <c r="AO105" s="1">
        <v>282</v>
      </c>
      <c r="AP105" t="s">
        <v>133</v>
      </c>
    </row>
    <row r="106" spans="2:42" x14ac:dyDescent="0.25">
      <c r="B106" s="6">
        <f t="shared" ca="1" si="43"/>
        <v>2038</v>
      </c>
      <c r="C106" s="6">
        <f t="shared" ca="1" si="43"/>
        <v>3</v>
      </c>
      <c r="D106" s="6">
        <f t="shared" ca="1" si="43"/>
        <v>8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46181.579874305557</v>
      </c>
      <c r="V106">
        <f t="shared" ca="1" si="34"/>
        <v>2026</v>
      </c>
      <c r="W106">
        <f t="shared" ca="1" si="35"/>
        <v>6</v>
      </c>
      <c r="X106">
        <f t="shared" ca="1" si="36"/>
        <v>8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10</v>
      </c>
      <c r="AK106">
        <v>1</v>
      </c>
      <c r="AL106" t="s">
        <v>91</v>
      </c>
      <c r="AM106" t="s">
        <v>164</v>
      </c>
      <c r="AN106" t="s">
        <v>85</v>
      </c>
      <c r="AO106" s="1">
        <v>277</v>
      </c>
      <c r="AP106" t="s">
        <v>134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46182.579874305557</v>
      </c>
      <c r="V107">
        <f t="shared" ca="1" si="34"/>
        <v>2026</v>
      </c>
      <c r="W107">
        <f t="shared" ca="1" si="35"/>
        <v>6</v>
      </c>
      <c r="X107">
        <f t="shared" ca="1" si="36"/>
        <v>9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10</v>
      </c>
      <c r="AK107">
        <v>8</v>
      </c>
      <c r="AL107" t="s">
        <v>56</v>
      </c>
      <c r="AM107" t="s">
        <v>184</v>
      </c>
      <c r="AN107" t="s">
        <v>84</v>
      </c>
      <c r="AO107" s="1">
        <v>105</v>
      </c>
      <c r="AP107" t="s">
        <v>135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46183.579874305557</v>
      </c>
      <c r="V108">
        <f t="shared" ca="1" si="34"/>
        <v>2026</v>
      </c>
      <c r="W108">
        <f t="shared" ca="1" si="35"/>
        <v>6</v>
      </c>
      <c r="X108">
        <f t="shared" ca="1" si="36"/>
        <v>10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11</v>
      </c>
      <c r="AK108">
        <v>1</v>
      </c>
      <c r="AL108" t="s">
        <v>91</v>
      </c>
      <c r="AM108" t="s">
        <v>164</v>
      </c>
      <c r="AN108" t="s">
        <v>85</v>
      </c>
      <c r="AO108" s="1">
        <v>221</v>
      </c>
      <c r="AP108" t="s">
        <v>136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46184.579874305557</v>
      </c>
      <c r="V109">
        <f t="shared" ca="1" si="34"/>
        <v>2026</v>
      </c>
      <c r="W109">
        <f t="shared" ca="1" si="35"/>
        <v>6</v>
      </c>
      <c r="X109">
        <f t="shared" ca="1" si="36"/>
        <v>11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12</v>
      </c>
      <c r="AK109">
        <v>1</v>
      </c>
      <c r="AL109" t="s">
        <v>91</v>
      </c>
      <c r="AM109" t="s">
        <v>164</v>
      </c>
      <c r="AN109" t="s">
        <v>85</v>
      </c>
      <c r="AO109" s="1">
        <v>165</v>
      </c>
      <c r="AP109" t="s">
        <v>137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46185.579874305557</v>
      </c>
      <c r="V110">
        <f t="shared" ca="1" si="34"/>
        <v>2026</v>
      </c>
      <c r="W110">
        <f t="shared" ca="1" si="35"/>
        <v>6</v>
      </c>
      <c r="X110">
        <f t="shared" ca="1" si="36"/>
        <v>12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12</v>
      </c>
      <c r="AK110">
        <v>5</v>
      </c>
      <c r="AL110" t="s">
        <v>53</v>
      </c>
      <c r="AM110" t="s">
        <v>224</v>
      </c>
      <c r="AN110" t="s">
        <v>258</v>
      </c>
      <c r="AO110" s="1">
        <v>113</v>
      </c>
      <c r="AP110" t="s">
        <v>1234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46186.579874305557</v>
      </c>
      <c r="V111">
        <f t="shared" ca="1" si="34"/>
        <v>2026</v>
      </c>
      <c r="W111">
        <f t="shared" ca="1" si="35"/>
        <v>6</v>
      </c>
      <c r="X111">
        <f t="shared" ca="1" si="36"/>
        <v>13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12</v>
      </c>
      <c r="AK111">
        <v>13</v>
      </c>
      <c r="AL111" t="s">
        <v>56</v>
      </c>
      <c r="AM111" t="s">
        <v>184</v>
      </c>
      <c r="AN111" t="s">
        <v>84</v>
      </c>
      <c r="AO111" s="1">
        <v>114</v>
      </c>
      <c r="AP111" t="s">
        <v>138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46187.579874305557</v>
      </c>
      <c r="V112">
        <f t="shared" ca="1" si="34"/>
        <v>2026</v>
      </c>
      <c r="W112">
        <f t="shared" ca="1" si="35"/>
        <v>6</v>
      </c>
      <c r="X112">
        <f t="shared" ca="1" si="36"/>
        <v>14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25</v>
      </c>
      <c r="AL112" t="s">
        <v>43</v>
      </c>
      <c r="AM112" t="s">
        <v>230</v>
      </c>
      <c r="AN112" t="s">
        <v>1412</v>
      </c>
      <c r="AO112" s="1">
        <v>95</v>
      </c>
      <c r="AP112" t="s">
        <v>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46188.579874305557</v>
      </c>
      <c r="V113">
        <f t="shared" ca="1" si="34"/>
        <v>2026</v>
      </c>
      <c r="W113">
        <f t="shared" ca="1" si="35"/>
        <v>6</v>
      </c>
      <c r="X113">
        <f t="shared" ca="1" si="36"/>
        <v>15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26</v>
      </c>
      <c r="AL113" t="s">
        <v>43</v>
      </c>
      <c r="AM113" t="s">
        <v>201</v>
      </c>
      <c r="AN113" t="s">
        <v>86</v>
      </c>
      <c r="AO113" s="1">
        <v>108</v>
      </c>
      <c r="AP113" t="s">
        <v>78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46189.579874305557</v>
      </c>
      <c r="V114">
        <f t="shared" ca="1" si="34"/>
        <v>2026</v>
      </c>
      <c r="W114">
        <f t="shared" ca="1" si="35"/>
        <v>6</v>
      </c>
      <c r="X114">
        <f t="shared" ca="1" si="36"/>
        <v>16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28</v>
      </c>
      <c r="AL114" t="s">
        <v>52</v>
      </c>
      <c r="AM114" t="s">
        <v>245</v>
      </c>
      <c r="AN114" t="s">
        <v>1412</v>
      </c>
      <c r="AO114" s="1">
        <v>77</v>
      </c>
      <c r="AP114" t="s">
        <v>1370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46190.579874305557</v>
      </c>
      <c r="V115">
        <f t="shared" ca="1" si="34"/>
        <v>2026</v>
      </c>
      <c r="W115">
        <f t="shared" ca="1" si="35"/>
        <v>6</v>
      </c>
      <c r="X115">
        <f t="shared" ca="1" si="36"/>
        <v>17</v>
      </c>
      <c r="Z115" t="b">
        <f t="shared" ca="1" si="37"/>
        <v>0</v>
      </c>
      <c r="AA115" t="b">
        <f t="shared" ca="1" si="38"/>
        <v>0</v>
      </c>
      <c r="AI115">
        <v>2029</v>
      </c>
      <c r="AJ115">
        <v>1</v>
      </c>
      <c r="AK115">
        <v>1</v>
      </c>
      <c r="AL115" t="s">
        <v>93</v>
      </c>
      <c r="AM115" t="s">
        <v>256</v>
      </c>
      <c r="AN115" t="s">
        <v>83</v>
      </c>
      <c r="AO115" s="1">
        <v>77</v>
      </c>
      <c r="AP115" t="s">
        <v>8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46191.579874305557</v>
      </c>
      <c r="V116">
        <f t="shared" ca="1" si="34"/>
        <v>2026</v>
      </c>
      <c r="W116">
        <f t="shared" ca="1" si="35"/>
        <v>6</v>
      </c>
      <c r="X116">
        <f t="shared" ca="1" si="36"/>
        <v>18</v>
      </c>
      <c r="Z116" t="b">
        <f t="shared" ca="1" si="37"/>
        <v>0</v>
      </c>
      <c r="AA116" t="b">
        <f t="shared" ca="1" si="38"/>
        <v>0</v>
      </c>
      <c r="AI116">
        <v>2029</v>
      </c>
      <c r="AJ116">
        <v>2</v>
      </c>
      <c r="AK116">
        <v>1</v>
      </c>
      <c r="AL116" t="s">
        <v>91</v>
      </c>
      <c r="AM116" t="s">
        <v>164</v>
      </c>
      <c r="AN116" t="s">
        <v>85</v>
      </c>
      <c r="AO116" s="1">
        <v>249</v>
      </c>
      <c r="AP116" t="s">
        <v>1498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46192.579874305557</v>
      </c>
      <c r="V117">
        <f t="shared" ca="1" si="34"/>
        <v>2026</v>
      </c>
      <c r="W117">
        <f t="shared" ca="1" si="35"/>
        <v>6</v>
      </c>
      <c r="X117">
        <f t="shared" ca="1" si="36"/>
        <v>19</v>
      </c>
      <c r="Z117" t="b">
        <f t="shared" ca="1" si="37"/>
        <v>0</v>
      </c>
      <c r="AA117" t="b">
        <f t="shared" ca="1" si="38"/>
        <v>0</v>
      </c>
      <c r="AI117">
        <v>2029</v>
      </c>
      <c r="AJ117">
        <v>2</v>
      </c>
      <c r="AK117">
        <v>11</v>
      </c>
      <c r="AL117" t="s">
        <v>93</v>
      </c>
      <c r="AM117" t="s">
        <v>164</v>
      </c>
      <c r="AN117" t="s">
        <v>84</v>
      </c>
      <c r="AO117" s="1">
        <v>82</v>
      </c>
      <c r="AP117" t="s">
        <v>1511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46193.579874305557</v>
      </c>
      <c r="V118">
        <f t="shared" ca="1" si="34"/>
        <v>2026</v>
      </c>
      <c r="W118">
        <f t="shared" ca="1" si="35"/>
        <v>6</v>
      </c>
      <c r="X118">
        <f t="shared" ca="1" si="36"/>
        <v>20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2</v>
      </c>
      <c r="AK118">
        <v>11</v>
      </c>
      <c r="AL118" t="s">
        <v>93</v>
      </c>
      <c r="AM118" t="s">
        <v>164</v>
      </c>
      <c r="AN118" t="s">
        <v>84</v>
      </c>
      <c r="AO118" s="1">
        <v>99</v>
      </c>
      <c r="AP118" t="s">
        <v>1508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46194.579874305557</v>
      </c>
      <c r="V119">
        <f t="shared" ca="1" si="34"/>
        <v>2026</v>
      </c>
      <c r="W119">
        <f t="shared" ca="1" si="35"/>
        <v>6</v>
      </c>
      <c r="X119">
        <f t="shared" ca="1" si="36"/>
        <v>21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12</v>
      </c>
      <c r="AL119" t="s">
        <v>93</v>
      </c>
      <c r="AM119" t="s">
        <v>164</v>
      </c>
      <c r="AN119" t="s">
        <v>84</v>
      </c>
      <c r="AO119" s="1">
        <v>121</v>
      </c>
      <c r="AP119" t="s">
        <v>1512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46195.579874305557</v>
      </c>
      <c r="V120">
        <f t="shared" ca="1" si="34"/>
        <v>2026</v>
      </c>
      <c r="W120">
        <f t="shared" ca="1" si="35"/>
        <v>6</v>
      </c>
      <c r="X120">
        <f t="shared" ca="1" si="36"/>
        <v>22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14</v>
      </c>
      <c r="AL120" t="s">
        <v>52</v>
      </c>
      <c r="AM120" t="s">
        <v>79</v>
      </c>
      <c r="AN120" t="s">
        <v>259</v>
      </c>
      <c r="AO120" s="1">
        <v>252</v>
      </c>
      <c r="AP120" t="s">
        <v>1389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46196.579874305557</v>
      </c>
      <c r="V121">
        <f t="shared" ca="1" si="34"/>
        <v>2026</v>
      </c>
      <c r="W121">
        <f t="shared" ca="1" si="35"/>
        <v>6</v>
      </c>
      <c r="X121">
        <f t="shared" ca="1" si="36"/>
        <v>23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14</v>
      </c>
      <c r="AL121" t="s">
        <v>89</v>
      </c>
      <c r="AM121" t="s">
        <v>204</v>
      </c>
      <c r="AN121" t="s">
        <v>86</v>
      </c>
      <c r="AO121" s="1">
        <v>179</v>
      </c>
      <c r="AP121" t="s">
        <v>121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46197.579874305557</v>
      </c>
      <c r="V122">
        <f t="shared" ca="1" si="34"/>
        <v>2026</v>
      </c>
      <c r="W122">
        <f t="shared" ca="1" si="35"/>
        <v>6</v>
      </c>
      <c r="X122">
        <f t="shared" ca="1" si="36"/>
        <v>24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14</v>
      </c>
      <c r="AL122" t="s">
        <v>93</v>
      </c>
      <c r="AM122" t="s">
        <v>1393</v>
      </c>
      <c r="AN122" t="s">
        <v>258</v>
      </c>
      <c r="AO122" s="1">
        <v>70</v>
      </c>
      <c r="AP122" t="s">
        <v>1374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46198.579874305557</v>
      </c>
      <c r="V123">
        <f t="shared" ca="1" si="34"/>
        <v>2026</v>
      </c>
      <c r="W123">
        <f t="shared" ca="1" si="35"/>
        <v>6</v>
      </c>
      <c r="X123">
        <f t="shared" ca="1" si="36"/>
        <v>25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3</v>
      </c>
      <c r="AK123">
        <v>1</v>
      </c>
      <c r="AL123" t="s">
        <v>91</v>
      </c>
      <c r="AM123" t="s">
        <v>164</v>
      </c>
      <c r="AN123" t="s">
        <v>85</v>
      </c>
      <c r="AO123" s="1">
        <v>287</v>
      </c>
      <c r="AP123" t="s">
        <v>122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46199.579874305557</v>
      </c>
      <c r="V124">
        <f t="shared" ca="1" si="34"/>
        <v>2026</v>
      </c>
      <c r="W124">
        <f t="shared" ca="1" si="35"/>
        <v>6</v>
      </c>
      <c r="X124">
        <f t="shared" ca="1" si="36"/>
        <v>26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3</v>
      </c>
      <c r="AK124">
        <v>14</v>
      </c>
      <c r="AL124" t="s">
        <v>45</v>
      </c>
      <c r="AM124" t="s">
        <v>161</v>
      </c>
      <c r="AN124" t="s">
        <v>1414</v>
      </c>
      <c r="AO124" s="1">
        <v>95</v>
      </c>
      <c r="AP124" t="s">
        <v>1502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46200.579874305557</v>
      </c>
      <c r="V125">
        <f t="shared" ca="1" si="34"/>
        <v>2026</v>
      </c>
      <c r="W125">
        <f t="shared" ca="1" si="35"/>
        <v>6</v>
      </c>
      <c r="X125">
        <f t="shared" ca="1" si="36"/>
        <v>27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3</v>
      </c>
      <c r="AK125">
        <v>21</v>
      </c>
      <c r="AL125" t="s">
        <v>56</v>
      </c>
      <c r="AM125" t="s">
        <v>184</v>
      </c>
      <c r="AN125" t="s">
        <v>84</v>
      </c>
      <c r="AO125" s="1">
        <v>73</v>
      </c>
      <c r="AP125" t="s">
        <v>123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46201.579874305557</v>
      </c>
      <c r="V126">
        <f t="shared" ca="1" si="34"/>
        <v>2026</v>
      </c>
      <c r="W126">
        <f t="shared" ca="1" si="35"/>
        <v>6</v>
      </c>
      <c r="X126">
        <f t="shared" ca="1" si="36"/>
        <v>28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3</v>
      </c>
      <c r="AK126">
        <v>30</v>
      </c>
      <c r="AL126" t="s">
        <v>54</v>
      </c>
      <c r="AM126" t="s">
        <v>181</v>
      </c>
      <c r="AN126" t="s">
        <v>83</v>
      </c>
      <c r="AO126" s="1">
        <v>215</v>
      </c>
      <c r="AP126" t="s">
        <v>145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46202.579874305557</v>
      </c>
      <c r="V127">
        <f t="shared" ca="1" si="34"/>
        <v>2026</v>
      </c>
      <c r="W127">
        <f t="shared" ca="1" si="35"/>
        <v>6</v>
      </c>
      <c r="X127">
        <f t="shared" ca="1" si="36"/>
        <v>29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4</v>
      </c>
      <c r="AK127">
        <v>1</v>
      </c>
      <c r="AL127" t="s">
        <v>91</v>
      </c>
      <c r="AM127" t="s">
        <v>164</v>
      </c>
      <c r="AN127" t="s">
        <v>85</v>
      </c>
      <c r="AO127" s="1">
        <v>265</v>
      </c>
      <c r="AP127" t="s">
        <v>124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46203.579874305557</v>
      </c>
      <c r="V128">
        <f t="shared" ca="1" si="34"/>
        <v>2026</v>
      </c>
      <c r="W128">
        <f t="shared" ca="1" si="35"/>
        <v>6</v>
      </c>
      <c r="X128">
        <f t="shared" ca="1" si="36"/>
        <v>30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4</v>
      </c>
      <c r="AK128">
        <v>1</v>
      </c>
      <c r="AL128" t="s">
        <v>58</v>
      </c>
      <c r="AM128" t="s">
        <v>158</v>
      </c>
      <c r="AN128" t="s">
        <v>261</v>
      </c>
      <c r="AO128" s="1">
        <v>71</v>
      </c>
      <c r="AP128" t="s">
        <v>12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46204.579874305557</v>
      </c>
      <c r="V129">
        <f t="shared" ca="1" si="34"/>
        <v>2026</v>
      </c>
      <c r="W129">
        <f t="shared" ca="1" si="35"/>
        <v>7</v>
      </c>
      <c r="X129">
        <f t="shared" ca="1" si="36"/>
        <v>1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4</v>
      </c>
      <c r="AK129">
        <v>2</v>
      </c>
      <c r="AL129" t="s">
        <v>58</v>
      </c>
      <c r="AM129" t="s">
        <v>198</v>
      </c>
      <c r="AN129" t="s">
        <v>265</v>
      </c>
      <c r="AO129" s="1">
        <v>371</v>
      </c>
      <c r="AP129" t="s">
        <v>1506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46205.579874305557</v>
      </c>
      <c r="V130">
        <f t="shared" ca="1" si="34"/>
        <v>2026</v>
      </c>
      <c r="W130">
        <f t="shared" ca="1" si="35"/>
        <v>7</v>
      </c>
      <c r="X130">
        <f t="shared" ca="1" si="36"/>
        <v>2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4</v>
      </c>
      <c r="AK130">
        <v>30</v>
      </c>
      <c r="AL130" t="s">
        <v>56</v>
      </c>
      <c r="AM130" t="s">
        <v>184</v>
      </c>
      <c r="AN130" t="s">
        <v>84</v>
      </c>
      <c r="AO130" s="1">
        <v>98</v>
      </c>
      <c r="AP130" t="s">
        <v>126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46206.579874305557</v>
      </c>
      <c r="V131">
        <f t="shared" ca="1" si="34"/>
        <v>2026</v>
      </c>
      <c r="W131">
        <f t="shared" ca="1" si="35"/>
        <v>7</v>
      </c>
      <c r="X131">
        <f t="shared" ca="1" si="36"/>
        <v>3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5</v>
      </c>
      <c r="AK131">
        <v>1</v>
      </c>
      <c r="AL131" t="s">
        <v>91</v>
      </c>
      <c r="AM131" t="s">
        <v>164</v>
      </c>
      <c r="AN131" t="s">
        <v>85</v>
      </c>
      <c r="AO131" s="1">
        <v>202</v>
      </c>
      <c r="AP131" t="s">
        <v>127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46207.579874305557</v>
      </c>
      <c r="V132">
        <f t="shared" ref="V132:V195" ca="1" si="56">YEAR(U132)</f>
        <v>2026</v>
      </c>
      <c r="W132">
        <f t="shared" ref="W132:W195" ca="1" si="57">MONTH(U132)</f>
        <v>7</v>
      </c>
      <c r="X132">
        <f t="shared" ref="X132:X195" ca="1" si="58">DAY(U132)</f>
        <v>4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5</v>
      </c>
      <c r="AK132">
        <v>4</v>
      </c>
      <c r="AL132" t="s">
        <v>89</v>
      </c>
      <c r="AM132" t="s">
        <v>233</v>
      </c>
      <c r="AN132" t="s">
        <v>83</v>
      </c>
      <c r="AO132" s="1">
        <v>102</v>
      </c>
      <c r="AP132" t="s">
        <v>1366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46208.579874305557</v>
      </c>
      <c r="V133">
        <f t="shared" ca="1" si="56"/>
        <v>2026</v>
      </c>
      <c r="W133">
        <f t="shared" ca="1" si="57"/>
        <v>7</v>
      </c>
      <c r="X133">
        <f t="shared" ca="1" si="58"/>
        <v>5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5</v>
      </c>
      <c r="AK133">
        <v>5</v>
      </c>
      <c r="AL133" t="s">
        <v>93</v>
      </c>
      <c r="AM133" t="s">
        <v>152</v>
      </c>
      <c r="AN133" t="s">
        <v>84</v>
      </c>
      <c r="AO133" s="1">
        <v>64</v>
      </c>
      <c r="AP133" t="s">
        <v>107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46209.579874305557</v>
      </c>
      <c r="V134">
        <f t="shared" ca="1" si="56"/>
        <v>2026</v>
      </c>
      <c r="W134">
        <f t="shared" ca="1" si="57"/>
        <v>7</v>
      </c>
      <c r="X134">
        <f t="shared" ca="1" si="58"/>
        <v>6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5</v>
      </c>
      <c r="AK134">
        <v>10</v>
      </c>
      <c r="AL134" t="s">
        <v>44</v>
      </c>
      <c r="AM134" t="s">
        <v>227</v>
      </c>
      <c r="AN134" t="s">
        <v>83</v>
      </c>
      <c r="AO134" s="1">
        <v>88</v>
      </c>
      <c r="AP134" t="s">
        <v>14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46210.579874305557</v>
      </c>
      <c r="V135">
        <f t="shared" ca="1" si="56"/>
        <v>2026</v>
      </c>
      <c r="W135">
        <f t="shared" ca="1" si="57"/>
        <v>7</v>
      </c>
      <c r="X135">
        <f t="shared" ca="1" si="58"/>
        <v>7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10</v>
      </c>
      <c r="AL135" t="s">
        <v>56</v>
      </c>
      <c r="AM135" t="s">
        <v>184</v>
      </c>
      <c r="AN135" t="s">
        <v>84</v>
      </c>
      <c r="AO135" s="1">
        <v>73</v>
      </c>
      <c r="AP135" t="s">
        <v>128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46211.579874305557</v>
      </c>
      <c r="V136">
        <f t="shared" ca="1" si="56"/>
        <v>2026</v>
      </c>
      <c r="W136">
        <f t="shared" ca="1" si="57"/>
        <v>7</v>
      </c>
      <c r="X136">
        <f t="shared" ca="1" si="58"/>
        <v>8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20</v>
      </c>
      <c r="AL136" t="s">
        <v>49</v>
      </c>
      <c r="AM136" t="s">
        <v>167</v>
      </c>
      <c r="AN136" t="s">
        <v>85</v>
      </c>
      <c r="AO136" s="1">
        <v>124</v>
      </c>
      <c r="AP136" t="s">
        <v>24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46212.579874305557</v>
      </c>
      <c r="V137">
        <f t="shared" ca="1" si="56"/>
        <v>2026</v>
      </c>
      <c r="W137">
        <f t="shared" ca="1" si="57"/>
        <v>7</v>
      </c>
      <c r="X137">
        <f t="shared" ca="1" si="58"/>
        <v>9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21</v>
      </c>
      <c r="AL137" t="s">
        <v>49</v>
      </c>
      <c r="AM137" t="s">
        <v>167</v>
      </c>
      <c r="AN137" t="s">
        <v>85</v>
      </c>
      <c r="AO137" s="1">
        <v>244</v>
      </c>
      <c r="AP137" t="s">
        <v>1392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46213.579874305557</v>
      </c>
      <c r="V138">
        <f t="shared" ca="1" si="56"/>
        <v>2026</v>
      </c>
      <c r="W138">
        <f t="shared" ca="1" si="57"/>
        <v>7</v>
      </c>
      <c r="X138">
        <f t="shared" ca="1" si="58"/>
        <v>10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6</v>
      </c>
      <c r="AK138">
        <v>1</v>
      </c>
      <c r="AL138" t="s">
        <v>91</v>
      </c>
      <c r="AM138" t="s">
        <v>164</v>
      </c>
      <c r="AN138" t="s">
        <v>85</v>
      </c>
      <c r="AO138" s="1">
        <v>157</v>
      </c>
      <c r="AP138" t="s">
        <v>130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46214.579874305557</v>
      </c>
      <c r="V139">
        <f t="shared" ca="1" si="56"/>
        <v>2026</v>
      </c>
      <c r="W139">
        <f t="shared" ca="1" si="57"/>
        <v>7</v>
      </c>
      <c r="X139">
        <f t="shared" ca="1" si="58"/>
        <v>11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6</v>
      </c>
      <c r="AK139">
        <v>24</v>
      </c>
      <c r="AL139" t="s">
        <v>93</v>
      </c>
      <c r="AM139" t="s">
        <v>158</v>
      </c>
      <c r="AN139" t="s">
        <v>1413</v>
      </c>
      <c r="AO139" s="1">
        <v>61</v>
      </c>
      <c r="AP139" t="s">
        <v>1372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>Radiant Glow</v>
      </c>
      <c r="H140" s="6">
        <f t="shared" ca="1" si="47"/>
        <v>190</v>
      </c>
      <c r="I140" s="6" t="str">
        <f t="shared" ca="1" si="48"/>
        <v>Suikerfeest</v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46215.579874305557</v>
      </c>
      <c r="V140">
        <f t="shared" ca="1" si="56"/>
        <v>2026</v>
      </c>
      <c r="W140">
        <f t="shared" ca="1" si="57"/>
        <v>7</v>
      </c>
      <c r="X140">
        <f t="shared" ca="1" si="58"/>
        <v>12</v>
      </c>
      <c r="Z140" t="b">
        <f t="shared" ca="1" si="59"/>
        <v>0</v>
      </c>
      <c r="AA140" t="b">
        <f t="shared" ca="1" si="60"/>
        <v>0</v>
      </c>
      <c r="AI140">
        <v>2029</v>
      </c>
      <c r="AJ140">
        <v>7</v>
      </c>
      <c r="AK140">
        <v>1</v>
      </c>
      <c r="AL140" t="s">
        <v>91</v>
      </c>
      <c r="AM140" t="s">
        <v>164</v>
      </c>
      <c r="AN140" t="s">
        <v>85</v>
      </c>
      <c r="AO140" s="1">
        <v>171</v>
      </c>
      <c r="AP140" t="s">
        <v>131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>Radiant Glow</v>
      </c>
      <c r="H141" s="6">
        <f t="shared" ca="1" si="47"/>
        <v>230</v>
      </c>
      <c r="I141" s="6" t="str">
        <f t="shared" ca="1" si="48"/>
        <v>Suikerfeest</v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46216.579874305557</v>
      </c>
      <c r="V141">
        <f t="shared" ca="1" si="56"/>
        <v>2026</v>
      </c>
      <c r="W141">
        <f t="shared" ca="1" si="57"/>
        <v>7</v>
      </c>
      <c r="X141">
        <f t="shared" ca="1" si="58"/>
        <v>13</v>
      </c>
      <c r="Z141" t="b">
        <f t="shared" ca="1" si="59"/>
        <v>0</v>
      </c>
      <c r="AA141" t="b">
        <f t="shared" ca="1" si="60"/>
        <v>0</v>
      </c>
      <c r="AI141">
        <v>2029</v>
      </c>
      <c r="AJ141">
        <v>8</v>
      </c>
      <c r="AK141">
        <v>1</v>
      </c>
      <c r="AL141" t="s">
        <v>91</v>
      </c>
      <c r="AM141" t="s">
        <v>164</v>
      </c>
      <c r="AN141" t="s">
        <v>85</v>
      </c>
      <c r="AO141" s="1">
        <v>231</v>
      </c>
      <c r="AP141" t="s">
        <v>132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>Radiant Glow</v>
      </c>
      <c r="H142" s="6">
        <f t="shared" ca="1" si="47"/>
        <v>253</v>
      </c>
      <c r="I142" s="6" t="str">
        <f t="shared" ca="1" si="48"/>
        <v>Suikerfeest</v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46217.579874305557</v>
      </c>
      <c r="V142">
        <f t="shared" ca="1" si="56"/>
        <v>2026</v>
      </c>
      <c r="W142">
        <f t="shared" ca="1" si="57"/>
        <v>7</v>
      </c>
      <c r="X142">
        <f t="shared" ca="1" si="58"/>
        <v>14</v>
      </c>
      <c r="Z142" t="b">
        <f t="shared" ca="1" si="59"/>
        <v>0</v>
      </c>
      <c r="AA142" t="b">
        <f t="shared" ca="1" si="60"/>
        <v>0</v>
      </c>
      <c r="AI142">
        <v>2029</v>
      </c>
      <c r="AJ142">
        <v>9</v>
      </c>
      <c r="AK142">
        <v>1</v>
      </c>
      <c r="AL142" t="s">
        <v>91</v>
      </c>
      <c r="AM142" t="s">
        <v>164</v>
      </c>
      <c r="AN142" t="s">
        <v>85</v>
      </c>
      <c r="AO142" s="1">
        <v>282</v>
      </c>
      <c r="AP142" t="s">
        <v>133</v>
      </c>
    </row>
    <row r="143" spans="2:42" x14ac:dyDescent="0.25">
      <c r="G143" s="6" t="str">
        <f t="shared" ca="1" si="46"/>
        <v>Radiant Glow</v>
      </c>
      <c r="H143" s="6">
        <f t="shared" ca="1" si="47"/>
        <v>236</v>
      </c>
      <c r="I143" s="6" t="str">
        <f t="shared" ca="1" si="48"/>
        <v>Suikerfeest</v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46218.579874305557</v>
      </c>
      <c r="V143">
        <f t="shared" ca="1" si="56"/>
        <v>2026</v>
      </c>
      <c r="W143">
        <f t="shared" ca="1" si="57"/>
        <v>7</v>
      </c>
      <c r="X143">
        <f t="shared" ca="1" si="58"/>
        <v>15</v>
      </c>
      <c r="Z143" t="b">
        <f t="shared" ca="1" si="59"/>
        <v>0</v>
      </c>
      <c r="AA143" t="b">
        <f t="shared" ca="1" si="60"/>
        <v>0</v>
      </c>
      <c r="AI143">
        <v>2029</v>
      </c>
      <c r="AJ143">
        <v>10</v>
      </c>
      <c r="AK143">
        <v>1</v>
      </c>
      <c r="AL143" t="s">
        <v>91</v>
      </c>
      <c r="AM143" t="s">
        <v>164</v>
      </c>
      <c r="AN143" t="s">
        <v>85</v>
      </c>
      <c r="AO143" s="1">
        <v>277</v>
      </c>
      <c r="AP143" t="s">
        <v>134</v>
      </c>
    </row>
    <row r="144" spans="2:42" x14ac:dyDescent="0.25">
      <c r="G144" s="6" t="str">
        <f t="shared" ca="1" si="46"/>
        <v>Radiant Glow</v>
      </c>
      <c r="H144" s="6">
        <f t="shared" ca="1" si="47"/>
        <v>196</v>
      </c>
      <c r="I144" s="6" t="str">
        <f t="shared" ca="1" si="48"/>
        <v>Suikerfeest</v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46219.579874305557</v>
      </c>
      <c r="V144">
        <f t="shared" ca="1" si="56"/>
        <v>2026</v>
      </c>
      <c r="W144">
        <f t="shared" ca="1" si="57"/>
        <v>7</v>
      </c>
      <c r="X144">
        <f t="shared" ca="1" si="58"/>
        <v>16</v>
      </c>
      <c r="Z144" t="b">
        <f t="shared" ca="1" si="59"/>
        <v>0</v>
      </c>
      <c r="AA144" t="b">
        <f t="shared" ca="1" si="60"/>
        <v>0</v>
      </c>
      <c r="AI144">
        <v>2029</v>
      </c>
      <c r="AJ144">
        <v>10</v>
      </c>
      <c r="AK144">
        <v>8</v>
      </c>
      <c r="AL144" t="s">
        <v>56</v>
      </c>
      <c r="AM144" t="s">
        <v>184</v>
      </c>
      <c r="AN144" t="s">
        <v>84</v>
      </c>
      <c r="AO144" s="1">
        <v>105</v>
      </c>
      <c r="AP144" t="s">
        <v>135</v>
      </c>
    </row>
    <row r="145" spans="7:42" x14ac:dyDescent="0.25">
      <c r="G145" s="6" t="str">
        <f t="shared" ca="1" si="46"/>
        <v>Radiant Glow</v>
      </c>
      <c r="H145" s="6">
        <f t="shared" ca="1" si="47"/>
        <v>169</v>
      </c>
      <c r="I145" s="6" t="str">
        <f t="shared" ca="1" si="48"/>
        <v>Suikerfeest</v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46220.579874305557</v>
      </c>
      <c r="V145">
        <f t="shared" ca="1" si="56"/>
        <v>2026</v>
      </c>
      <c r="W145">
        <f t="shared" ca="1" si="57"/>
        <v>7</v>
      </c>
      <c r="X145">
        <f t="shared" ca="1" si="58"/>
        <v>17</v>
      </c>
      <c r="Z145" t="b">
        <f t="shared" ca="1" si="59"/>
        <v>0</v>
      </c>
      <c r="AA145" t="b">
        <f t="shared" ca="1" si="60"/>
        <v>0</v>
      </c>
      <c r="AI145">
        <v>2029</v>
      </c>
      <c r="AJ145">
        <v>11</v>
      </c>
      <c r="AK145">
        <v>1</v>
      </c>
      <c r="AL145" t="s">
        <v>91</v>
      </c>
      <c r="AM145" t="s">
        <v>164</v>
      </c>
      <c r="AN145" t="s">
        <v>85</v>
      </c>
      <c r="AO145" s="1">
        <v>221</v>
      </c>
      <c r="AP145" t="s">
        <v>136</v>
      </c>
    </row>
    <row r="146" spans="7:42" x14ac:dyDescent="0.25">
      <c r="G146" s="6" t="str">
        <f t="shared" ca="1" si="46"/>
        <v>Rapid Sparks</v>
      </c>
      <c r="H146" s="6">
        <f t="shared" ca="1" si="47"/>
        <v>180</v>
      </c>
      <c r="I146" s="6" t="str">
        <f t="shared" ca="1" si="48"/>
        <v>Laatste Carnavalsdag, Agge mar leut heht</v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46221.579874305557</v>
      </c>
      <c r="V146">
        <f t="shared" ca="1" si="56"/>
        <v>2026</v>
      </c>
      <c r="W146">
        <f t="shared" ca="1" si="57"/>
        <v>7</v>
      </c>
      <c r="X146">
        <f t="shared" ca="1" si="58"/>
        <v>18</v>
      </c>
      <c r="Z146" t="b">
        <f t="shared" ca="1" si="59"/>
        <v>0</v>
      </c>
      <c r="AA146" t="b">
        <f t="shared" ca="1" si="60"/>
        <v>0</v>
      </c>
      <c r="AI146">
        <v>2029</v>
      </c>
      <c r="AJ146">
        <v>12</v>
      </c>
      <c r="AK146">
        <v>1</v>
      </c>
      <c r="AL146" t="s">
        <v>91</v>
      </c>
      <c r="AM146" t="s">
        <v>164</v>
      </c>
      <c r="AN146" t="s">
        <v>85</v>
      </c>
      <c r="AO146" s="1">
        <v>165</v>
      </c>
      <c r="AP146" t="s">
        <v>137</v>
      </c>
    </row>
    <row r="147" spans="7:42" x14ac:dyDescent="0.25">
      <c r="G147" s="6" t="str">
        <f t="shared" ca="1" si="46"/>
        <v>Rapid Sparks</v>
      </c>
      <c r="H147" s="6">
        <f t="shared" ca="1" si="47"/>
        <v>219</v>
      </c>
      <c r="I147" s="6" t="str">
        <f t="shared" ca="1" si="48"/>
        <v>Laatste Carnavalsdag, Tadaaaaah - tadaaaah</v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46222.579874305557</v>
      </c>
      <c r="V147">
        <f t="shared" ca="1" si="56"/>
        <v>2026</v>
      </c>
      <c r="W147">
        <f t="shared" ca="1" si="57"/>
        <v>7</v>
      </c>
      <c r="X147">
        <f t="shared" ca="1" si="58"/>
        <v>19</v>
      </c>
      <c r="Z147" t="b">
        <f t="shared" ca="1" si="59"/>
        <v>0</v>
      </c>
      <c r="AA147" t="b">
        <f t="shared" ca="1" si="60"/>
        <v>0</v>
      </c>
      <c r="AI147">
        <v>2029</v>
      </c>
      <c r="AJ147">
        <v>12</v>
      </c>
      <c r="AK147">
        <v>5</v>
      </c>
      <c r="AL147" t="s">
        <v>53</v>
      </c>
      <c r="AM147" t="s">
        <v>224</v>
      </c>
      <c r="AN147" t="s">
        <v>258</v>
      </c>
      <c r="AO147" s="1">
        <v>113</v>
      </c>
      <c r="AP147" t="s">
        <v>1234</v>
      </c>
    </row>
    <row r="148" spans="7:42" x14ac:dyDescent="0.25">
      <c r="G148" s="6" t="str">
        <f t="shared" ca="1" si="46"/>
        <v>Rapid Sparks</v>
      </c>
      <c r="H148" s="6">
        <f t="shared" ca="1" si="47"/>
        <v>250</v>
      </c>
      <c r="I148" s="6" t="str">
        <f t="shared" ca="1" si="48"/>
        <v>Laatste Carnavalsdag, Alaaf!!</v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46223.579874305557</v>
      </c>
      <c r="V148">
        <f t="shared" ca="1" si="56"/>
        <v>2026</v>
      </c>
      <c r="W148">
        <f t="shared" ca="1" si="57"/>
        <v>7</v>
      </c>
      <c r="X148">
        <f t="shared" ca="1" si="58"/>
        <v>20</v>
      </c>
      <c r="Z148" t="b">
        <f t="shared" ca="1" si="59"/>
        <v>0</v>
      </c>
      <c r="AA148" t="b">
        <f t="shared" ca="1" si="60"/>
        <v>0</v>
      </c>
      <c r="AI148">
        <v>2029</v>
      </c>
      <c r="AJ148">
        <v>12</v>
      </c>
      <c r="AK148">
        <v>13</v>
      </c>
      <c r="AL148" t="s">
        <v>56</v>
      </c>
      <c r="AM148" t="s">
        <v>184</v>
      </c>
      <c r="AN148" t="s">
        <v>84</v>
      </c>
      <c r="AO148" s="1">
        <v>114</v>
      </c>
      <c r="AP148" t="s">
        <v>138</v>
      </c>
    </row>
    <row r="149" spans="7:42" x14ac:dyDescent="0.25">
      <c r="G149" s="6" t="str">
        <f t="shared" ca="1" si="46"/>
        <v>Rapid Sparks</v>
      </c>
      <c r="H149" s="6">
        <f t="shared" ca="1" si="47"/>
        <v>245</v>
      </c>
      <c r="I149" s="6" t="str">
        <f t="shared" ca="1" si="48"/>
        <v>Laatste Carnavalsdag, Keiebijters!!</v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46224.579874305557</v>
      </c>
      <c r="V149">
        <f t="shared" ca="1" si="56"/>
        <v>2026</v>
      </c>
      <c r="W149">
        <f t="shared" ca="1" si="57"/>
        <v>7</v>
      </c>
      <c r="X149">
        <f t="shared" ca="1" si="58"/>
        <v>21</v>
      </c>
      <c r="Z149" t="b">
        <f t="shared" ca="1" si="59"/>
        <v>0</v>
      </c>
      <c r="AA149" t="b">
        <f t="shared" ca="1" si="60"/>
        <v>0</v>
      </c>
      <c r="AI149">
        <v>2029</v>
      </c>
      <c r="AJ149">
        <v>12</v>
      </c>
      <c r="AK149">
        <v>25</v>
      </c>
      <c r="AL149" t="s">
        <v>43</v>
      </c>
      <c r="AM149" t="s">
        <v>230</v>
      </c>
      <c r="AN149" t="s">
        <v>1412</v>
      </c>
      <c r="AO149" s="1">
        <v>95</v>
      </c>
      <c r="AP149" t="s">
        <v>7</v>
      </c>
    </row>
    <row r="150" spans="7:42" x14ac:dyDescent="0.25">
      <c r="G150" s="6" t="str">
        <f t="shared" ca="1" si="46"/>
        <v>Rapid Sparks</v>
      </c>
      <c r="H150" s="6">
        <f t="shared" ca="1" si="47"/>
        <v>208</v>
      </c>
      <c r="I150" s="6" t="str">
        <f t="shared" ca="1" si="48"/>
        <v>Laatste Carnavalsdag, En deh hittie naw gedonn umdettie Hellemonder is</v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46225.579874305557</v>
      </c>
      <c r="V150">
        <f t="shared" ca="1" si="56"/>
        <v>2026</v>
      </c>
      <c r="W150">
        <f t="shared" ca="1" si="57"/>
        <v>7</v>
      </c>
      <c r="X150">
        <f t="shared" ca="1" si="58"/>
        <v>22</v>
      </c>
      <c r="Z150" t="b">
        <f t="shared" ca="1" si="59"/>
        <v>0</v>
      </c>
      <c r="AA150" t="b">
        <f t="shared" ca="1" si="60"/>
        <v>0</v>
      </c>
      <c r="AI150">
        <v>2029</v>
      </c>
      <c r="AJ150">
        <v>12</v>
      </c>
      <c r="AK150">
        <v>26</v>
      </c>
      <c r="AL150" t="s">
        <v>43</v>
      </c>
      <c r="AM150" t="s">
        <v>201</v>
      </c>
      <c r="AN150" t="s">
        <v>86</v>
      </c>
      <c r="AO150" s="1">
        <v>108</v>
      </c>
      <c r="AP150" t="s">
        <v>78</v>
      </c>
    </row>
    <row r="151" spans="7:42" x14ac:dyDescent="0.25">
      <c r="G151" s="6" t="str">
        <f t="shared" ca="1" si="46"/>
        <v>Rapid Sparks</v>
      </c>
      <c r="H151" s="6">
        <f t="shared" ca="1" si="47"/>
        <v>174</v>
      </c>
      <c r="I151" s="6" t="str">
        <f t="shared" ca="1" si="48"/>
        <v>Laatste Carnavalsdag, Agge mar leut heht</v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46226.579874305557</v>
      </c>
      <c r="V151">
        <f t="shared" ca="1" si="56"/>
        <v>2026</v>
      </c>
      <c r="W151">
        <f t="shared" ca="1" si="57"/>
        <v>7</v>
      </c>
      <c r="X151">
        <f t="shared" ca="1" si="58"/>
        <v>23</v>
      </c>
      <c r="Z151" t="b">
        <f t="shared" ca="1" si="59"/>
        <v>0</v>
      </c>
      <c r="AA151" t="b">
        <f t="shared" ca="1" si="60"/>
        <v>0</v>
      </c>
      <c r="AI151">
        <v>2029</v>
      </c>
      <c r="AJ151">
        <v>12</v>
      </c>
      <c r="AK151">
        <v>28</v>
      </c>
      <c r="AL151" t="s">
        <v>52</v>
      </c>
      <c r="AM151" t="s">
        <v>245</v>
      </c>
      <c r="AN151" t="s">
        <v>1412</v>
      </c>
      <c r="AO151" s="1">
        <v>77</v>
      </c>
      <c r="AP151" t="s">
        <v>1370</v>
      </c>
    </row>
    <row r="152" spans="7:42" x14ac:dyDescent="0.25">
      <c r="G152" s="6" t="str">
        <f t="shared" ca="1" si="46"/>
        <v>Rapid Sparks</v>
      </c>
      <c r="H152" s="6">
        <f t="shared" ca="1" si="47"/>
        <v>173</v>
      </c>
      <c r="I152" s="6" t="str">
        <f t="shared" ca="1" si="48"/>
        <v>Laatste Carnavalsdag, Alaaf!!</v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46227.579874305557</v>
      </c>
      <c r="V152">
        <f t="shared" ca="1" si="56"/>
        <v>2026</v>
      </c>
      <c r="W152">
        <f t="shared" ca="1" si="57"/>
        <v>7</v>
      </c>
      <c r="X152">
        <f t="shared" ca="1" si="58"/>
        <v>24</v>
      </c>
      <c r="Z152" t="b">
        <f t="shared" ca="1" si="59"/>
        <v>0</v>
      </c>
      <c r="AA152" t="b">
        <f t="shared" ca="1" si="60"/>
        <v>0</v>
      </c>
      <c r="AI152">
        <v>2030</v>
      </c>
      <c r="AJ152">
        <v>1</v>
      </c>
      <c r="AK152">
        <v>1</v>
      </c>
      <c r="AL152" t="s">
        <v>93</v>
      </c>
      <c r="AM152" t="s">
        <v>256</v>
      </c>
      <c r="AN152" t="s">
        <v>83</v>
      </c>
      <c r="AO152" s="1">
        <v>77</v>
      </c>
      <c r="AP152" t="s">
        <v>8</v>
      </c>
    </row>
    <row r="153" spans="7:42" x14ac:dyDescent="0.25">
      <c r="G153" s="6" t="str">
        <f t="shared" ca="1" si="46"/>
        <v>Rapid Sparks</v>
      </c>
      <c r="H153" s="6">
        <f t="shared" ca="1" si="47"/>
        <v>207</v>
      </c>
      <c r="I153" s="6" t="str">
        <f t="shared" ca="1" si="48"/>
        <v>Laatste Carnavalsdag, Keiebijters!!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46228.579874305557</v>
      </c>
      <c r="V153">
        <f t="shared" ca="1" si="56"/>
        <v>2026</v>
      </c>
      <c r="W153">
        <f t="shared" ca="1" si="57"/>
        <v>7</v>
      </c>
      <c r="X153">
        <f t="shared" ca="1" si="58"/>
        <v>25</v>
      </c>
      <c r="Z153" t="b">
        <f t="shared" ca="1" si="59"/>
        <v>0</v>
      </c>
      <c r="AA153" t="b">
        <f t="shared" ca="1" si="60"/>
        <v>0</v>
      </c>
      <c r="AI153">
        <v>2030</v>
      </c>
      <c r="AJ153">
        <v>2</v>
      </c>
      <c r="AK153">
        <v>1</v>
      </c>
      <c r="AL153" t="s">
        <v>91</v>
      </c>
      <c r="AM153" t="s">
        <v>164</v>
      </c>
      <c r="AN153" t="s">
        <v>85</v>
      </c>
      <c r="AO153" s="1">
        <v>249</v>
      </c>
      <c r="AP153" t="s">
        <v>1498</v>
      </c>
    </row>
    <row r="154" spans="7:42" x14ac:dyDescent="0.25">
      <c r="G154" s="6" t="str">
        <f t="shared" ca="1" si="46"/>
        <v>Rapid Sparks</v>
      </c>
      <c r="H154" s="6">
        <f t="shared" ca="1" si="47"/>
        <v>244</v>
      </c>
      <c r="I154" s="6" t="str">
        <f t="shared" ca="1" si="48"/>
        <v>Laatste Carnavalsdag, En deh hittie naw gedonn umdettie Hellemonder is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46229.579874305557</v>
      </c>
      <c r="V154">
        <f t="shared" ca="1" si="56"/>
        <v>2026</v>
      </c>
      <c r="W154">
        <f t="shared" ca="1" si="57"/>
        <v>7</v>
      </c>
      <c r="X154">
        <f t="shared" ca="1" si="58"/>
        <v>26</v>
      </c>
      <c r="Z154" t="b">
        <f t="shared" ca="1" si="59"/>
        <v>0</v>
      </c>
      <c r="AA154" t="b">
        <f t="shared" ca="1" si="60"/>
        <v>0</v>
      </c>
      <c r="AI154">
        <v>2030</v>
      </c>
      <c r="AJ154">
        <v>2</v>
      </c>
      <c r="AK154">
        <v>4</v>
      </c>
      <c r="AL154" t="s">
        <v>52</v>
      </c>
      <c r="AM154" t="s">
        <v>79</v>
      </c>
      <c r="AN154" t="s">
        <v>259</v>
      </c>
      <c r="AO154" s="1">
        <v>226</v>
      </c>
      <c r="AP154" t="s">
        <v>1389</v>
      </c>
    </row>
    <row r="155" spans="7:42" x14ac:dyDescent="0.25">
      <c r="G155" s="6" t="str">
        <f t="shared" ca="1" si="46"/>
        <v>Rapid Sparks</v>
      </c>
      <c r="H155" s="6">
        <f t="shared" ca="1" si="47"/>
        <v>250</v>
      </c>
      <c r="I155" s="6" t="str">
        <f t="shared" ca="1" si="48"/>
        <v>Laatste Carnavalsdag, Agge mar leut heht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46230.579874305557</v>
      </c>
      <c r="V155">
        <f t="shared" ca="1" si="56"/>
        <v>2026</v>
      </c>
      <c r="W155">
        <f t="shared" ca="1" si="57"/>
        <v>7</v>
      </c>
      <c r="X155">
        <f t="shared" ca="1" si="58"/>
        <v>27</v>
      </c>
      <c r="Z155" t="b">
        <f t="shared" ca="1" si="59"/>
        <v>0</v>
      </c>
      <c r="AA155" t="b">
        <f t="shared" ca="1" si="60"/>
        <v>0</v>
      </c>
      <c r="AI155">
        <v>2030</v>
      </c>
      <c r="AJ155">
        <v>2</v>
      </c>
      <c r="AK155">
        <v>14</v>
      </c>
      <c r="AL155" t="s">
        <v>93</v>
      </c>
      <c r="AM155" t="s">
        <v>1393</v>
      </c>
      <c r="AN155" t="s">
        <v>258</v>
      </c>
      <c r="AO155" s="1">
        <v>70</v>
      </c>
      <c r="AP155" t="s">
        <v>1374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46231.579874305557</v>
      </c>
      <c r="V156">
        <f t="shared" ca="1" si="56"/>
        <v>2026</v>
      </c>
      <c r="W156">
        <f t="shared" ca="1" si="57"/>
        <v>7</v>
      </c>
      <c r="X156">
        <f t="shared" ca="1" si="58"/>
        <v>28</v>
      </c>
      <c r="Z156" t="b">
        <f t="shared" ca="1" si="59"/>
        <v>0</v>
      </c>
      <c r="AA156" t="b">
        <f t="shared" ca="1" si="60"/>
        <v>0</v>
      </c>
      <c r="AI156">
        <v>2030</v>
      </c>
      <c r="AJ156">
        <v>3</v>
      </c>
      <c r="AK156">
        <v>1</v>
      </c>
      <c r="AL156" t="s">
        <v>91</v>
      </c>
      <c r="AM156" t="s">
        <v>164</v>
      </c>
      <c r="AN156" t="s">
        <v>85</v>
      </c>
      <c r="AO156" s="1">
        <v>287</v>
      </c>
      <c r="AP156" t="s">
        <v>122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46232.579874305557</v>
      </c>
      <c r="V157">
        <f t="shared" ca="1" si="56"/>
        <v>2026</v>
      </c>
      <c r="W157">
        <f t="shared" ca="1" si="57"/>
        <v>7</v>
      </c>
      <c r="X157">
        <f t="shared" ca="1" si="58"/>
        <v>29</v>
      </c>
      <c r="Z157" t="b">
        <f t="shared" ca="1" si="59"/>
        <v>0</v>
      </c>
      <c r="AA157" t="b">
        <f t="shared" ca="1" si="60"/>
        <v>0</v>
      </c>
      <c r="AI157">
        <v>2030</v>
      </c>
      <c r="AJ157">
        <v>3</v>
      </c>
      <c r="AK157">
        <v>3</v>
      </c>
      <c r="AL157" t="s">
        <v>93</v>
      </c>
      <c r="AM157" t="s">
        <v>164</v>
      </c>
      <c r="AN157" t="s">
        <v>84</v>
      </c>
      <c r="AO157" s="1">
        <v>116</v>
      </c>
      <c r="AP157" t="s">
        <v>1511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46233.579874305557</v>
      </c>
      <c r="V158">
        <f t="shared" ca="1" si="56"/>
        <v>2026</v>
      </c>
      <c r="W158">
        <f t="shared" ca="1" si="57"/>
        <v>7</v>
      </c>
      <c r="X158">
        <f t="shared" ca="1" si="58"/>
        <v>30</v>
      </c>
      <c r="Z158" t="b">
        <f t="shared" ca="1" si="59"/>
        <v>0</v>
      </c>
      <c r="AA158" t="b">
        <f t="shared" ca="1" si="60"/>
        <v>0</v>
      </c>
      <c r="AI158">
        <v>2030</v>
      </c>
      <c r="AJ158">
        <v>3</v>
      </c>
      <c r="AK158">
        <v>3</v>
      </c>
      <c r="AL158" t="s">
        <v>93</v>
      </c>
      <c r="AM158" t="s">
        <v>164</v>
      </c>
      <c r="AN158" t="s">
        <v>84</v>
      </c>
      <c r="AO158" s="1">
        <v>81</v>
      </c>
      <c r="AP158" t="s">
        <v>1500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46234.579874305557</v>
      </c>
      <c r="V159">
        <f t="shared" ca="1" si="56"/>
        <v>2026</v>
      </c>
      <c r="W159">
        <f t="shared" ca="1" si="57"/>
        <v>7</v>
      </c>
      <c r="X159">
        <f t="shared" ca="1" si="58"/>
        <v>31</v>
      </c>
      <c r="Z159" t="b">
        <f t="shared" ca="1" si="59"/>
        <v>0</v>
      </c>
      <c r="AA159" t="b">
        <f t="shared" ca="1" si="60"/>
        <v>0</v>
      </c>
      <c r="AI159">
        <v>2030</v>
      </c>
      <c r="AJ159">
        <v>3</v>
      </c>
      <c r="AK159">
        <v>4</v>
      </c>
      <c r="AL159" t="s">
        <v>93</v>
      </c>
      <c r="AM159" t="s">
        <v>164</v>
      </c>
      <c r="AN159" t="s">
        <v>84</v>
      </c>
      <c r="AO159" s="1">
        <v>133</v>
      </c>
      <c r="AP159" t="s">
        <v>1513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46235.579874305557</v>
      </c>
      <c r="V160">
        <f t="shared" ca="1" si="56"/>
        <v>2026</v>
      </c>
      <c r="W160">
        <f t="shared" ca="1" si="57"/>
        <v>8</v>
      </c>
      <c r="X160">
        <f t="shared" ca="1" si="58"/>
        <v>1</v>
      </c>
      <c r="Z160" t="b">
        <f t="shared" ca="1" si="59"/>
        <v>0</v>
      </c>
      <c r="AA160" t="b">
        <f t="shared" ca="1" si="60"/>
        <v>0</v>
      </c>
      <c r="AI160">
        <v>2030</v>
      </c>
      <c r="AJ160">
        <v>3</v>
      </c>
      <c r="AK160">
        <v>6</v>
      </c>
      <c r="AL160" t="s">
        <v>89</v>
      </c>
      <c r="AM160" t="s">
        <v>204</v>
      </c>
      <c r="AN160" t="s">
        <v>86</v>
      </c>
      <c r="AO160" s="1">
        <v>210</v>
      </c>
      <c r="AP160" t="s">
        <v>139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46236.579874305557</v>
      </c>
      <c r="V161">
        <f t="shared" ca="1" si="56"/>
        <v>2026</v>
      </c>
      <c r="W161">
        <f t="shared" ca="1" si="57"/>
        <v>8</v>
      </c>
      <c r="X161">
        <f t="shared" ca="1" si="58"/>
        <v>2</v>
      </c>
      <c r="Z161" t="b">
        <f t="shared" ca="1" si="59"/>
        <v>0</v>
      </c>
      <c r="AA161" t="b">
        <f t="shared" ca="1" si="60"/>
        <v>0</v>
      </c>
      <c r="AI161">
        <v>2030</v>
      </c>
      <c r="AJ161">
        <v>3</v>
      </c>
      <c r="AK161">
        <v>14</v>
      </c>
      <c r="AL161" t="s">
        <v>45</v>
      </c>
      <c r="AM161" t="s">
        <v>161</v>
      </c>
      <c r="AN161" t="s">
        <v>1414</v>
      </c>
      <c r="AO161" s="1">
        <v>95</v>
      </c>
      <c r="AP161" t="s">
        <v>1502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46237.579874305557</v>
      </c>
      <c r="V162">
        <f t="shared" ca="1" si="56"/>
        <v>2026</v>
      </c>
      <c r="W162">
        <f t="shared" ca="1" si="57"/>
        <v>8</v>
      </c>
      <c r="X162">
        <f t="shared" ca="1" si="58"/>
        <v>3</v>
      </c>
      <c r="Z162" t="b">
        <f t="shared" ca="1" si="59"/>
        <v>0</v>
      </c>
      <c r="AA162" t="b">
        <f t="shared" ca="1" si="60"/>
        <v>0</v>
      </c>
      <c r="AI162">
        <v>2030</v>
      </c>
      <c r="AJ162">
        <v>3</v>
      </c>
      <c r="AK162">
        <v>21</v>
      </c>
      <c r="AL162" t="s">
        <v>56</v>
      </c>
      <c r="AM162" t="s">
        <v>184</v>
      </c>
      <c r="AN162" t="s">
        <v>84</v>
      </c>
      <c r="AO162" s="1">
        <v>73</v>
      </c>
      <c r="AP162" t="s">
        <v>123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46238.579874305557</v>
      </c>
      <c r="V163">
        <f t="shared" ca="1" si="56"/>
        <v>2026</v>
      </c>
      <c r="W163">
        <f t="shared" ca="1" si="57"/>
        <v>8</v>
      </c>
      <c r="X163">
        <f t="shared" ca="1" si="58"/>
        <v>4</v>
      </c>
      <c r="Z163" t="b">
        <f t="shared" ca="1" si="59"/>
        <v>0</v>
      </c>
      <c r="AA163" t="b">
        <f t="shared" ca="1" si="60"/>
        <v>0</v>
      </c>
      <c r="AI163">
        <v>2030</v>
      </c>
      <c r="AJ163">
        <v>4</v>
      </c>
      <c r="AK163">
        <v>1</v>
      </c>
      <c r="AL163" t="s">
        <v>91</v>
      </c>
      <c r="AM163" t="s">
        <v>164</v>
      </c>
      <c r="AN163" t="s">
        <v>85</v>
      </c>
      <c r="AO163" s="1">
        <v>265</v>
      </c>
      <c r="AP163" t="s">
        <v>124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46239.579874305557</v>
      </c>
      <c r="V164">
        <f t="shared" ca="1" si="56"/>
        <v>2026</v>
      </c>
      <c r="W164">
        <f t="shared" ca="1" si="57"/>
        <v>8</v>
      </c>
      <c r="X164">
        <f t="shared" ca="1" si="58"/>
        <v>5</v>
      </c>
      <c r="Z164" t="b">
        <f t="shared" ca="1" si="59"/>
        <v>0</v>
      </c>
      <c r="AA164" t="b">
        <f t="shared" ca="1" si="60"/>
        <v>0</v>
      </c>
      <c r="AI164">
        <v>2030</v>
      </c>
      <c r="AJ164">
        <v>4</v>
      </c>
      <c r="AK164">
        <v>19</v>
      </c>
      <c r="AL164" t="s">
        <v>54</v>
      </c>
      <c r="AM164" t="s">
        <v>181</v>
      </c>
      <c r="AN164" t="s">
        <v>83</v>
      </c>
      <c r="AO164" s="1">
        <v>260</v>
      </c>
      <c r="AP164" t="s">
        <v>28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46240.579874305557</v>
      </c>
      <c r="V165">
        <f t="shared" ca="1" si="56"/>
        <v>2026</v>
      </c>
      <c r="W165">
        <f t="shared" ca="1" si="57"/>
        <v>8</v>
      </c>
      <c r="X165">
        <f t="shared" ca="1" si="58"/>
        <v>6</v>
      </c>
      <c r="Z165" t="b">
        <f t="shared" ca="1" si="59"/>
        <v>0</v>
      </c>
      <c r="AA165" t="b">
        <f t="shared" ca="1" si="60"/>
        <v>0</v>
      </c>
      <c r="AI165">
        <v>2030</v>
      </c>
      <c r="AJ165">
        <v>4</v>
      </c>
      <c r="AK165">
        <v>21</v>
      </c>
      <c r="AL165" t="s">
        <v>58</v>
      </c>
      <c r="AM165" t="s">
        <v>158</v>
      </c>
      <c r="AN165" t="s">
        <v>261</v>
      </c>
      <c r="AO165" s="1">
        <v>64</v>
      </c>
      <c r="AP165" t="s">
        <v>146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46241.579874305557</v>
      </c>
      <c r="V166">
        <f t="shared" ca="1" si="56"/>
        <v>2026</v>
      </c>
      <c r="W166">
        <f t="shared" ca="1" si="57"/>
        <v>8</v>
      </c>
      <c r="X166">
        <f t="shared" ca="1" si="58"/>
        <v>7</v>
      </c>
      <c r="Z166" t="b">
        <f t="shared" ca="1" si="59"/>
        <v>0</v>
      </c>
      <c r="AA166" t="b">
        <f t="shared" ca="1" si="60"/>
        <v>0</v>
      </c>
      <c r="AI166">
        <v>2030</v>
      </c>
      <c r="AJ166">
        <v>4</v>
      </c>
      <c r="AK166">
        <v>22</v>
      </c>
      <c r="AL166" t="s">
        <v>58</v>
      </c>
      <c r="AM166" t="s">
        <v>198</v>
      </c>
      <c r="AN166" t="s">
        <v>265</v>
      </c>
      <c r="AO166" s="1">
        <v>355</v>
      </c>
      <c r="AP166" t="s">
        <v>1514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46242.579874305557</v>
      </c>
      <c r="V167">
        <f t="shared" ca="1" si="56"/>
        <v>2026</v>
      </c>
      <c r="W167">
        <f t="shared" ca="1" si="57"/>
        <v>8</v>
      </c>
      <c r="X167">
        <f t="shared" ca="1" si="58"/>
        <v>8</v>
      </c>
      <c r="Z167" t="b">
        <f t="shared" ca="1" si="59"/>
        <v>0</v>
      </c>
      <c r="AA167" t="b">
        <f t="shared" ca="1" si="60"/>
        <v>0</v>
      </c>
      <c r="AI167">
        <v>2030</v>
      </c>
      <c r="AJ167">
        <v>4</v>
      </c>
      <c r="AK167">
        <v>30</v>
      </c>
      <c r="AL167" t="s">
        <v>56</v>
      </c>
      <c r="AM167" t="s">
        <v>184</v>
      </c>
      <c r="AN167" t="s">
        <v>84</v>
      </c>
      <c r="AO167" s="1">
        <v>98</v>
      </c>
      <c r="AP167" t="s">
        <v>126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46243.579874305557</v>
      </c>
      <c r="V168">
        <f t="shared" ca="1" si="56"/>
        <v>2026</v>
      </c>
      <c r="W168">
        <f t="shared" ca="1" si="57"/>
        <v>8</v>
      </c>
      <c r="X168">
        <f t="shared" ca="1" si="58"/>
        <v>9</v>
      </c>
      <c r="Z168" t="b">
        <f t="shared" ca="1" si="59"/>
        <v>0</v>
      </c>
      <c r="AA168" t="b">
        <f t="shared" ca="1" si="60"/>
        <v>0</v>
      </c>
      <c r="AI168">
        <v>2030</v>
      </c>
      <c r="AJ168">
        <v>5</v>
      </c>
      <c r="AK168">
        <v>1</v>
      </c>
      <c r="AL168" t="s">
        <v>91</v>
      </c>
      <c r="AM168" t="s">
        <v>164</v>
      </c>
      <c r="AN168" t="s">
        <v>85</v>
      </c>
      <c r="AO168" s="1">
        <v>202</v>
      </c>
      <c r="AP168" t="s">
        <v>127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46244.579874305557</v>
      </c>
      <c r="V169">
        <f t="shared" ca="1" si="56"/>
        <v>2026</v>
      </c>
      <c r="W169">
        <f t="shared" ca="1" si="57"/>
        <v>8</v>
      </c>
      <c r="X169">
        <f t="shared" ca="1" si="58"/>
        <v>10</v>
      </c>
      <c r="Z169" t="b">
        <f t="shared" ca="1" si="59"/>
        <v>0</v>
      </c>
      <c r="AA169" t="b">
        <f t="shared" ca="1" si="60"/>
        <v>0</v>
      </c>
      <c r="AI169">
        <v>2030</v>
      </c>
      <c r="AJ169">
        <v>5</v>
      </c>
      <c r="AK169">
        <v>4</v>
      </c>
      <c r="AL169" t="s">
        <v>89</v>
      </c>
      <c r="AM169" t="s">
        <v>233</v>
      </c>
      <c r="AN169" t="s">
        <v>83</v>
      </c>
      <c r="AO169" s="1">
        <v>102</v>
      </c>
      <c r="AP169" t="s">
        <v>1366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46245.579874305557</v>
      </c>
      <c r="V170">
        <f t="shared" ca="1" si="56"/>
        <v>2026</v>
      </c>
      <c r="W170">
        <f t="shared" ca="1" si="57"/>
        <v>8</v>
      </c>
      <c r="X170">
        <f t="shared" ca="1" si="58"/>
        <v>11</v>
      </c>
      <c r="Z170" t="b">
        <f t="shared" ca="1" si="59"/>
        <v>0</v>
      </c>
      <c r="AA170" t="b">
        <f t="shared" ca="1" si="60"/>
        <v>0</v>
      </c>
      <c r="AI170">
        <v>2030</v>
      </c>
      <c r="AJ170">
        <v>5</v>
      </c>
      <c r="AK170">
        <v>5</v>
      </c>
      <c r="AL170" t="s">
        <v>93</v>
      </c>
      <c r="AM170" t="s">
        <v>152</v>
      </c>
      <c r="AN170" t="s">
        <v>84</v>
      </c>
      <c r="AO170" s="1">
        <v>64</v>
      </c>
      <c r="AP170" t="s">
        <v>107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46246.579874305557</v>
      </c>
      <c r="V171">
        <f t="shared" ca="1" si="56"/>
        <v>2026</v>
      </c>
      <c r="W171">
        <f t="shared" ca="1" si="57"/>
        <v>8</v>
      </c>
      <c r="X171">
        <f t="shared" ca="1" si="58"/>
        <v>12</v>
      </c>
      <c r="Z171" t="b">
        <f t="shared" ca="1" si="59"/>
        <v>0</v>
      </c>
      <c r="AA171" t="b">
        <f t="shared" ca="1" si="60"/>
        <v>0</v>
      </c>
      <c r="AI171">
        <v>2030</v>
      </c>
      <c r="AJ171">
        <v>5</v>
      </c>
      <c r="AK171">
        <v>10</v>
      </c>
      <c r="AL171" t="s">
        <v>56</v>
      </c>
      <c r="AM171" t="s">
        <v>184</v>
      </c>
      <c r="AN171" t="s">
        <v>84</v>
      </c>
      <c r="AO171" s="1">
        <v>73</v>
      </c>
      <c r="AP171" t="s">
        <v>128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46247.579874305557</v>
      </c>
      <c r="V172">
        <f t="shared" ca="1" si="56"/>
        <v>2026</v>
      </c>
      <c r="W172">
        <f t="shared" ca="1" si="57"/>
        <v>8</v>
      </c>
      <c r="X172">
        <f t="shared" ca="1" si="58"/>
        <v>13</v>
      </c>
      <c r="Z172" t="b">
        <f t="shared" ca="1" si="59"/>
        <v>0</v>
      </c>
      <c r="AA172" t="b">
        <f t="shared" ca="1" si="60"/>
        <v>0</v>
      </c>
      <c r="AI172">
        <v>2030</v>
      </c>
      <c r="AJ172">
        <v>5</v>
      </c>
      <c r="AK172">
        <v>30</v>
      </c>
      <c r="AL172" t="s">
        <v>44</v>
      </c>
      <c r="AM172" t="s">
        <v>227</v>
      </c>
      <c r="AN172" t="s">
        <v>83</v>
      </c>
      <c r="AO172" s="1">
        <v>96</v>
      </c>
      <c r="AP172" t="s">
        <v>14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46248.579874305557</v>
      </c>
      <c r="V173">
        <f t="shared" ca="1" si="56"/>
        <v>2026</v>
      </c>
      <c r="W173">
        <f t="shared" ca="1" si="57"/>
        <v>8</v>
      </c>
      <c r="X173">
        <f t="shared" ca="1" si="58"/>
        <v>14</v>
      </c>
      <c r="Z173" t="b">
        <f t="shared" ca="1" si="59"/>
        <v>0</v>
      </c>
      <c r="AA173" t="b">
        <f t="shared" ca="1" si="60"/>
        <v>0</v>
      </c>
      <c r="AI173">
        <v>2030</v>
      </c>
      <c r="AJ173">
        <v>6</v>
      </c>
      <c r="AK173">
        <v>1</v>
      </c>
      <c r="AL173" t="s">
        <v>91</v>
      </c>
      <c r="AM173" t="s">
        <v>164</v>
      </c>
      <c r="AN173" t="s">
        <v>85</v>
      </c>
      <c r="AO173" s="1">
        <v>157</v>
      </c>
      <c r="AP173" t="s">
        <v>130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46249.579874305557</v>
      </c>
      <c r="V174">
        <f t="shared" ca="1" si="56"/>
        <v>2026</v>
      </c>
      <c r="W174">
        <f t="shared" ca="1" si="57"/>
        <v>8</v>
      </c>
      <c r="X174">
        <f t="shared" ca="1" si="58"/>
        <v>15</v>
      </c>
      <c r="Z174" t="b">
        <f t="shared" ca="1" si="59"/>
        <v>0</v>
      </c>
      <c r="AA174" t="b">
        <f t="shared" ca="1" si="60"/>
        <v>0</v>
      </c>
      <c r="AI174">
        <v>2030</v>
      </c>
      <c r="AJ174">
        <v>6</v>
      </c>
      <c r="AK174">
        <v>9</v>
      </c>
      <c r="AL174" t="s">
        <v>49</v>
      </c>
      <c r="AM174" t="s">
        <v>167</v>
      </c>
      <c r="AN174" t="s">
        <v>85</v>
      </c>
      <c r="AO174" s="1">
        <v>150</v>
      </c>
      <c r="AP174" t="s">
        <v>129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46250.579874305557</v>
      </c>
      <c r="V175">
        <f t="shared" ca="1" si="56"/>
        <v>2026</v>
      </c>
      <c r="W175">
        <f t="shared" ca="1" si="57"/>
        <v>8</v>
      </c>
      <c r="X175">
        <f t="shared" ca="1" si="58"/>
        <v>16</v>
      </c>
      <c r="Z175" t="b">
        <f t="shared" ca="1" si="59"/>
        <v>0</v>
      </c>
      <c r="AA175" t="b">
        <f t="shared" ca="1" si="60"/>
        <v>0</v>
      </c>
      <c r="AI175">
        <v>2030</v>
      </c>
      <c r="AJ175">
        <v>6</v>
      </c>
      <c r="AK175">
        <v>10</v>
      </c>
      <c r="AL175" t="s">
        <v>49</v>
      </c>
      <c r="AM175" t="s">
        <v>167</v>
      </c>
      <c r="AN175" t="s">
        <v>85</v>
      </c>
      <c r="AO175" s="1">
        <v>250</v>
      </c>
      <c r="AP175" t="s">
        <v>1503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46251.579874305557</v>
      </c>
      <c r="V176">
        <f t="shared" ca="1" si="56"/>
        <v>2026</v>
      </c>
      <c r="W176">
        <f t="shared" ca="1" si="57"/>
        <v>8</v>
      </c>
      <c r="X176">
        <f t="shared" ca="1" si="58"/>
        <v>17</v>
      </c>
      <c r="Z176" t="b">
        <f t="shared" ca="1" si="59"/>
        <v>0</v>
      </c>
      <c r="AA176" t="b">
        <f t="shared" ca="1" si="60"/>
        <v>0</v>
      </c>
      <c r="AI176">
        <v>2030</v>
      </c>
      <c r="AJ176">
        <v>6</v>
      </c>
      <c r="AK176">
        <v>24</v>
      </c>
      <c r="AL176" t="s">
        <v>93</v>
      </c>
      <c r="AM176" t="s">
        <v>158</v>
      </c>
      <c r="AN176" t="s">
        <v>1413</v>
      </c>
      <c r="AO176" s="1">
        <v>61</v>
      </c>
      <c r="AP176" t="s">
        <v>1372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46252.579874305557</v>
      </c>
      <c r="V177">
        <f t="shared" ca="1" si="56"/>
        <v>2026</v>
      </c>
      <c r="W177">
        <f t="shared" ca="1" si="57"/>
        <v>8</v>
      </c>
      <c r="X177">
        <f t="shared" ca="1" si="58"/>
        <v>18</v>
      </c>
      <c r="Z177" t="b">
        <f t="shared" ca="1" si="59"/>
        <v>0</v>
      </c>
      <c r="AA177" t="b">
        <f t="shared" ca="1" si="60"/>
        <v>0</v>
      </c>
      <c r="AI177">
        <v>2030</v>
      </c>
      <c r="AJ177">
        <v>7</v>
      </c>
      <c r="AK177">
        <v>1</v>
      </c>
      <c r="AL177" t="s">
        <v>91</v>
      </c>
      <c r="AM177" t="s">
        <v>164</v>
      </c>
      <c r="AN177" t="s">
        <v>85</v>
      </c>
      <c r="AO177" s="1">
        <v>171</v>
      </c>
      <c r="AP177" t="s">
        <v>131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46253.579874305557</v>
      </c>
      <c r="V178">
        <f t="shared" ca="1" si="56"/>
        <v>2026</v>
      </c>
      <c r="W178">
        <f t="shared" ca="1" si="57"/>
        <v>8</v>
      </c>
      <c r="X178">
        <f t="shared" ca="1" si="58"/>
        <v>19</v>
      </c>
      <c r="Z178" t="b">
        <f t="shared" ca="1" si="59"/>
        <v>0</v>
      </c>
      <c r="AA178" t="b">
        <f t="shared" ca="1" si="60"/>
        <v>0</v>
      </c>
      <c r="AI178">
        <v>2030</v>
      </c>
      <c r="AJ178">
        <v>8</v>
      </c>
      <c r="AK178">
        <v>1</v>
      </c>
      <c r="AL178" t="s">
        <v>91</v>
      </c>
      <c r="AM178" t="s">
        <v>164</v>
      </c>
      <c r="AN178" t="s">
        <v>85</v>
      </c>
      <c r="AO178" s="1">
        <v>231</v>
      </c>
      <c r="AP178" t="s">
        <v>132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46254.579874305557</v>
      </c>
      <c r="V179">
        <f t="shared" ca="1" si="56"/>
        <v>2026</v>
      </c>
      <c r="W179">
        <f t="shared" ca="1" si="57"/>
        <v>8</v>
      </c>
      <c r="X179">
        <f t="shared" ca="1" si="58"/>
        <v>20</v>
      </c>
      <c r="Z179" t="b">
        <f t="shared" ca="1" si="59"/>
        <v>0</v>
      </c>
      <c r="AA179" t="b">
        <f t="shared" ca="1" si="60"/>
        <v>0</v>
      </c>
      <c r="AI179">
        <v>2030</v>
      </c>
      <c r="AJ179">
        <v>9</v>
      </c>
      <c r="AK179">
        <v>1</v>
      </c>
      <c r="AL179" t="s">
        <v>91</v>
      </c>
      <c r="AM179" t="s">
        <v>164</v>
      </c>
      <c r="AN179" t="s">
        <v>85</v>
      </c>
      <c r="AO179" s="1">
        <v>282</v>
      </c>
      <c r="AP179" t="s">
        <v>133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46255.579874305557</v>
      </c>
      <c r="V180">
        <f t="shared" ca="1" si="56"/>
        <v>2026</v>
      </c>
      <c r="W180">
        <f t="shared" ca="1" si="57"/>
        <v>8</v>
      </c>
      <c r="X180">
        <f t="shared" ca="1" si="58"/>
        <v>21</v>
      </c>
      <c r="Z180" t="b">
        <f t="shared" ca="1" si="59"/>
        <v>0</v>
      </c>
      <c r="AA180" t="b">
        <f t="shared" ca="1" si="60"/>
        <v>0</v>
      </c>
      <c r="AI180">
        <v>2030</v>
      </c>
      <c r="AJ180">
        <v>10</v>
      </c>
      <c r="AK180">
        <v>1</v>
      </c>
      <c r="AL180" t="s">
        <v>91</v>
      </c>
      <c r="AM180" t="s">
        <v>164</v>
      </c>
      <c r="AN180" t="s">
        <v>85</v>
      </c>
      <c r="AO180" s="1">
        <v>277</v>
      </c>
      <c r="AP180" t="s">
        <v>134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46256.579874305557</v>
      </c>
      <c r="V181">
        <f t="shared" ca="1" si="56"/>
        <v>2026</v>
      </c>
      <c r="W181">
        <f t="shared" ca="1" si="57"/>
        <v>8</v>
      </c>
      <c r="X181">
        <f t="shared" ca="1" si="58"/>
        <v>22</v>
      </c>
      <c r="Z181" t="b">
        <f t="shared" ca="1" si="59"/>
        <v>0</v>
      </c>
      <c r="AA181" t="b">
        <f t="shared" ca="1" si="60"/>
        <v>0</v>
      </c>
      <c r="AI181">
        <v>2030</v>
      </c>
      <c r="AJ181">
        <v>10</v>
      </c>
      <c r="AK181">
        <v>8</v>
      </c>
      <c r="AL181" t="s">
        <v>56</v>
      </c>
      <c r="AM181" t="s">
        <v>184</v>
      </c>
      <c r="AN181" t="s">
        <v>84</v>
      </c>
      <c r="AO181" s="1">
        <v>105</v>
      </c>
      <c r="AP181" t="s">
        <v>135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46257.579874305557</v>
      </c>
      <c r="V182">
        <f t="shared" ca="1" si="56"/>
        <v>2026</v>
      </c>
      <c r="W182">
        <f t="shared" ca="1" si="57"/>
        <v>8</v>
      </c>
      <c r="X182">
        <f t="shared" ca="1" si="58"/>
        <v>23</v>
      </c>
      <c r="Z182" t="b">
        <f t="shared" ca="1" si="59"/>
        <v>0</v>
      </c>
      <c r="AA182" t="b">
        <f t="shared" ca="1" si="60"/>
        <v>0</v>
      </c>
      <c r="AI182">
        <v>2030</v>
      </c>
      <c r="AJ182">
        <v>11</v>
      </c>
      <c r="AK182">
        <v>1</v>
      </c>
      <c r="AL182" t="s">
        <v>91</v>
      </c>
      <c r="AM182" t="s">
        <v>164</v>
      </c>
      <c r="AN182" t="s">
        <v>85</v>
      </c>
      <c r="AO182" s="1">
        <v>221</v>
      </c>
      <c r="AP182" t="s">
        <v>136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46258.579874305557</v>
      </c>
      <c r="V183">
        <f t="shared" ca="1" si="56"/>
        <v>2026</v>
      </c>
      <c r="W183">
        <f t="shared" ca="1" si="57"/>
        <v>8</v>
      </c>
      <c r="X183">
        <f t="shared" ca="1" si="58"/>
        <v>24</v>
      </c>
      <c r="Z183" t="b">
        <f t="shared" ca="1" si="59"/>
        <v>0</v>
      </c>
      <c r="AA183" t="b">
        <f t="shared" ca="1" si="60"/>
        <v>0</v>
      </c>
      <c r="AI183">
        <v>2030</v>
      </c>
      <c r="AJ183">
        <v>12</v>
      </c>
      <c r="AK183">
        <v>1</v>
      </c>
      <c r="AL183" t="s">
        <v>91</v>
      </c>
      <c r="AM183" t="s">
        <v>164</v>
      </c>
      <c r="AN183" t="s">
        <v>85</v>
      </c>
      <c r="AO183" s="1">
        <v>165</v>
      </c>
      <c r="AP183" t="s">
        <v>137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46259.579874305557</v>
      </c>
      <c r="V184">
        <f t="shared" ca="1" si="56"/>
        <v>2026</v>
      </c>
      <c r="W184">
        <f t="shared" ca="1" si="57"/>
        <v>8</v>
      </c>
      <c r="X184">
        <f t="shared" ca="1" si="58"/>
        <v>25</v>
      </c>
      <c r="Z184" t="b">
        <f t="shared" ca="1" si="59"/>
        <v>0</v>
      </c>
      <c r="AA184" t="b">
        <f t="shared" ca="1" si="60"/>
        <v>0</v>
      </c>
      <c r="AI184">
        <v>2030</v>
      </c>
      <c r="AJ184">
        <v>12</v>
      </c>
      <c r="AK184">
        <v>5</v>
      </c>
      <c r="AL184" t="s">
        <v>53</v>
      </c>
      <c r="AM184" t="s">
        <v>224</v>
      </c>
      <c r="AN184" t="s">
        <v>258</v>
      </c>
      <c r="AO184" s="1">
        <v>113</v>
      </c>
      <c r="AP184" t="s">
        <v>1234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46260.579874305557</v>
      </c>
      <c r="V185">
        <f t="shared" ca="1" si="56"/>
        <v>2026</v>
      </c>
      <c r="W185">
        <f t="shared" ca="1" si="57"/>
        <v>8</v>
      </c>
      <c r="X185">
        <f t="shared" ca="1" si="58"/>
        <v>26</v>
      </c>
      <c r="Z185" t="b">
        <f t="shared" ca="1" si="59"/>
        <v>0</v>
      </c>
      <c r="AA185" t="b">
        <f t="shared" ca="1" si="60"/>
        <v>0</v>
      </c>
      <c r="AI185">
        <v>2030</v>
      </c>
      <c r="AJ185">
        <v>12</v>
      </c>
      <c r="AK185">
        <v>13</v>
      </c>
      <c r="AL185" t="s">
        <v>56</v>
      </c>
      <c r="AM185" t="s">
        <v>184</v>
      </c>
      <c r="AN185" t="s">
        <v>84</v>
      </c>
      <c r="AO185" s="1">
        <v>114</v>
      </c>
      <c r="AP185" t="s">
        <v>138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46261.579874305557</v>
      </c>
      <c r="V186">
        <f t="shared" ca="1" si="56"/>
        <v>2026</v>
      </c>
      <c r="W186">
        <f t="shared" ca="1" si="57"/>
        <v>8</v>
      </c>
      <c r="X186">
        <f t="shared" ca="1" si="58"/>
        <v>27</v>
      </c>
      <c r="Z186" t="b">
        <f t="shared" ca="1" si="59"/>
        <v>0</v>
      </c>
      <c r="AA186" t="b">
        <f t="shared" ca="1" si="60"/>
        <v>0</v>
      </c>
      <c r="AI186">
        <v>2030</v>
      </c>
      <c r="AJ186">
        <v>12</v>
      </c>
      <c r="AK186">
        <v>25</v>
      </c>
      <c r="AL186" t="s">
        <v>43</v>
      </c>
      <c r="AM186" t="s">
        <v>230</v>
      </c>
      <c r="AN186" t="s">
        <v>1412</v>
      </c>
      <c r="AO186" s="1">
        <v>95</v>
      </c>
      <c r="AP186" t="s">
        <v>7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46262.579874305557</v>
      </c>
      <c r="V187">
        <f t="shared" ca="1" si="56"/>
        <v>2026</v>
      </c>
      <c r="W187">
        <f t="shared" ca="1" si="57"/>
        <v>8</v>
      </c>
      <c r="X187">
        <f t="shared" ca="1" si="58"/>
        <v>28</v>
      </c>
      <c r="Z187" t="b">
        <f t="shared" ca="1" si="59"/>
        <v>0</v>
      </c>
      <c r="AA187" t="b">
        <f t="shared" ca="1" si="60"/>
        <v>0</v>
      </c>
      <c r="AI187">
        <v>2030</v>
      </c>
      <c r="AJ187">
        <v>12</v>
      </c>
      <c r="AK187">
        <v>26</v>
      </c>
      <c r="AL187" t="s">
        <v>43</v>
      </c>
      <c r="AM187" t="s">
        <v>201</v>
      </c>
      <c r="AN187" t="s">
        <v>86</v>
      </c>
      <c r="AO187" s="1">
        <v>108</v>
      </c>
      <c r="AP187" t="s">
        <v>78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46263.579874305557</v>
      </c>
      <c r="V188">
        <f t="shared" ca="1" si="56"/>
        <v>2026</v>
      </c>
      <c r="W188">
        <f t="shared" ca="1" si="57"/>
        <v>8</v>
      </c>
      <c r="X188">
        <f t="shared" ca="1" si="58"/>
        <v>29</v>
      </c>
      <c r="Z188" t="b">
        <f t="shared" ca="1" si="59"/>
        <v>0</v>
      </c>
      <c r="AA188" t="b">
        <f t="shared" ca="1" si="60"/>
        <v>0</v>
      </c>
      <c r="AI188">
        <v>2030</v>
      </c>
      <c r="AJ188">
        <v>12</v>
      </c>
      <c r="AK188">
        <v>28</v>
      </c>
      <c r="AL188" t="s">
        <v>52</v>
      </c>
      <c r="AM188" t="s">
        <v>245</v>
      </c>
      <c r="AN188" t="s">
        <v>1412</v>
      </c>
      <c r="AO188" s="1">
        <v>77</v>
      </c>
      <c r="AP188" t="s">
        <v>1370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46264.579874305557</v>
      </c>
      <c r="V189">
        <f t="shared" ca="1" si="56"/>
        <v>2026</v>
      </c>
      <c r="W189">
        <f t="shared" ca="1" si="57"/>
        <v>8</v>
      </c>
      <c r="X189">
        <f t="shared" ca="1" si="58"/>
        <v>30</v>
      </c>
      <c r="Z189" t="b">
        <f t="shared" ca="1" si="59"/>
        <v>0</v>
      </c>
      <c r="AA189" t="b">
        <f t="shared" ca="1" si="60"/>
        <v>0</v>
      </c>
      <c r="AI189">
        <v>2031</v>
      </c>
      <c r="AJ189">
        <v>1</v>
      </c>
      <c r="AK189">
        <v>1</v>
      </c>
      <c r="AL189" t="s">
        <v>93</v>
      </c>
      <c r="AM189" t="s">
        <v>256</v>
      </c>
      <c r="AN189" t="s">
        <v>83</v>
      </c>
      <c r="AO189" s="1">
        <v>77</v>
      </c>
      <c r="AP189" t="s">
        <v>8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46265.579874305557</v>
      </c>
      <c r="V190">
        <f t="shared" ca="1" si="56"/>
        <v>2026</v>
      </c>
      <c r="W190">
        <f t="shared" ca="1" si="57"/>
        <v>8</v>
      </c>
      <c r="X190">
        <f t="shared" ca="1" si="58"/>
        <v>31</v>
      </c>
      <c r="Z190" t="b">
        <f t="shared" ca="1" si="59"/>
        <v>0</v>
      </c>
      <c r="AA190" t="b">
        <f t="shared" ca="1" si="60"/>
        <v>0</v>
      </c>
      <c r="AI190">
        <v>2031</v>
      </c>
      <c r="AJ190">
        <v>1</v>
      </c>
      <c r="AK190">
        <v>24</v>
      </c>
      <c r="AL190" t="s">
        <v>52</v>
      </c>
      <c r="AM190" t="s">
        <v>79</v>
      </c>
      <c r="AN190" t="s">
        <v>259</v>
      </c>
      <c r="AO190" s="1">
        <v>186</v>
      </c>
      <c r="AP190" t="s">
        <v>1389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46266.579874305557</v>
      </c>
      <c r="V191">
        <f t="shared" ca="1" si="56"/>
        <v>2026</v>
      </c>
      <c r="W191">
        <f t="shared" ca="1" si="57"/>
        <v>9</v>
      </c>
      <c r="X191">
        <f t="shared" ca="1" si="58"/>
        <v>1</v>
      </c>
      <c r="Z191" t="b">
        <f t="shared" ca="1" si="59"/>
        <v>0</v>
      </c>
      <c r="AA191" t="b">
        <f t="shared" ca="1" si="60"/>
        <v>0</v>
      </c>
      <c r="AI191">
        <v>2031</v>
      </c>
      <c r="AJ191">
        <v>2</v>
      </c>
      <c r="AK191">
        <v>1</v>
      </c>
      <c r="AL191" t="s">
        <v>91</v>
      </c>
      <c r="AM191" t="s">
        <v>164</v>
      </c>
      <c r="AN191" t="s">
        <v>85</v>
      </c>
      <c r="AO191" s="1">
        <v>249</v>
      </c>
      <c r="AP191" t="s">
        <v>1498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46267.579874305557</v>
      </c>
      <c r="V192">
        <f t="shared" ca="1" si="56"/>
        <v>2026</v>
      </c>
      <c r="W192">
        <f t="shared" ca="1" si="57"/>
        <v>9</v>
      </c>
      <c r="X192">
        <f t="shared" ca="1" si="58"/>
        <v>2</v>
      </c>
      <c r="Z192" t="b">
        <f t="shared" ca="1" si="59"/>
        <v>0</v>
      </c>
      <c r="AA192" t="b">
        <f t="shared" ca="1" si="60"/>
        <v>0</v>
      </c>
      <c r="AI192">
        <v>2031</v>
      </c>
      <c r="AJ192">
        <v>2</v>
      </c>
      <c r="AK192">
        <v>14</v>
      </c>
      <c r="AL192" t="s">
        <v>93</v>
      </c>
      <c r="AM192" t="s">
        <v>1393</v>
      </c>
      <c r="AN192" t="s">
        <v>258</v>
      </c>
      <c r="AO192" s="1">
        <v>70</v>
      </c>
      <c r="AP192" t="s">
        <v>1374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46268.579874305557</v>
      </c>
      <c r="V193">
        <f t="shared" ca="1" si="56"/>
        <v>2026</v>
      </c>
      <c r="W193">
        <f t="shared" ca="1" si="57"/>
        <v>9</v>
      </c>
      <c r="X193">
        <f t="shared" ca="1" si="58"/>
        <v>3</v>
      </c>
      <c r="Z193" t="b">
        <f t="shared" ca="1" si="59"/>
        <v>0</v>
      </c>
      <c r="AA193" t="b">
        <f t="shared" ca="1" si="60"/>
        <v>0</v>
      </c>
      <c r="AI193">
        <v>2031</v>
      </c>
      <c r="AJ193">
        <v>2</v>
      </c>
      <c r="AK193">
        <v>23</v>
      </c>
      <c r="AL193" t="s">
        <v>93</v>
      </c>
      <c r="AM193" t="s">
        <v>164</v>
      </c>
      <c r="AN193" t="s">
        <v>84</v>
      </c>
      <c r="AO193" s="1">
        <v>96</v>
      </c>
      <c r="AP193" t="s">
        <v>1504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46269.579874305557</v>
      </c>
      <c r="V194">
        <f t="shared" ca="1" si="56"/>
        <v>2026</v>
      </c>
      <c r="W194">
        <f t="shared" ca="1" si="57"/>
        <v>9</v>
      </c>
      <c r="X194">
        <f t="shared" ca="1" si="58"/>
        <v>4</v>
      </c>
      <c r="Z194" t="b">
        <f t="shared" ca="1" si="59"/>
        <v>0</v>
      </c>
      <c r="AA194" t="b">
        <f t="shared" ca="1" si="60"/>
        <v>0</v>
      </c>
      <c r="AI194">
        <v>2031</v>
      </c>
      <c r="AJ194">
        <v>2</v>
      </c>
      <c r="AK194">
        <v>23</v>
      </c>
      <c r="AL194" t="s">
        <v>93</v>
      </c>
      <c r="AM194" t="s">
        <v>164</v>
      </c>
      <c r="AN194" t="s">
        <v>84</v>
      </c>
      <c r="AO194" s="1">
        <v>116</v>
      </c>
      <c r="AP194" t="s">
        <v>1500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46270.579874305557</v>
      </c>
      <c r="V195">
        <f t="shared" ca="1" si="56"/>
        <v>2026</v>
      </c>
      <c r="W195">
        <f t="shared" ca="1" si="57"/>
        <v>9</v>
      </c>
      <c r="X195">
        <f t="shared" ca="1" si="58"/>
        <v>5</v>
      </c>
      <c r="Z195" t="b">
        <f t="shared" ca="1" si="59"/>
        <v>0</v>
      </c>
      <c r="AA195" t="b">
        <f t="shared" ca="1" si="60"/>
        <v>0</v>
      </c>
      <c r="AI195">
        <v>2031</v>
      </c>
      <c r="AJ195">
        <v>2</v>
      </c>
      <c r="AK195">
        <v>24</v>
      </c>
      <c r="AL195" t="s">
        <v>93</v>
      </c>
      <c r="AM195" t="s">
        <v>164</v>
      </c>
      <c r="AN195" t="s">
        <v>84</v>
      </c>
      <c r="AO195" s="1">
        <v>124</v>
      </c>
      <c r="AP195" t="s">
        <v>1501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46271.579874305557</v>
      </c>
      <c r="V196">
        <f t="shared" ref="V196:V259" ca="1" si="70">YEAR(U196)</f>
        <v>2026</v>
      </c>
      <c r="W196">
        <f t="shared" ref="W196:W259" ca="1" si="71">MONTH(U196)</f>
        <v>9</v>
      </c>
      <c r="X196">
        <f t="shared" ref="X196:X259" ca="1" si="72">DAY(U196)</f>
        <v>6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2031</v>
      </c>
      <c r="AJ196">
        <v>2</v>
      </c>
      <c r="AK196">
        <v>26</v>
      </c>
      <c r="AL196" t="s">
        <v>89</v>
      </c>
      <c r="AM196" t="s">
        <v>204</v>
      </c>
      <c r="AN196" t="s">
        <v>86</v>
      </c>
      <c r="AO196" s="1">
        <v>251</v>
      </c>
      <c r="AP196" t="s">
        <v>143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46272.579874305557</v>
      </c>
      <c r="V197">
        <f t="shared" ca="1" si="70"/>
        <v>2026</v>
      </c>
      <c r="W197">
        <f t="shared" ca="1" si="71"/>
        <v>9</v>
      </c>
      <c r="X197">
        <f t="shared" ca="1" si="72"/>
        <v>7</v>
      </c>
      <c r="Z197" t="b">
        <f t="shared" ca="1" si="73"/>
        <v>0</v>
      </c>
      <c r="AA197" t="b">
        <f t="shared" ca="1" si="74"/>
        <v>0</v>
      </c>
      <c r="AI197">
        <v>2031</v>
      </c>
      <c r="AJ197">
        <v>3</v>
      </c>
      <c r="AK197">
        <v>1</v>
      </c>
      <c r="AL197" t="s">
        <v>91</v>
      </c>
      <c r="AM197" t="s">
        <v>164</v>
      </c>
      <c r="AN197" t="s">
        <v>85</v>
      </c>
      <c r="AO197" s="1">
        <v>287</v>
      </c>
      <c r="AP197" t="s">
        <v>122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46273.579874305557</v>
      </c>
      <c r="V198">
        <f t="shared" ca="1" si="70"/>
        <v>2026</v>
      </c>
      <c r="W198">
        <f t="shared" ca="1" si="71"/>
        <v>9</v>
      </c>
      <c r="X198">
        <f t="shared" ca="1" si="72"/>
        <v>8</v>
      </c>
      <c r="Z198" t="b">
        <f t="shared" ca="1" si="73"/>
        <v>0</v>
      </c>
      <c r="AA198" t="b">
        <f t="shared" ca="1" si="74"/>
        <v>0</v>
      </c>
      <c r="AI198">
        <v>2031</v>
      </c>
      <c r="AJ198">
        <v>3</v>
      </c>
      <c r="AK198">
        <v>14</v>
      </c>
      <c r="AL198" t="s">
        <v>45</v>
      </c>
      <c r="AM198" t="s">
        <v>161</v>
      </c>
      <c r="AN198" t="s">
        <v>1414</v>
      </c>
      <c r="AO198" s="1">
        <v>95</v>
      </c>
      <c r="AP198" t="s">
        <v>1502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46274.579874305557</v>
      </c>
      <c r="V199">
        <f t="shared" ca="1" si="70"/>
        <v>2026</v>
      </c>
      <c r="W199">
        <f t="shared" ca="1" si="71"/>
        <v>9</v>
      </c>
      <c r="X199">
        <f t="shared" ca="1" si="72"/>
        <v>9</v>
      </c>
      <c r="Z199" t="b">
        <f t="shared" ca="1" si="73"/>
        <v>0</v>
      </c>
      <c r="AA199" t="b">
        <f t="shared" ca="1" si="74"/>
        <v>0</v>
      </c>
      <c r="AI199">
        <v>2031</v>
      </c>
      <c r="AJ199">
        <v>3</v>
      </c>
      <c r="AK199">
        <v>21</v>
      </c>
      <c r="AL199" t="s">
        <v>56</v>
      </c>
      <c r="AM199" t="s">
        <v>184</v>
      </c>
      <c r="AN199" t="s">
        <v>84</v>
      </c>
      <c r="AO199" s="1">
        <v>73</v>
      </c>
      <c r="AP199" t="s">
        <v>123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46275.579874305557</v>
      </c>
      <c r="V200">
        <f t="shared" ca="1" si="70"/>
        <v>2026</v>
      </c>
      <c r="W200">
        <f t="shared" ca="1" si="71"/>
        <v>9</v>
      </c>
      <c r="X200">
        <f t="shared" ca="1" si="72"/>
        <v>10</v>
      </c>
      <c r="Z200" t="b">
        <f t="shared" ca="1" si="73"/>
        <v>0</v>
      </c>
      <c r="AA200" t="b">
        <f t="shared" ca="1" si="74"/>
        <v>0</v>
      </c>
      <c r="AI200">
        <v>2031</v>
      </c>
      <c r="AJ200">
        <v>4</v>
      </c>
      <c r="AK200">
        <v>1</v>
      </c>
      <c r="AL200" t="s">
        <v>91</v>
      </c>
      <c r="AM200" t="s">
        <v>164</v>
      </c>
      <c r="AN200" t="s">
        <v>85</v>
      </c>
      <c r="AO200" s="1">
        <v>265</v>
      </c>
      <c r="AP200" t="s">
        <v>124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46276.579874305557</v>
      </c>
      <c r="V201">
        <f t="shared" ca="1" si="70"/>
        <v>2026</v>
      </c>
      <c r="W201">
        <f t="shared" ca="1" si="71"/>
        <v>9</v>
      </c>
      <c r="X201">
        <f t="shared" ca="1" si="72"/>
        <v>11</v>
      </c>
      <c r="Z201" t="b">
        <f t="shared" ca="1" si="73"/>
        <v>0</v>
      </c>
      <c r="AA201" t="b">
        <f t="shared" ca="1" si="74"/>
        <v>0</v>
      </c>
      <c r="AI201">
        <v>2031</v>
      </c>
      <c r="AJ201">
        <v>4</v>
      </c>
      <c r="AK201">
        <v>11</v>
      </c>
      <c r="AL201" t="s">
        <v>54</v>
      </c>
      <c r="AM201" t="s">
        <v>181</v>
      </c>
      <c r="AN201" t="s">
        <v>83</v>
      </c>
      <c r="AO201" s="1">
        <v>280</v>
      </c>
      <c r="AP201" t="s">
        <v>147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46277.579874305557</v>
      </c>
      <c r="V202">
        <f t="shared" ca="1" si="70"/>
        <v>2026</v>
      </c>
      <c r="W202">
        <f t="shared" ca="1" si="71"/>
        <v>9</v>
      </c>
      <c r="X202">
        <f t="shared" ca="1" si="72"/>
        <v>12</v>
      </c>
      <c r="Z202" t="b">
        <f t="shared" ca="1" si="73"/>
        <v>0</v>
      </c>
      <c r="AA202" t="b">
        <f t="shared" ca="1" si="74"/>
        <v>0</v>
      </c>
      <c r="AI202">
        <v>2031</v>
      </c>
      <c r="AJ202">
        <v>4</v>
      </c>
      <c r="AK202">
        <v>13</v>
      </c>
      <c r="AL202" t="s">
        <v>58</v>
      </c>
      <c r="AM202" t="s">
        <v>158</v>
      </c>
      <c r="AN202" t="s">
        <v>261</v>
      </c>
      <c r="AO202" s="1">
        <v>71</v>
      </c>
      <c r="AP202" t="s">
        <v>12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46278.579874305557</v>
      </c>
      <c r="V203">
        <f t="shared" ca="1" si="70"/>
        <v>2026</v>
      </c>
      <c r="W203">
        <f t="shared" ca="1" si="71"/>
        <v>9</v>
      </c>
      <c r="X203">
        <f t="shared" ca="1" si="72"/>
        <v>13</v>
      </c>
      <c r="Z203" t="b">
        <f t="shared" ca="1" si="73"/>
        <v>0</v>
      </c>
      <c r="AA203" t="b">
        <f t="shared" ca="1" si="74"/>
        <v>0</v>
      </c>
      <c r="AI203">
        <v>2031</v>
      </c>
      <c r="AJ203">
        <v>4</v>
      </c>
      <c r="AK203">
        <v>14</v>
      </c>
      <c r="AL203" t="s">
        <v>58</v>
      </c>
      <c r="AM203" t="s">
        <v>198</v>
      </c>
      <c r="AN203" t="s">
        <v>265</v>
      </c>
      <c r="AO203" s="1">
        <v>298</v>
      </c>
      <c r="AP203" t="s">
        <v>1379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46279.579874305557</v>
      </c>
      <c r="V204">
        <f t="shared" ca="1" si="70"/>
        <v>2026</v>
      </c>
      <c r="W204">
        <f t="shared" ca="1" si="71"/>
        <v>9</v>
      </c>
      <c r="X204">
        <f t="shared" ca="1" si="72"/>
        <v>14</v>
      </c>
      <c r="Z204" t="b">
        <f t="shared" ca="1" si="73"/>
        <v>0</v>
      </c>
      <c r="AA204" t="b">
        <f t="shared" ca="1" si="74"/>
        <v>0</v>
      </c>
      <c r="AI204">
        <v>2031</v>
      </c>
      <c r="AJ204">
        <v>4</v>
      </c>
      <c r="AK204">
        <v>30</v>
      </c>
      <c r="AL204" t="s">
        <v>56</v>
      </c>
      <c r="AM204" t="s">
        <v>184</v>
      </c>
      <c r="AN204" t="s">
        <v>84</v>
      </c>
      <c r="AO204" s="1">
        <v>98</v>
      </c>
      <c r="AP204" t="s">
        <v>126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46280.579874305557</v>
      </c>
      <c r="V205">
        <f t="shared" ca="1" si="70"/>
        <v>2026</v>
      </c>
      <c r="W205">
        <f t="shared" ca="1" si="71"/>
        <v>9</v>
      </c>
      <c r="X205">
        <f t="shared" ca="1" si="72"/>
        <v>15</v>
      </c>
      <c r="Z205" t="b">
        <f t="shared" ca="1" si="73"/>
        <v>0</v>
      </c>
      <c r="AA205" t="b">
        <f t="shared" ca="1" si="74"/>
        <v>0</v>
      </c>
      <c r="AI205">
        <v>2031</v>
      </c>
      <c r="AJ205">
        <v>5</v>
      </c>
      <c r="AK205">
        <v>1</v>
      </c>
      <c r="AL205" t="s">
        <v>91</v>
      </c>
      <c r="AM205" t="s">
        <v>164</v>
      </c>
      <c r="AN205" t="s">
        <v>85</v>
      </c>
      <c r="AO205" s="1">
        <v>202</v>
      </c>
      <c r="AP205" t="s">
        <v>127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46281.579874305557</v>
      </c>
      <c r="V206">
        <f t="shared" ca="1" si="70"/>
        <v>2026</v>
      </c>
      <c r="W206">
        <f t="shared" ca="1" si="71"/>
        <v>9</v>
      </c>
      <c r="X206">
        <f t="shared" ca="1" si="72"/>
        <v>16</v>
      </c>
      <c r="Z206" t="b">
        <f t="shared" ca="1" si="73"/>
        <v>0</v>
      </c>
      <c r="AA206" t="b">
        <f t="shared" ca="1" si="74"/>
        <v>0</v>
      </c>
      <c r="AI206">
        <v>2031</v>
      </c>
      <c r="AJ206">
        <v>5</v>
      </c>
      <c r="AK206">
        <v>4</v>
      </c>
      <c r="AL206" t="s">
        <v>89</v>
      </c>
      <c r="AM206" t="s">
        <v>233</v>
      </c>
      <c r="AN206" t="s">
        <v>83</v>
      </c>
      <c r="AO206" s="1">
        <v>102</v>
      </c>
      <c r="AP206" t="s">
        <v>1366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46282.579874305557</v>
      </c>
      <c r="V207">
        <f t="shared" ca="1" si="70"/>
        <v>2026</v>
      </c>
      <c r="W207">
        <f t="shared" ca="1" si="71"/>
        <v>9</v>
      </c>
      <c r="X207">
        <f t="shared" ca="1" si="72"/>
        <v>17</v>
      </c>
      <c r="Z207" t="b">
        <f t="shared" ca="1" si="73"/>
        <v>0</v>
      </c>
      <c r="AA207" t="b">
        <f t="shared" ca="1" si="74"/>
        <v>0</v>
      </c>
      <c r="AI207">
        <v>2031</v>
      </c>
      <c r="AJ207">
        <v>5</v>
      </c>
      <c r="AK207">
        <v>5</v>
      </c>
      <c r="AL207" t="s">
        <v>93</v>
      </c>
      <c r="AM207" t="s">
        <v>152</v>
      </c>
      <c r="AN207" t="s">
        <v>84</v>
      </c>
      <c r="AO207" s="1">
        <v>64</v>
      </c>
      <c r="AP207" t="s">
        <v>107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46283.579874305557</v>
      </c>
      <c r="V208">
        <f t="shared" ca="1" si="70"/>
        <v>2026</v>
      </c>
      <c r="W208">
        <f t="shared" ca="1" si="71"/>
        <v>9</v>
      </c>
      <c r="X208">
        <f t="shared" ca="1" si="72"/>
        <v>18</v>
      </c>
      <c r="Z208" t="b">
        <f t="shared" ca="1" si="73"/>
        <v>0</v>
      </c>
      <c r="AA208" t="b">
        <f t="shared" ca="1" si="74"/>
        <v>0</v>
      </c>
      <c r="AI208">
        <v>2031</v>
      </c>
      <c r="AJ208">
        <v>5</v>
      </c>
      <c r="AK208">
        <v>10</v>
      </c>
      <c r="AL208" t="s">
        <v>56</v>
      </c>
      <c r="AM208" t="s">
        <v>184</v>
      </c>
      <c r="AN208" t="s">
        <v>84</v>
      </c>
      <c r="AO208" s="1">
        <v>73</v>
      </c>
      <c r="AP208" t="s">
        <v>128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46284.579874305557</v>
      </c>
      <c r="V209">
        <f t="shared" ca="1" si="70"/>
        <v>2026</v>
      </c>
      <c r="W209">
        <f t="shared" ca="1" si="71"/>
        <v>9</v>
      </c>
      <c r="X209">
        <f t="shared" ca="1" si="72"/>
        <v>19</v>
      </c>
      <c r="Z209" t="b">
        <f t="shared" ca="1" si="73"/>
        <v>0</v>
      </c>
      <c r="AA209" t="b">
        <f t="shared" ca="1" si="74"/>
        <v>0</v>
      </c>
      <c r="AI209">
        <v>2031</v>
      </c>
      <c r="AJ209">
        <v>5</v>
      </c>
      <c r="AK209">
        <v>22</v>
      </c>
      <c r="AL209" t="s">
        <v>44</v>
      </c>
      <c r="AM209" t="s">
        <v>227</v>
      </c>
      <c r="AN209" t="s">
        <v>83</v>
      </c>
      <c r="AO209" s="1">
        <v>117</v>
      </c>
      <c r="AP209" t="s">
        <v>14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46285.579874305557</v>
      </c>
      <c r="V210">
        <f t="shared" ca="1" si="70"/>
        <v>2026</v>
      </c>
      <c r="W210">
        <f t="shared" ca="1" si="71"/>
        <v>9</v>
      </c>
      <c r="X210">
        <f t="shared" ca="1" si="72"/>
        <v>20</v>
      </c>
      <c r="Z210" t="b">
        <f t="shared" ca="1" si="73"/>
        <v>0</v>
      </c>
      <c r="AA210" t="b">
        <f t="shared" ca="1" si="74"/>
        <v>0</v>
      </c>
      <c r="AI210">
        <v>2031</v>
      </c>
      <c r="AJ210">
        <v>6</v>
      </c>
      <c r="AK210">
        <v>1</v>
      </c>
      <c r="AL210" t="s">
        <v>91</v>
      </c>
      <c r="AM210" t="s">
        <v>164</v>
      </c>
      <c r="AN210" t="s">
        <v>85</v>
      </c>
      <c r="AO210" s="1">
        <v>157</v>
      </c>
      <c r="AP210" t="s">
        <v>130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46286.579874305557</v>
      </c>
      <c r="V211">
        <f t="shared" ca="1" si="70"/>
        <v>2026</v>
      </c>
      <c r="W211">
        <f t="shared" ca="1" si="71"/>
        <v>9</v>
      </c>
      <c r="X211">
        <f t="shared" ca="1" si="72"/>
        <v>21</v>
      </c>
      <c r="Z211" t="b">
        <f t="shared" ca="1" si="73"/>
        <v>0</v>
      </c>
      <c r="AA211" t="b">
        <f t="shared" ca="1" si="74"/>
        <v>0</v>
      </c>
      <c r="AI211">
        <v>2031</v>
      </c>
      <c r="AJ211">
        <v>6</v>
      </c>
      <c r="AK211">
        <v>1</v>
      </c>
      <c r="AL211" t="s">
        <v>49</v>
      </c>
      <c r="AM211" t="s">
        <v>167</v>
      </c>
      <c r="AN211" t="s">
        <v>85</v>
      </c>
      <c r="AO211" s="1">
        <v>172</v>
      </c>
      <c r="AP211" t="s">
        <v>142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46287.579874305557</v>
      </c>
      <c r="V212">
        <f t="shared" ca="1" si="70"/>
        <v>2026</v>
      </c>
      <c r="W212">
        <f t="shared" ca="1" si="71"/>
        <v>9</v>
      </c>
      <c r="X212">
        <f t="shared" ca="1" si="72"/>
        <v>22</v>
      </c>
      <c r="Z212" t="b">
        <f t="shared" ca="1" si="73"/>
        <v>0</v>
      </c>
      <c r="AA212" t="b">
        <f t="shared" ca="1" si="74"/>
        <v>0</v>
      </c>
      <c r="AI212">
        <v>2031</v>
      </c>
      <c r="AJ212">
        <v>6</v>
      </c>
      <c r="AK212">
        <v>2</v>
      </c>
      <c r="AL212" t="s">
        <v>49</v>
      </c>
      <c r="AM212" t="s">
        <v>167</v>
      </c>
      <c r="AN212" t="s">
        <v>85</v>
      </c>
      <c r="AO212" s="1">
        <v>220</v>
      </c>
      <c r="AP212" t="s">
        <v>1507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46288.579874305557</v>
      </c>
      <c r="V213">
        <f t="shared" ca="1" si="70"/>
        <v>2026</v>
      </c>
      <c r="W213">
        <f t="shared" ca="1" si="71"/>
        <v>9</v>
      </c>
      <c r="X213">
        <f t="shared" ca="1" si="72"/>
        <v>23</v>
      </c>
      <c r="Z213" t="b">
        <f t="shared" ca="1" si="73"/>
        <v>0</v>
      </c>
      <c r="AA213" t="b">
        <f t="shared" ca="1" si="74"/>
        <v>0</v>
      </c>
      <c r="AI213">
        <v>2031</v>
      </c>
      <c r="AJ213">
        <v>6</v>
      </c>
      <c r="AK213">
        <v>24</v>
      </c>
      <c r="AL213" t="s">
        <v>93</v>
      </c>
      <c r="AM213" t="s">
        <v>158</v>
      </c>
      <c r="AN213" t="s">
        <v>1413</v>
      </c>
      <c r="AO213" s="1">
        <v>61</v>
      </c>
      <c r="AP213" t="s">
        <v>1372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46289.579874305557</v>
      </c>
      <c r="V214">
        <f t="shared" ca="1" si="70"/>
        <v>2026</v>
      </c>
      <c r="W214">
        <f t="shared" ca="1" si="71"/>
        <v>9</v>
      </c>
      <c r="X214">
        <f t="shared" ca="1" si="72"/>
        <v>24</v>
      </c>
      <c r="Z214" t="b">
        <f t="shared" ca="1" si="73"/>
        <v>0</v>
      </c>
      <c r="AA214" t="b">
        <f t="shared" ca="1" si="74"/>
        <v>0</v>
      </c>
      <c r="AI214">
        <v>2031</v>
      </c>
      <c r="AJ214">
        <v>7</v>
      </c>
      <c r="AK214">
        <v>1</v>
      </c>
      <c r="AL214" t="s">
        <v>91</v>
      </c>
      <c r="AM214" t="s">
        <v>164</v>
      </c>
      <c r="AN214" t="s">
        <v>85</v>
      </c>
      <c r="AO214" s="1">
        <v>171</v>
      </c>
      <c r="AP214" t="s">
        <v>131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46290.579874305557</v>
      </c>
      <c r="V215">
        <f t="shared" ca="1" si="70"/>
        <v>2026</v>
      </c>
      <c r="W215">
        <f t="shared" ca="1" si="71"/>
        <v>9</v>
      </c>
      <c r="X215">
        <f t="shared" ca="1" si="72"/>
        <v>25</v>
      </c>
      <c r="Z215" t="b">
        <f t="shared" ca="1" si="73"/>
        <v>0</v>
      </c>
      <c r="AA215" t="b">
        <f t="shared" ca="1" si="74"/>
        <v>0</v>
      </c>
      <c r="AI215">
        <v>2031</v>
      </c>
      <c r="AJ215">
        <v>8</v>
      </c>
      <c r="AK215">
        <v>1</v>
      </c>
      <c r="AL215" t="s">
        <v>91</v>
      </c>
      <c r="AM215" t="s">
        <v>164</v>
      </c>
      <c r="AN215" t="s">
        <v>85</v>
      </c>
      <c r="AO215" s="1">
        <v>231</v>
      </c>
      <c r="AP215" t="s">
        <v>132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46291.579874305557</v>
      </c>
      <c r="V216">
        <f t="shared" ca="1" si="70"/>
        <v>2026</v>
      </c>
      <c r="W216">
        <f t="shared" ca="1" si="71"/>
        <v>9</v>
      </c>
      <c r="X216">
        <f t="shared" ca="1" si="72"/>
        <v>26</v>
      </c>
      <c r="Z216" t="b">
        <f t="shared" ca="1" si="73"/>
        <v>0</v>
      </c>
      <c r="AA216" t="b">
        <f t="shared" ca="1" si="74"/>
        <v>0</v>
      </c>
      <c r="AI216">
        <v>2031</v>
      </c>
      <c r="AJ216">
        <v>9</v>
      </c>
      <c r="AK216">
        <v>1</v>
      </c>
      <c r="AL216" t="s">
        <v>91</v>
      </c>
      <c r="AM216" t="s">
        <v>164</v>
      </c>
      <c r="AN216" t="s">
        <v>85</v>
      </c>
      <c r="AO216" s="1">
        <v>282</v>
      </c>
      <c r="AP216" t="s">
        <v>133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46292.579874305557</v>
      </c>
      <c r="V217">
        <f t="shared" ca="1" si="70"/>
        <v>2026</v>
      </c>
      <c r="W217">
        <f t="shared" ca="1" si="71"/>
        <v>9</v>
      </c>
      <c r="X217">
        <f t="shared" ca="1" si="72"/>
        <v>27</v>
      </c>
      <c r="Z217" t="b">
        <f t="shared" ca="1" si="73"/>
        <v>0</v>
      </c>
      <c r="AA217" t="b">
        <f t="shared" ca="1" si="74"/>
        <v>0</v>
      </c>
      <c r="AI217">
        <v>2031</v>
      </c>
      <c r="AJ217">
        <v>10</v>
      </c>
      <c r="AK217">
        <v>1</v>
      </c>
      <c r="AL217" t="s">
        <v>91</v>
      </c>
      <c r="AM217" t="s">
        <v>164</v>
      </c>
      <c r="AN217" t="s">
        <v>85</v>
      </c>
      <c r="AO217" s="1">
        <v>277</v>
      </c>
      <c r="AP217" t="s">
        <v>134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46293.579874305557</v>
      </c>
      <c r="V218">
        <f t="shared" ca="1" si="70"/>
        <v>2026</v>
      </c>
      <c r="W218">
        <f t="shared" ca="1" si="71"/>
        <v>9</v>
      </c>
      <c r="X218">
        <f t="shared" ca="1" si="72"/>
        <v>28</v>
      </c>
      <c r="Z218" t="b">
        <f t="shared" ca="1" si="73"/>
        <v>0</v>
      </c>
      <c r="AA218" t="b">
        <f t="shared" ca="1" si="74"/>
        <v>0</v>
      </c>
      <c r="AI218">
        <v>2031</v>
      </c>
      <c r="AJ218">
        <v>10</v>
      </c>
      <c r="AK218">
        <v>8</v>
      </c>
      <c r="AL218" t="s">
        <v>56</v>
      </c>
      <c r="AM218" t="s">
        <v>184</v>
      </c>
      <c r="AN218" t="s">
        <v>84</v>
      </c>
      <c r="AO218" s="1">
        <v>105</v>
      </c>
      <c r="AP218" t="s">
        <v>135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46294.579874305557</v>
      </c>
      <c r="V219">
        <f t="shared" ca="1" si="70"/>
        <v>2026</v>
      </c>
      <c r="W219">
        <f t="shared" ca="1" si="71"/>
        <v>9</v>
      </c>
      <c r="X219">
        <f t="shared" ca="1" si="72"/>
        <v>29</v>
      </c>
      <c r="Z219" t="b">
        <f t="shared" ca="1" si="73"/>
        <v>0</v>
      </c>
      <c r="AA219" t="b">
        <f t="shared" ca="1" si="74"/>
        <v>0</v>
      </c>
      <c r="AI219">
        <v>2031</v>
      </c>
      <c r="AJ219">
        <v>11</v>
      </c>
      <c r="AK219">
        <v>1</v>
      </c>
      <c r="AL219" t="s">
        <v>91</v>
      </c>
      <c r="AM219" t="s">
        <v>164</v>
      </c>
      <c r="AN219" t="s">
        <v>85</v>
      </c>
      <c r="AO219" s="1">
        <v>221</v>
      </c>
      <c r="AP219" t="s">
        <v>136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46295.579874305557</v>
      </c>
      <c r="V220">
        <f t="shared" ca="1" si="70"/>
        <v>2026</v>
      </c>
      <c r="W220">
        <f t="shared" ca="1" si="71"/>
        <v>9</v>
      </c>
      <c r="X220">
        <f t="shared" ca="1" si="72"/>
        <v>30</v>
      </c>
      <c r="Z220" t="b">
        <f t="shared" ca="1" si="73"/>
        <v>0</v>
      </c>
      <c r="AA220" t="b">
        <f t="shared" ca="1" si="74"/>
        <v>0</v>
      </c>
      <c r="AI220">
        <v>2031</v>
      </c>
      <c r="AJ220">
        <v>12</v>
      </c>
      <c r="AK220">
        <v>1</v>
      </c>
      <c r="AL220" t="s">
        <v>91</v>
      </c>
      <c r="AM220" t="s">
        <v>164</v>
      </c>
      <c r="AN220" t="s">
        <v>85</v>
      </c>
      <c r="AO220" s="1">
        <v>165</v>
      </c>
      <c r="AP220" t="s">
        <v>137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46296.579874305557</v>
      </c>
      <c r="V221">
        <f t="shared" ca="1" si="70"/>
        <v>2026</v>
      </c>
      <c r="W221">
        <f t="shared" ca="1" si="71"/>
        <v>10</v>
      </c>
      <c r="X221">
        <f t="shared" ca="1" si="72"/>
        <v>1</v>
      </c>
      <c r="Z221" t="b">
        <f t="shared" ca="1" si="73"/>
        <v>0</v>
      </c>
      <c r="AA221" t="b">
        <f t="shared" ca="1" si="74"/>
        <v>0</v>
      </c>
      <c r="AI221">
        <v>2031</v>
      </c>
      <c r="AJ221">
        <v>12</v>
      </c>
      <c r="AK221">
        <v>5</v>
      </c>
      <c r="AL221" t="s">
        <v>53</v>
      </c>
      <c r="AM221" t="s">
        <v>224</v>
      </c>
      <c r="AN221" t="s">
        <v>258</v>
      </c>
      <c r="AO221" s="1">
        <v>113</v>
      </c>
      <c r="AP221" t="s">
        <v>1234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46297.579874305557</v>
      </c>
      <c r="V222">
        <f t="shared" ca="1" si="70"/>
        <v>2026</v>
      </c>
      <c r="W222">
        <f t="shared" ca="1" si="71"/>
        <v>10</v>
      </c>
      <c r="X222">
        <f t="shared" ca="1" si="72"/>
        <v>2</v>
      </c>
      <c r="Z222" t="b">
        <f t="shared" ca="1" si="73"/>
        <v>0</v>
      </c>
      <c r="AA222" t="b">
        <f t="shared" ca="1" si="74"/>
        <v>0</v>
      </c>
      <c r="AI222">
        <v>2031</v>
      </c>
      <c r="AJ222">
        <v>12</v>
      </c>
      <c r="AK222">
        <v>13</v>
      </c>
      <c r="AL222" t="s">
        <v>56</v>
      </c>
      <c r="AM222" t="s">
        <v>184</v>
      </c>
      <c r="AN222" t="s">
        <v>84</v>
      </c>
      <c r="AO222" s="1">
        <v>114</v>
      </c>
      <c r="AP222" t="s">
        <v>138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46298.579874305557</v>
      </c>
      <c r="V223">
        <f t="shared" ca="1" si="70"/>
        <v>2026</v>
      </c>
      <c r="W223">
        <f t="shared" ca="1" si="71"/>
        <v>10</v>
      </c>
      <c r="X223">
        <f t="shared" ca="1" si="72"/>
        <v>3</v>
      </c>
      <c r="Z223" t="b">
        <f t="shared" ca="1" si="73"/>
        <v>0</v>
      </c>
      <c r="AA223" t="b">
        <f t="shared" ca="1" si="74"/>
        <v>0</v>
      </c>
      <c r="AI223">
        <v>2031</v>
      </c>
      <c r="AJ223">
        <v>12</v>
      </c>
      <c r="AK223">
        <v>25</v>
      </c>
      <c r="AL223" t="s">
        <v>43</v>
      </c>
      <c r="AM223" t="s">
        <v>230</v>
      </c>
      <c r="AN223" t="s">
        <v>1412</v>
      </c>
      <c r="AO223" s="1">
        <v>95</v>
      </c>
      <c r="AP223" t="s">
        <v>7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46299.579874305557</v>
      </c>
      <c r="V224">
        <f t="shared" ca="1" si="70"/>
        <v>2026</v>
      </c>
      <c r="W224">
        <f t="shared" ca="1" si="71"/>
        <v>10</v>
      </c>
      <c r="X224">
        <f t="shared" ca="1" si="72"/>
        <v>4</v>
      </c>
      <c r="Z224" t="b">
        <f t="shared" ca="1" si="73"/>
        <v>0</v>
      </c>
      <c r="AA224" t="b">
        <f t="shared" ca="1" si="74"/>
        <v>0</v>
      </c>
      <c r="AI224">
        <v>2031</v>
      </c>
      <c r="AJ224">
        <v>12</v>
      </c>
      <c r="AK224">
        <v>26</v>
      </c>
      <c r="AL224" t="s">
        <v>43</v>
      </c>
      <c r="AM224" t="s">
        <v>201</v>
      </c>
      <c r="AN224" t="s">
        <v>86</v>
      </c>
      <c r="AO224" s="1">
        <v>108</v>
      </c>
      <c r="AP224" t="s">
        <v>78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46300.579874305557</v>
      </c>
      <c r="V225">
        <f t="shared" ca="1" si="70"/>
        <v>2026</v>
      </c>
      <c r="W225">
        <f t="shared" ca="1" si="71"/>
        <v>10</v>
      </c>
      <c r="X225">
        <f t="shared" ca="1" si="72"/>
        <v>5</v>
      </c>
      <c r="Z225" t="b">
        <f t="shared" ca="1" si="73"/>
        <v>0</v>
      </c>
      <c r="AA225" t="b">
        <f t="shared" ca="1" si="74"/>
        <v>0</v>
      </c>
      <c r="AI225">
        <v>2031</v>
      </c>
      <c r="AJ225">
        <v>12</v>
      </c>
      <c r="AK225">
        <v>28</v>
      </c>
      <c r="AL225" t="s">
        <v>52</v>
      </c>
      <c r="AM225" t="s">
        <v>245</v>
      </c>
      <c r="AN225" t="s">
        <v>1412</v>
      </c>
      <c r="AO225" s="1">
        <v>77</v>
      </c>
      <c r="AP225" t="s">
        <v>1370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46301.579874305557</v>
      </c>
      <c r="V226">
        <f t="shared" ca="1" si="70"/>
        <v>2026</v>
      </c>
      <c r="W226">
        <f t="shared" ca="1" si="71"/>
        <v>10</v>
      </c>
      <c r="X226">
        <f t="shared" ca="1" si="72"/>
        <v>6</v>
      </c>
      <c r="Z226" t="b">
        <f t="shared" ca="1" si="73"/>
        <v>0</v>
      </c>
      <c r="AA226" t="b">
        <f t="shared" ca="1" si="74"/>
        <v>0</v>
      </c>
      <c r="AI226">
        <v>2032</v>
      </c>
      <c r="AJ226">
        <v>1</v>
      </c>
      <c r="AK226">
        <v>1</v>
      </c>
      <c r="AL226" t="s">
        <v>93</v>
      </c>
      <c r="AM226" t="s">
        <v>256</v>
      </c>
      <c r="AN226" t="s">
        <v>83</v>
      </c>
      <c r="AO226" s="1">
        <v>77</v>
      </c>
      <c r="AP226" t="s">
        <v>8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46302.579874305557</v>
      </c>
      <c r="V227">
        <f t="shared" ca="1" si="70"/>
        <v>2026</v>
      </c>
      <c r="W227">
        <f t="shared" ca="1" si="71"/>
        <v>10</v>
      </c>
      <c r="X227">
        <f t="shared" ca="1" si="72"/>
        <v>7</v>
      </c>
      <c r="Z227" t="b">
        <f t="shared" ca="1" si="73"/>
        <v>0</v>
      </c>
      <c r="AA227" t="b">
        <f t="shared" ca="1" si="74"/>
        <v>0</v>
      </c>
      <c r="AI227">
        <v>2032</v>
      </c>
      <c r="AJ227">
        <v>1</v>
      </c>
      <c r="AK227">
        <v>13</v>
      </c>
      <c r="AL227" t="s">
        <v>52</v>
      </c>
      <c r="AM227" t="s">
        <v>79</v>
      </c>
      <c r="AN227" t="s">
        <v>259</v>
      </c>
      <c r="AO227" s="1">
        <v>168</v>
      </c>
      <c r="AP227" t="s">
        <v>1389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46303.579874305557</v>
      </c>
      <c r="V228">
        <f t="shared" ca="1" si="70"/>
        <v>2026</v>
      </c>
      <c r="W228">
        <f t="shared" ca="1" si="71"/>
        <v>10</v>
      </c>
      <c r="X228">
        <f t="shared" ca="1" si="72"/>
        <v>8</v>
      </c>
      <c r="Z228" t="b">
        <f t="shared" ca="1" si="73"/>
        <v>0</v>
      </c>
      <c r="AA228" t="b">
        <f t="shared" ca="1" si="74"/>
        <v>0</v>
      </c>
      <c r="AI228">
        <v>2032</v>
      </c>
      <c r="AJ228">
        <v>2</v>
      </c>
      <c r="AK228">
        <v>1</v>
      </c>
      <c r="AL228" t="s">
        <v>91</v>
      </c>
      <c r="AM228" t="s">
        <v>164</v>
      </c>
      <c r="AN228" t="s">
        <v>85</v>
      </c>
      <c r="AO228" s="1">
        <v>249</v>
      </c>
      <c r="AP228" t="s">
        <v>1498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46304.579874305557</v>
      </c>
      <c r="V229">
        <f t="shared" ca="1" si="70"/>
        <v>2026</v>
      </c>
      <c r="W229">
        <f t="shared" ca="1" si="71"/>
        <v>10</v>
      </c>
      <c r="X229">
        <f t="shared" ca="1" si="72"/>
        <v>9</v>
      </c>
      <c r="Z229" t="b">
        <f t="shared" ca="1" si="73"/>
        <v>0</v>
      </c>
      <c r="AA229" t="b">
        <f t="shared" ca="1" si="74"/>
        <v>0</v>
      </c>
      <c r="AI229">
        <v>2032</v>
      </c>
      <c r="AJ229">
        <v>2</v>
      </c>
      <c r="AK229">
        <v>8</v>
      </c>
      <c r="AL229" t="s">
        <v>93</v>
      </c>
      <c r="AM229" t="s">
        <v>164</v>
      </c>
      <c r="AN229" t="s">
        <v>84</v>
      </c>
      <c r="AO229" s="1">
        <v>101</v>
      </c>
      <c r="AP229" t="s">
        <v>1504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46305.579874305557</v>
      </c>
      <c r="V230">
        <f t="shared" ca="1" si="70"/>
        <v>2026</v>
      </c>
      <c r="W230">
        <f t="shared" ca="1" si="71"/>
        <v>10</v>
      </c>
      <c r="X230">
        <f t="shared" ca="1" si="72"/>
        <v>10</v>
      </c>
      <c r="Z230" t="b">
        <f t="shared" ca="1" si="73"/>
        <v>0</v>
      </c>
      <c r="AA230" t="b">
        <f t="shared" ca="1" si="74"/>
        <v>0</v>
      </c>
      <c r="AI230">
        <v>2032</v>
      </c>
      <c r="AJ230">
        <v>2</v>
      </c>
      <c r="AK230">
        <v>8</v>
      </c>
      <c r="AL230" t="s">
        <v>93</v>
      </c>
      <c r="AM230" t="s">
        <v>164</v>
      </c>
      <c r="AN230" t="s">
        <v>84</v>
      </c>
      <c r="AO230" s="1">
        <v>114</v>
      </c>
      <c r="AP230" t="s">
        <v>1508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46306.579874305557</v>
      </c>
      <c r="V231">
        <f t="shared" ca="1" si="70"/>
        <v>2026</v>
      </c>
      <c r="W231">
        <f t="shared" ca="1" si="71"/>
        <v>10</v>
      </c>
      <c r="X231">
        <f t="shared" ca="1" si="72"/>
        <v>11</v>
      </c>
      <c r="Z231" t="b">
        <f t="shared" ca="1" si="73"/>
        <v>0</v>
      </c>
      <c r="AA231" t="b">
        <f t="shared" ca="1" si="74"/>
        <v>0</v>
      </c>
      <c r="AI231">
        <v>2032</v>
      </c>
      <c r="AJ231">
        <v>2</v>
      </c>
      <c r="AK231">
        <v>9</v>
      </c>
      <c r="AL231" t="s">
        <v>93</v>
      </c>
      <c r="AM231" t="s">
        <v>164</v>
      </c>
      <c r="AN231" t="s">
        <v>84</v>
      </c>
      <c r="AO231" s="1">
        <v>103</v>
      </c>
      <c r="AP231" t="s">
        <v>1509</v>
      </c>
    </row>
    <row r="232" spans="11:42" x14ac:dyDescent="0.25">
      <c r="U232" s="5">
        <f t="shared" ca="1" si="75"/>
        <v>46307.579874305557</v>
      </c>
      <c r="V232">
        <f t="shared" ca="1" si="70"/>
        <v>2026</v>
      </c>
      <c r="W232">
        <f t="shared" ca="1" si="71"/>
        <v>10</v>
      </c>
      <c r="X232">
        <f t="shared" ca="1" si="72"/>
        <v>12</v>
      </c>
      <c r="Z232" t="b">
        <f t="shared" ca="1" si="73"/>
        <v>0</v>
      </c>
      <c r="AA232" t="b">
        <f t="shared" ca="1" si="74"/>
        <v>0</v>
      </c>
      <c r="AI232">
        <v>2032</v>
      </c>
      <c r="AJ232">
        <v>2</v>
      </c>
      <c r="AK232">
        <v>11</v>
      </c>
      <c r="AL232" t="s">
        <v>89</v>
      </c>
      <c r="AM232" t="s">
        <v>204</v>
      </c>
      <c r="AN232" t="s">
        <v>86</v>
      </c>
      <c r="AO232" s="1">
        <v>265</v>
      </c>
      <c r="AP232" t="s">
        <v>121</v>
      </c>
    </row>
    <row r="233" spans="11:42" x14ac:dyDescent="0.25">
      <c r="U233" s="5">
        <f t="shared" ca="1" si="75"/>
        <v>46308.579874305557</v>
      </c>
      <c r="V233">
        <f t="shared" ca="1" si="70"/>
        <v>2026</v>
      </c>
      <c r="W233">
        <f t="shared" ca="1" si="71"/>
        <v>10</v>
      </c>
      <c r="X233">
        <f t="shared" ca="1" si="72"/>
        <v>13</v>
      </c>
      <c r="Z233" t="b">
        <f t="shared" ca="1" si="73"/>
        <v>0</v>
      </c>
      <c r="AA233" t="b">
        <f t="shared" ca="1" si="74"/>
        <v>0</v>
      </c>
      <c r="AI233">
        <v>2032</v>
      </c>
      <c r="AJ233">
        <v>2</v>
      </c>
      <c r="AK233">
        <v>14</v>
      </c>
      <c r="AL233" t="s">
        <v>93</v>
      </c>
      <c r="AM233" t="s">
        <v>1393</v>
      </c>
      <c r="AN233" t="s">
        <v>258</v>
      </c>
      <c r="AO233" s="1">
        <v>70</v>
      </c>
      <c r="AP233" t="s">
        <v>1374</v>
      </c>
    </row>
    <row r="234" spans="11:42" x14ac:dyDescent="0.25">
      <c r="U234" s="5">
        <f t="shared" ca="1" si="75"/>
        <v>46309.579874305557</v>
      </c>
      <c r="V234">
        <f t="shared" ca="1" si="70"/>
        <v>2026</v>
      </c>
      <c r="W234">
        <f t="shared" ca="1" si="71"/>
        <v>10</v>
      </c>
      <c r="X234">
        <f t="shared" ca="1" si="72"/>
        <v>14</v>
      </c>
      <c r="Z234" t="b">
        <f t="shared" ca="1" si="73"/>
        <v>0</v>
      </c>
      <c r="AA234" t="b">
        <f t="shared" ca="1" si="74"/>
        <v>0</v>
      </c>
      <c r="AI234">
        <v>2032</v>
      </c>
      <c r="AJ234">
        <v>3</v>
      </c>
      <c r="AK234">
        <v>1</v>
      </c>
      <c r="AL234" t="s">
        <v>91</v>
      </c>
      <c r="AM234" t="s">
        <v>164</v>
      </c>
      <c r="AN234" t="s">
        <v>85</v>
      </c>
      <c r="AO234" s="1">
        <v>287</v>
      </c>
      <c r="AP234" t="s">
        <v>122</v>
      </c>
    </row>
    <row r="235" spans="11:42" x14ac:dyDescent="0.25">
      <c r="U235" s="5">
        <f t="shared" ca="1" si="75"/>
        <v>46310.579874305557</v>
      </c>
      <c r="V235">
        <f t="shared" ca="1" si="70"/>
        <v>2026</v>
      </c>
      <c r="W235">
        <f t="shared" ca="1" si="71"/>
        <v>10</v>
      </c>
      <c r="X235">
        <f t="shared" ca="1" si="72"/>
        <v>15</v>
      </c>
      <c r="Z235" t="b">
        <f t="shared" ca="1" si="73"/>
        <v>0</v>
      </c>
      <c r="AA235" t="b">
        <f t="shared" ca="1" si="74"/>
        <v>0</v>
      </c>
      <c r="AI235">
        <v>2032</v>
      </c>
      <c r="AJ235">
        <v>3</v>
      </c>
      <c r="AK235">
        <v>14</v>
      </c>
      <c r="AL235" t="s">
        <v>45</v>
      </c>
      <c r="AM235" t="s">
        <v>161</v>
      </c>
      <c r="AN235" t="s">
        <v>1414</v>
      </c>
      <c r="AO235" s="1">
        <v>95</v>
      </c>
      <c r="AP235" t="s">
        <v>1502</v>
      </c>
    </row>
    <row r="236" spans="11:42" x14ac:dyDescent="0.25">
      <c r="U236" s="5">
        <f t="shared" ca="1" si="75"/>
        <v>46311.579874305557</v>
      </c>
      <c r="V236">
        <f t="shared" ca="1" si="70"/>
        <v>2026</v>
      </c>
      <c r="W236">
        <f t="shared" ca="1" si="71"/>
        <v>10</v>
      </c>
      <c r="X236">
        <f t="shared" ca="1" si="72"/>
        <v>16</v>
      </c>
      <c r="Z236" t="b">
        <f t="shared" ca="1" si="73"/>
        <v>0</v>
      </c>
      <c r="AA236" t="b">
        <f t="shared" ca="1" si="74"/>
        <v>0</v>
      </c>
      <c r="AI236">
        <v>2032</v>
      </c>
      <c r="AJ236">
        <v>3</v>
      </c>
      <c r="AK236">
        <v>21</v>
      </c>
      <c r="AL236" t="s">
        <v>56</v>
      </c>
      <c r="AM236" t="s">
        <v>184</v>
      </c>
      <c r="AN236" t="s">
        <v>84</v>
      </c>
      <c r="AO236" s="1">
        <v>73</v>
      </c>
      <c r="AP236" t="s">
        <v>123</v>
      </c>
    </row>
    <row r="237" spans="11:42" x14ac:dyDescent="0.25">
      <c r="U237" s="5">
        <f t="shared" ca="1" si="75"/>
        <v>46312.579874305557</v>
      </c>
      <c r="V237">
        <f t="shared" ca="1" si="70"/>
        <v>2026</v>
      </c>
      <c r="W237">
        <f t="shared" ca="1" si="71"/>
        <v>10</v>
      </c>
      <c r="X237">
        <f t="shared" ca="1" si="72"/>
        <v>17</v>
      </c>
      <c r="Z237" t="b">
        <f t="shared" ca="1" si="73"/>
        <v>0</v>
      </c>
      <c r="AA237" t="b">
        <f t="shared" ca="1" si="74"/>
        <v>0</v>
      </c>
      <c r="AI237">
        <v>2032</v>
      </c>
      <c r="AJ237">
        <v>3</v>
      </c>
      <c r="AK237">
        <v>26</v>
      </c>
      <c r="AL237" t="s">
        <v>54</v>
      </c>
      <c r="AM237" t="s">
        <v>181</v>
      </c>
      <c r="AN237" t="s">
        <v>83</v>
      </c>
      <c r="AO237" s="1">
        <v>258</v>
      </c>
      <c r="AP237" t="s">
        <v>28</v>
      </c>
    </row>
    <row r="238" spans="11:42" x14ac:dyDescent="0.25">
      <c r="U238" s="5">
        <f t="shared" ca="1" si="75"/>
        <v>46313.579874305557</v>
      </c>
      <c r="V238">
        <f t="shared" ca="1" si="70"/>
        <v>2026</v>
      </c>
      <c r="W238">
        <f t="shared" ca="1" si="71"/>
        <v>10</v>
      </c>
      <c r="X238">
        <f t="shared" ca="1" si="72"/>
        <v>18</v>
      </c>
      <c r="Z238" t="b">
        <f t="shared" ca="1" si="73"/>
        <v>0</v>
      </c>
      <c r="AA238" t="b">
        <f t="shared" ca="1" si="74"/>
        <v>0</v>
      </c>
      <c r="AI238">
        <v>2032</v>
      </c>
      <c r="AJ238">
        <v>3</v>
      </c>
      <c r="AK238">
        <v>28</v>
      </c>
      <c r="AL238" t="s">
        <v>58</v>
      </c>
      <c r="AM238" t="s">
        <v>158</v>
      </c>
      <c r="AN238" t="s">
        <v>261</v>
      </c>
      <c r="AO238" s="1">
        <v>86</v>
      </c>
      <c r="AP238" t="s">
        <v>12</v>
      </c>
    </row>
    <row r="239" spans="11:42" x14ac:dyDescent="0.25">
      <c r="U239" s="5">
        <f t="shared" ca="1" si="75"/>
        <v>46314.579874305557</v>
      </c>
      <c r="V239">
        <f t="shared" ca="1" si="70"/>
        <v>2026</v>
      </c>
      <c r="W239">
        <f t="shared" ca="1" si="71"/>
        <v>10</v>
      </c>
      <c r="X239">
        <f t="shared" ca="1" si="72"/>
        <v>19</v>
      </c>
      <c r="Z239" t="b">
        <f t="shared" ca="1" si="73"/>
        <v>0</v>
      </c>
      <c r="AA239" t="b">
        <f t="shared" ca="1" si="74"/>
        <v>0</v>
      </c>
      <c r="AI239">
        <v>2032</v>
      </c>
      <c r="AJ239">
        <v>3</v>
      </c>
      <c r="AK239">
        <v>29</v>
      </c>
      <c r="AL239" t="s">
        <v>58</v>
      </c>
      <c r="AM239" t="s">
        <v>198</v>
      </c>
      <c r="AN239" t="s">
        <v>265</v>
      </c>
      <c r="AO239" s="1">
        <v>253</v>
      </c>
      <c r="AP239" t="s">
        <v>1379</v>
      </c>
    </row>
    <row r="240" spans="11:42" x14ac:dyDescent="0.25">
      <c r="U240" s="5">
        <f t="shared" ca="1" si="75"/>
        <v>46315.579874305557</v>
      </c>
      <c r="V240">
        <f t="shared" ca="1" si="70"/>
        <v>2026</v>
      </c>
      <c r="W240">
        <f t="shared" ca="1" si="71"/>
        <v>10</v>
      </c>
      <c r="X240">
        <f t="shared" ca="1" si="72"/>
        <v>20</v>
      </c>
      <c r="Z240" t="b">
        <f t="shared" ca="1" si="73"/>
        <v>0</v>
      </c>
      <c r="AA240" t="b">
        <f t="shared" ca="1" si="74"/>
        <v>0</v>
      </c>
      <c r="AI240">
        <v>2032</v>
      </c>
      <c r="AJ240">
        <v>4</v>
      </c>
      <c r="AK240">
        <v>1</v>
      </c>
      <c r="AL240" t="s">
        <v>91</v>
      </c>
      <c r="AM240" t="s">
        <v>164</v>
      </c>
      <c r="AN240" t="s">
        <v>85</v>
      </c>
      <c r="AO240" s="1">
        <v>265</v>
      </c>
      <c r="AP240" t="s">
        <v>124</v>
      </c>
    </row>
    <row r="241" spans="21:42" x14ac:dyDescent="0.25">
      <c r="U241" s="5">
        <f t="shared" ca="1" si="75"/>
        <v>46316.579874305557</v>
      </c>
      <c r="V241">
        <f t="shared" ca="1" si="70"/>
        <v>2026</v>
      </c>
      <c r="W241">
        <f t="shared" ca="1" si="71"/>
        <v>10</v>
      </c>
      <c r="X241">
        <f t="shared" ca="1" si="72"/>
        <v>21</v>
      </c>
      <c r="Z241" t="b">
        <f t="shared" ca="1" si="73"/>
        <v>0</v>
      </c>
      <c r="AA241" t="b">
        <f t="shared" ca="1" si="74"/>
        <v>0</v>
      </c>
      <c r="AI241">
        <v>2032</v>
      </c>
      <c r="AJ241">
        <v>4</v>
      </c>
      <c r="AK241">
        <v>30</v>
      </c>
      <c r="AL241" t="s">
        <v>56</v>
      </c>
      <c r="AM241" t="s">
        <v>184</v>
      </c>
      <c r="AN241" t="s">
        <v>84</v>
      </c>
      <c r="AO241" s="1">
        <v>98</v>
      </c>
      <c r="AP241" t="s">
        <v>126</v>
      </c>
    </row>
    <row r="242" spans="21:42" x14ac:dyDescent="0.25">
      <c r="U242" s="5">
        <f t="shared" ca="1" si="75"/>
        <v>46317.579874305557</v>
      </c>
      <c r="V242">
        <f t="shared" ca="1" si="70"/>
        <v>2026</v>
      </c>
      <c r="W242">
        <f t="shared" ca="1" si="71"/>
        <v>10</v>
      </c>
      <c r="X242">
        <f t="shared" ca="1" si="72"/>
        <v>22</v>
      </c>
      <c r="Z242" t="b">
        <f t="shared" ca="1" si="73"/>
        <v>0</v>
      </c>
      <c r="AA242" t="b">
        <f t="shared" ca="1" si="74"/>
        <v>0</v>
      </c>
      <c r="AI242">
        <v>2032</v>
      </c>
      <c r="AJ242">
        <v>5</v>
      </c>
      <c r="AK242">
        <v>1</v>
      </c>
      <c r="AL242" t="s">
        <v>91</v>
      </c>
      <c r="AM242" t="s">
        <v>164</v>
      </c>
      <c r="AN242" t="s">
        <v>85</v>
      </c>
      <c r="AO242" s="1">
        <v>202</v>
      </c>
      <c r="AP242" t="s">
        <v>127</v>
      </c>
    </row>
    <row r="243" spans="21:42" x14ac:dyDescent="0.25">
      <c r="U243" s="5">
        <f t="shared" ca="1" si="75"/>
        <v>46318.579874305557</v>
      </c>
      <c r="V243">
        <f t="shared" ca="1" si="70"/>
        <v>2026</v>
      </c>
      <c r="W243">
        <f t="shared" ca="1" si="71"/>
        <v>10</v>
      </c>
      <c r="X243">
        <f t="shared" ca="1" si="72"/>
        <v>23</v>
      </c>
      <c r="Z243" t="b">
        <f t="shared" ca="1" si="73"/>
        <v>0</v>
      </c>
      <c r="AA243" t="b">
        <f t="shared" ca="1" si="74"/>
        <v>0</v>
      </c>
      <c r="AI243">
        <v>2032</v>
      </c>
      <c r="AJ243">
        <v>5</v>
      </c>
      <c r="AK243">
        <v>4</v>
      </c>
      <c r="AL243" t="s">
        <v>89</v>
      </c>
      <c r="AM243" t="s">
        <v>233</v>
      </c>
      <c r="AN243" t="s">
        <v>83</v>
      </c>
      <c r="AO243" s="1">
        <v>102</v>
      </c>
      <c r="AP243" t="s">
        <v>1366</v>
      </c>
    </row>
    <row r="244" spans="21:42" x14ac:dyDescent="0.25">
      <c r="U244" s="5">
        <f t="shared" ca="1" si="75"/>
        <v>46319.579874305557</v>
      </c>
      <c r="V244">
        <f t="shared" ca="1" si="70"/>
        <v>2026</v>
      </c>
      <c r="W244">
        <f t="shared" ca="1" si="71"/>
        <v>10</v>
      </c>
      <c r="X244">
        <f t="shared" ca="1" si="72"/>
        <v>24</v>
      </c>
      <c r="Z244" t="b">
        <f t="shared" ca="1" si="73"/>
        <v>0</v>
      </c>
      <c r="AA244" t="b">
        <f t="shared" ca="1" si="74"/>
        <v>0</v>
      </c>
      <c r="AI244">
        <v>2032</v>
      </c>
      <c r="AJ244">
        <v>5</v>
      </c>
      <c r="AK244">
        <v>5</v>
      </c>
      <c r="AL244" t="s">
        <v>93</v>
      </c>
      <c r="AM244" t="s">
        <v>152</v>
      </c>
      <c r="AN244" t="s">
        <v>84</v>
      </c>
      <c r="AO244" s="1">
        <v>64</v>
      </c>
      <c r="AP244" t="s">
        <v>107</v>
      </c>
    </row>
    <row r="245" spans="21:42" x14ac:dyDescent="0.25">
      <c r="U245" s="5">
        <f t="shared" ca="1" si="75"/>
        <v>46320.579874305557</v>
      </c>
      <c r="V245">
        <f t="shared" ca="1" si="70"/>
        <v>2026</v>
      </c>
      <c r="W245">
        <f t="shared" ca="1" si="71"/>
        <v>10</v>
      </c>
      <c r="X245">
        <f t="shared" ca="1" si="72"/>
        <v>25</v>
      </c>
      <c r="Z245" t="b">
        <f t="shared" ca="1" si="73"/>
        <v>0</v>
      </c>
      <c r="AA245" t="b">
        <f t="shared" ca="1" si="74"/>
        <v>0</v>
      </c>
      <c r="AI245">
        <v>2032</v>
      </c>
      <c r="AJ245">
        <v>5</v>
      </c>
      <c r="AK245">
        <v>6</v>
      </c>
      <c r="AL245" t="s">
        <v>44</v>
      </c>
      <c r="AM245" t="s">
        <v>227</v>
      </c>
      <c r="AN245" t="s">
        <v>83</v>
      </c>
      <c r="AO245" s="1">
        <v>132</v>
      </c>
      <c r="AP245" t="s">
        <v>14</v>
      </c>
    </row>
    <row r="246" spans="21:42" x14ac:dyDescent="0.25">
      <c r="U246" s="5">
        <f t="shared" ca="1" si="75"/>
        <v>46321.579874305557</v>
      </c>
      <c r="V246">
        <f t="shared" ca="1" si="70"/>
        <v>2026</v>
      </c>
      <c r="W246">
        <f t="shared" ca="1" si="71"/>
        <v>10</v>
      </c>
      <c r="X246">
        <f t="shared" ca="1" si="72"/>
        <v>26</v>
      </c>
      <c r="Z246" t="b">
        <f t="shared" ca="1" si="73"/>
        <v>0</v>
      </c>
      <c r="AA246" t="b">
        <f t="shared" ca="1" si="74"/>
        <v>0</v>
      </c>
      <c r="AI246">
        <v>2032</v>
      </c>
      <c r="AJ246">
        <v>5</v>
      </c>
      <c r="AK246">
        <v>10</v>
      </c>
      <c r="AL246" t="s">
        <v>56</v>
      </c>
      <c r="AM246" t="s">
        <v>184</v>
      </c>
      <c r="AN246" t="s">
        <v>84</v>
      </c>
      <c r="AO246" s="1">
        <v>73</v>
      </c>
      <c r="AP246" t="s">
        <v>128</v>
      </c>
    </row>
    <row r="247" spans="21:42" x14ac:dyDescent="0.25">
      <c r="U247" s="5">
        <f t="shared" ca="1" si="75"/>
        <v>46322.579874305557</v>
      </c>
      <c r="V247">
        <f t="shared" ca="1" si="70"/>
        <v>2026</v>
      </c>
      <c r="W247">
        <f t="shared" ca="1" si="71"/>
        <v>10</v>
      </c>
      <c r="X247">
        <f t="shared" ca="1" si="72"/>
        <v>27</v>
      </c>
      <c r="Z247" t="b">
        <f t="shared" ca="1" si="73"/>
        <v>0</v>
      </c>
      <c r="AA247" t="b">
        <f t="shared" ca="1" si="74"/>
        <v>0</v>
      </c>
      <c r="AI247">
        <v>2032</v>
      </c>
      <c r="AJ247">
        <v>5</v>
      </c>
      <c r="AK247">
        <v>16</v>
      </c>
      <c r="AL247" t="s">
        <v>49</v>
      </c>
      <c r="AM247" t="s">
        <v>167</v>
      </c>
      <c r="AN247" t="s">
        <v>85</v>
      </c>
      <c r="AO247" s="1">
        <v>170</v>
      </c>
      <c r="AP247" t="s">
        <v>144</v>
      </c>
    </row>
    <row r="248" spans="21:42" x14ac:dyDescent="0.25">
      <c r="U248" s="5">
        <f t="shared" ca="1" si="75"/>
        <v>46323.579874305557</v>
      </c>
      <c r="V248">
        <f t="shared" ca="1" si="70"/>
        <v>2026</v>
      </c>
      <c r="W248">
        <f t="shared" ca="1" si="71"/>
        <v>10</v>
      </c>
      <c r="X248">
        <f t="shared" ca="1" si="72"/>
        <v>28</v>
      </c>
      <c r="Z248" t="b">
        <f t="shared" ca="1" si="73"/>
        <v>0</v>
      </c>
      <c r="AA248" t="b">
        <f t="shared" ca="1" si="74"/>
        <v>0</v>
      </c>
      <c r="AI248">
        <v>2032</v>
      </c>
      <c r="AJ248">
        <v>5</v>
      </c>
      <c r="AK248">
        <v>17</v>
      </c>
      <c r="AL248" t="s">
        <v>49</v>
      </c>
      <c r="AM248" t="s">
        <v>167</v>
      </c>
      <c r="AN248" t="s">
        <v>85</v>
      </c>
      <c r="AO248" s="1">
        <v>181</v>
      </c>
      <c r="AP248" t="s">
        <v>1510</v>
      </c>
    </row>
    <row r="249" spans="21:42" x14ac:dyDescent="0.25">
      <c r="U249" s="5">
        <f t="shared" ca="1" si="75"/>
        <v>46324.579874305557</v>
      </c>
      <c r="V249">
        <f t="shared" ca="1" si="70"/>
        <v>2026</v>
      </c>
      <c r="W249">
        <f t="shared" ca="1" si="71"/>
        <v>10</v>
      </c>
      <c r="X249">
        <f t="shared" ca="1" si="72"/>
        <v>29</v>
      </c>
      <c r="Z249" t="b">
        <f t="shared" ca="1" si="73"/>
        <v>0</v>
      </c>
      <c r="AA249" t="b">
        <f t="shared" ca="1" si="74"/>
        <v>0</v>
      </c>
      <c r="AI249">
        <v>2032</v>
      </c>
      <c r="AJ249">
        <v>6</v>
      </c>
      <c r="AK249">
        <v>1</v>
      </c>
      <c r="AL249" t="s">
        <v>91</v>
      </c>
      <c r="AM249" t="s">
        <v>164</v>
      </c>
      <c r="AN249" t="s">
        <v>85</v>
      </c>
      <c r="AO249" s="1">
        <v>157</v>
      </c>
      <c r="AP249" t="s">
        <v>130</v>
      </c>
    </row>
    <row r="250" spans="21:42" x14ac:dyDescent="0.25">
      <c r="U250" s="5">
        <f t="shared" ca="1" si="75"/>
        <v>46325.579874305557</v>
      </c>
      <c r="V250">
        <f t="shared" ca="1" si="70"/>
        <v>2026</v>
      </c>
      <c r="W250">
        <f t="shared" ca="1" si="71"/>
        <v>10</v>
      </c>
      <c r="X250">
        <f t="shared" ca="1" si="72"/>
        <v>30</v>
      </c>
      <c r="Z250" t="b">
        <f t="shared" ca="1" si="73"/>
        <v>0</v>
      </c>
      <c r="AA250" t="b">
        <f t="shared" ca="1" si="74"/>
        <v>0</v>
      </c>
      <c r="AI250">
        <v>2032</v>
      </c>
      <c r="AJ250">
        <v>6</v>
      </c>
      <c r="AK250">
        <v>24</v>
      </c>
      <c r="AL250" t="s">
        <v>93</v>
      </c>
      <c r="AM250" t="s">
        <v>158</v>
      </c>
      <c r="AN250" t="s">
        <v>1413</v>
      </c>
      <c r="AO250" s="1">
        <v>61</v>
      </c>
      <c r="AP250" t="s">
        <v>1372</v>
      </c>
    </row>
    <row r="251" spans="21:42" x14ac:dyDescent="0.25">
      <c r="U251" s="5">
        <f t="shared" ca="1" si="75"/>
        <v>46326.579874305557</v>
      </c>
      <c r="V251">
        <f t="shared" ca="1" si="70"/>
        <v>2026</v>
      </c>
      <c r="W251">
        <f t="shared" ca="1" si="71"/>
        <v>10</v>
      </c>
      <c r="X251">
        <f t="shared" ca="1" si="72"/>
        <v>31</v>
      </c>
      <c r="Z251" t="b">
        <f t="shared" ca="1" si="73"/>
        <v>0</v>
      </c>
      <c r="AA251" t="b">
        <f t="shared" ca="1" si="74"/>
        <v>0</v>
      </c>
      <c r="AI251">
        <v>2032</v>
      </c>
      <c r="AJ251">
        <v>7</v>
      </c>
      <c r="AK251">
        <v>1</v>
      </c>
      <c r="AL251" t="s">
        <v>91</v>
      </c>
      <c r="AM251" t="s">
        <v>164</v>
      </c>
      <c r="AN251" t="s">
        <v>85</v>
      </c>
      <c r="AO251" s="1">
        <v>171</v>
      </c>
      <c r="AP251" t="s">
        <v>131</v>
      </c>
    </row>
    <row r="252" spans="21:42" x14ac:dyDescent="0.25">
      <c r="U252" s="5">
        <f t="shared" ca="1" si="75"/>
        <v>46327.579874305557</v>
      </c>
      <c r="V252">
        <f t="shared" ca="1" si="70"/>
        <v>2026</v>
      </c>
      <c r="W252">
        <f t="shared" ca="1" si="71"/>
        <v>11</v>
      </c>
      <c r="X252">
        <f t="shared" ca="1" si="72"/>
        <v>1</v>
      </c>
      <c r="Z252" t="b">
        <f t="shared" ca="1" si="73"/>
        <v>0</v>
      </c>
      <c r="AA252" t="b">
        <f t="shared" ca="1" si="74"/>
        <v>0</v>
      </c>
      <c r="AI252">
        <v>2032</v>
      </c>
      <c r="AJ252">
        <v>8</v>
      </c>
      <c r="AK252">
        <v>1</v>
      </c>
      <c r="AL252" t="s">
        <v>91</v>
      </c>
      <c r="AM252" t="s">
        <v>164</v>
      </c>
      <c r="AN252" t="s">
        <v>85</v>
      </c>
      <c r="AO252" s="1">
        <v>231</v>
      </c>
      <c r="AP252" t="s">
        <v>132</v>
      </c>
    </row>
    <row r="253" spans="21:42" x14ac:dyDescent="0.25">
      <c r="U253" s="5">
        <f t="shared" ca="1" si="75"/>
        <v>46328.579874305557</v>
      </c>
      <c r="V253">
        <f t="shared" ca="1" si="70"/>
        <v>2026</v>
      </c>
      <c r="W253">
        <f t="shared" ca="1" si="71"/>
        <v>11</v>
      </c>
      <c r="X253">
        <f t="shared" ca="1" si="72"/>
        <v>2</v>
      </c>
      <c r="Z253" t="b">
        <f t="shared" ca="1" si="73"/>
        <v>0</v>
      </c>
      <c r="AA253" t="b">
        <f t="shared" ca="1" si="74"/>
        <v>0</v>
      </c>
      <c r="AI253">
        <v>2032</v>
      </c>
      <c r="AJ253">
        <v>9</v>
      </c>
      <c r="AK253">
        <v>1</v>
      </c>
      <c r="AL253" t="s">
        <v>91</v>
      </c>
      <c r="AM253" t="s">
        <v>164</v>
      </c>
      <c r="AN253" t="s">
        <v>85</v>
      </c>
      <c r="AO253" s="1">
        <v>282</v>
      </c>
      <c r="AP253" t="s">
        <v>133</v>
      </c>
    </row>
    <row r="254" spans="21:42" x14ac:dyDescent="0.25">
      <c r="U254" s="5">
        <f t="shared" ca="1" si="75"/>
        <v>46329.579874305557</v>
      </c>
      <c r="V254">
        <f t="shared" ca="1" si="70"/>
        <v>2026</v>
      </c>
      <c r="W254">
        <f t="shared" ca="1" si="71"/>
        <v>11</v>
      </c>
      <c r="X254">
        <f t="shared" ca="1" si="72"/>
        <v>3</v>
      </c>
      <c r="Z254" t="b">
        <f t="shared" ca="1" si="73"/>
        <v>0</v>
      </c>
      <c r="AA254" t="b">
        <f t="shared" ca="1" si="74"/>
        <v>0</v>
      </c>
      <c r="AI254">
        <v>2032</v>
      </c>
      <c r="AJ254">
        <v>10</v>
      </c>
      <c r="AK254">
        <v>1</v>
      </c>
      <c r="AL254" t="s">
        <v>91</v>
      </c>
      <c r="AM254" t="s">
        <v>164</v>
      </c>
      <c r="AN254" t="s">
        <v>85</v>
      </c>
      <c r="AO254" s="1">
        <v>277</v>
      </c>
      <c r="AP254" t="s">
        <v>134</v>
      </c>
    </row>
    <row r="255" spans="21:42" x14ac:dyDescent="0.25">
      <c r="U255" s="5">
        <f t="shared" ca="1" si="75"/>
        <v>46330.579874305557</v>
      </c>
      <c r="V255">
        <f t="shared" ca="1" si="70"/>
        <v>2026</v>
      </c>
      <c r="W255">
        <f t="shared" ca="1" si="71"/>
        <v>11</v>
      </c>
      <c r="X255">
        <f t="shared" ca="1" si="72"/>
        <v>4</v>
      </c>
      <c r="Z255" t="b">
        <f t="shared" ca="1" si="73"/>
        <v>0</v>
      </c>
      <c r="AA255" t="b">
        <f t="shared" ca="1" si="74"/>
        <v>0</v>
      </c>
      <c r="AI255">
        <v>2032</v>
      </c>
      <c r="AJ255">
        <v>10</v>
      </c>
      <c r="AK255">
        <v>8</v>
      </c>
      <c r="AL255" t="s">
        <v>56</v>
      </c>
      <c r="AM255" t="s">
        <v>184</v>
      </c>
      <c r="AN255" t="s">
        <v>84</v>
      </c>
      <c r="AO255" s="1">
        <v>105</v>
      </c>
      <c r="AP255" t="s">
        <v>135</v>
      </c>
    </row>
    <row r="256" spans="21:42" x14ac:dyDescent="0.25">
      <c r="U256" s="5">
        <f t="shared" ca="1" si="75"/>
        <v>46331.579874305557</v>
      </c>
      <c r="V256">
        <f t="shared" ca="1" si="70"/>
        <v>2026</v>
      </c>
      <c r="W256">
        <f t="shared" ca="1" si="71"/>
        <v>11</v>
      </c>
      <c r="X256">
        <f t="shared" ca="1" si="72"/>
        <v>5</v>
      </c>
      <c r="Z256" t="b">
        <f t="shared" ca="1" si="73"/>
        <v>0</v>
      </c>
      <c r="AA256" t="b">
        <f t="shared" ca="1" si="74"/>
        <v>0</v>
      </c>
      <c r="AI256">
        <v>2032</v>
      </c>
      <c r="AJ256">
        <v>11</v>
      </c>
      <c r="AK256">
        <v>1</v>
      </c>
      <c r="AL256" t="s">
        <v>91</v>
      </c>
      <c r="AM256" t="s">
        <v>164</v>
      </c>
      <c r="AN256" t="s">
        <v>85</v>
      </c>
      <c r="AO256" s="1">
        <v>221</v>
      </c>
      <c r="AP256" t="s">
        <v>136</v>
      </c>
    </row>
    <row r="257" spans="21:42" x14ac:dyDescent="0.25">
      <c r="U257" s="5">
        <f t="shared" ca="1" si="75"/>
        <v>46332.579874305557</v>
      </c>
      <c r="V257">
        <f t="shared" ca="1" si="70"/>
        <v>2026</v>
      </c>
      <c r="W257">
        <f t="shared" ca="1" si="71"/>
        <v>11</v>
      </c>
      <c r="X257">
        <f t="shared" ca="1" si="72"/>
        <v>6</v>
      </c>
      <c r="Z257" t="b">
        <f t="shared" ca="1" si="73"/>
        <v>0</v>
      </c>
      <c r="AA257" t="b">
        <f t="shared" ca="1" si="74"/>
        <v>0</v>
      </c>
      <c r="AI257">
        <v>2032</v>
      </c>
      <c r="AJ257">
        <v>12</v>
      </c>
      <c r="AK257">
        <v>1</v>
      </c>
      <c r="AL257" t="s">
        <v>91</v>
      </c>
      <c r="AM257" t="s">
        <v>164</v>
      </c>
      <c r="AN257" t="s">
        <v>85</v>
      </c>
      <c r="AO257" s="1">
        <v>165</v>
      </c>
      <c r="AP257" t="s">
        <v>137</v>
      </c>
    </row>
    <row r="258" spans="21:42" x14ac:dyDescent="0.25">
      <c r="U258" s="5">
        <f t="shared" ca="1" si="75"/>
        <v>46333.579874305557</v>
      </c>
      <c r="V258">
        <f t="shared" ca="1" si="70"/>
        <v>2026</v>
      </c>
      <c r="W258">
        <f t="shared" ca="1" si="71"/>
        <v>11</v>
      </c>
      <c r="X258">
        <f t="shared" ca="1" si="72"/>
        <v>7</v>
      </c>
      <c r="Z258" t="b">
        <f t="shared" ca="1" si="73"/>
        <v>0</v>
      </c>
      <c r="AA258" t="b">
        <f t="shared" ca="1" si="74"/>
        <v>0</v>
      </c>
      <c r="AI258">
        <v>2032</v>
      </c>
      <c r="AJ258">
        <v>12</v>
      </c>
      <c r="AK258">
        <v>5</v>
      </c>
      <c r="AL258" t="s">
        <v>53</v>
      </c>
      <c r="AM258" t="s">
        <v>224</v>
      </c>
      <c r="AN258" t="s">
        <v>258</v>
      </c>
      <c r="AO258" s="1">
        <v>113</v>
      </c>
      <c r="AP258" t="s">
        <v>1234</v>
      </c>
    </row>
    <row r="259" spans="21:42" x14ac:dyDescent="0.25">
      <c r="U259" s="5">
        <f t="shared" ca="1" si="75"/>
        <v>46334.579874305557</v>
      </c>
      <c r="V259">
        <f t="shared" ca="1" si="70"/>
        <v>2026</v>
      </c>
      <c r="W259">
        <f t="shared" ca="1" si="71"/>
        <v>11</v>
      </c>
      <c r="X259">
        <f t="shared" ca="1" si="72"/>
        <v>8</v>
      </c>
      <c r="Z259" t="b">
        <f t="shared" ca="1" si="73"/>
        <v>0</v>
      </c>
      <c r="AA259" t="b">
        <f t="shared" ca="1" si="74"/>
        <v>0</v>
      </c>
      <c r="AI259">
        <v>2032</v>
      </c>
      <c r="AJ259">
        <v>12</v>
      </c>
      <c r="AK259">
        <v>13</v>
      </c>
      <c r="AL259" t="s">
        <v>56</v>
      </c>
      <c r="AM259" t="s">
        <v>184</v>
      </c>
      <c r="AN259" t="s">
        <v>84</v>
      </c>
      <c r="AO259" s="1">
        <v>114</v>
      </c>
      <c r="AP259" t="s">
        <v>138</v>
      </c>
    </row>
    <row r="260" spans="21:42" x14ac:dyDescent="0.25">
      <c r="U260" s="5">
        <f t="shared" ca="1" si="75"/>
        <v>46335.579874305557</v>
      </c>
      <c r="V260">
        <f t="shared" ref="V260:V323" ca="1" si="76">YEAR(U260)</f>
        <v>2026</v>
      </c>
      <c r="W260">
        <f t="shared" ref="W260:W323" ca="1" si="77">MONTH(U260)</f>
        <v>11</v>
      </c>
      <c r="X260">
        <f t="shared" ref="X260:X323" ca="1" si="78">DAY(U260)</f>
        <v>9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2032</v>
      </c>
      <c r="AJ260">
        <v>12</v>
      </c>
      <c r="AK260">
        <v>25</v>
      </c>
      <c r="AL260" t="s">
        <v>43</v>
      </c>
      <c r="AM260" t="s">
        <v>230</v>
      </c>
      <c r="AN260" t="s">
        <v>1412</v>
      </c>
      <c r="AO260" s="1">
        <v>95</v>
      </c>
      <c r="AP260" t="s">
        <v>7</v>
      </c>
    </row>
    <row r="261" spans="21:42" x14ac:dyDescent="0.25">
      <c r="U261" s="5">
        <f t="shared" ref="U261:U324" ca="1" si="81">U260+1</f>
        <v>46336.579874305557</v>
      </c>
      <c r="V261">
        <f t="shared" ca="1" si="76"/>
        <v>2026</v>
      </c>
      <c r="W261">
        <f t="shared" ca="1" si="77"/>
        <v>11</v>
      </c>
      <c r="X261">
        <f t="shared" ca="1" si="78"/>
        <v>10</v>
      </c>
      <c r="Z261" t="b">
        <f t="shared" ca="1" si="79"/>
        <v>0</v>
      </c>
      <c r="AA261" t="b">
        <f t="shared" ca="1" si="80"/>
        <v>0</v>
      </c>
      <c r="AI261">
        <v>2032</v>
      </c>
      <c r="AJ261">
        <v>12</v>
      </c>
      <c r="AK261">
        <v>26</v>
      </c>
      <c r="AL261" t="s">
        <v>43</v>
      </c>
      <c r="AM261" t="s">
        <v>201</v>
      </c>
      <c r="AN261" t="s">
        <v>86</v>
      </c>
      <c r="AO261" s="1">
        <v>108</v>
      </c>
      <c r="AP261" t="s">
        <v>78</v>
      </c>
    </row>
    <row r="262" spans="21:42" x14ac:dyDescent="0.25">
      <c r="U262" s="5">
        <f t="shared" ca="1" si="81"/>
        <v>46337.579874305557</v>
      </c>
      <c r="V262">
        <f t="shared" ca="1" si="76"/>
        <v>2026</v>
      </c>
      <c r="W262">
        <f t="shared" ca="1" si="77"/>
        <v>11</v>
      </c>
      <c r="X262">
        <f t="shared" ca="1" si="78"/>
        <v>11</v>
      </c>
      <c r="Z262" t="b">
        <f t="shared" ca="1" si="79"/>
        <v>0</v>
      </c>
      <c r="AA262" t="b">
        <f t="shared" ca="1" si="80"/>
        <v>0</v>
      </c>
      <c r="AI262">
        <v>2032</v>
      </c>
      <c r="AJ262">
        <v>12</v>
      </c>
      <c r="AK262">
        <v>28</v>
      </c>
      <c r="AL262" t="s">
        <v>52</v>
      </c>
      <c r="AM262" t="s">
        <v>245</v>
      </c>
      <c r="AN262" t="s">
        <v>1412</v>
      </c>
      <c r="AO262" s="1">
        <v>77</v>
      </c>
      <c r="AP262" t="s">
        <v>1370</v>
      </c>
    </row>
    <row r="263" spans="21:42" x14ac:dyDescent="0.25">
      <c r="U263" s="5">
        <f t="shared" ca="1" si="81"/>
        <v>46338.579874305557</v>
      </c>
      <c r="V263">
        <f t="shared" ca="1" si="76"/>
        <v>2026</v>
      </c>
      <c r="W263">
        <f t="shared" ca="1" si="77"/>
        <v>11</v>
      </c>
      <c r="X263">
        <f t="shared" ca="1" si="78"/>
        <v>12</v>
      </c>
      <c r="Z263" t="b">
        <f t="shared" ca="1" si="79"/>
        <v>0</v>
      </c>
      <c r="AA263" t="b">
        <f t="shared" ca="1" si="80"/>
        <v>0</v>
      </c>
      <c r="AI263">
        <v>2033</v>
      </c>
      <c r="AJ263">
        <v>1</v>
      </c>
      <c r="AK263">
        <v>1</v>
      </c>
      <c r="AL263" t="s">
        <v>93</v>
      </c>
      <c r="AM263" t="s">
        <v>256</v>
      </c>
      <c r="AN263" t="s">
        <v>83</v>
      </c>
      <c r="AO263" s="1">
        <v>77</v>
      </c>
      <c r="AP263" t="s">
        <v>8</v>
      </c>
    </row>
    <row r="264" spans="21:42" x14ac:dyDescent="0.25">
      <c r="U264" s="5">
        <f t="shared" ca="1" si="81"/>
        <v>46339.579874305557</v>
      </c>
      <c r="V264">
        <f t="shared" ca="1" si="76"/>
        <v>2026</v>
      </c>
      <c r="W264">
        <f t="shared" ca="1" si="77"/>
        <v>11</v>
      </c>
      <c r="X264">
        <f t="shared" ca="1" si="78"/>
        <v>13</v>
      </c>
      <c r="Z264" t="b">
        <f t="shared" ca="1" si="79"/>
        <v>0</v>
      </c>
      <c r="AA264" t="b">
        <f t="shared" ca="1" si="80"/>
        <v>0</v>
      </c>
      <c r="AI264">
        <v>2033</v>
      </c>
      <c r="AJ264">
        <v>2</v>
      </c>
      <c r="AK264">
        <v>1</v>
      </c>
      <c r="AL264" t="s">
        <v>91</v>
      </c>
      <c r="AM264" t="s">
        <v>164</v>
      </c>
      <c r="AN264" t="s">
        <v>85</v>
      </c>
      <c r="AO264" s="1">
        <v>249</v>
      </c>
      <c r="AP264" t="s">
        <v>1498</v>
      </c>
    </row>
    <row r="265" spans="21:42" x14ac:dyDescent="0.25">
      <c r="U265" s="5">
        <f t="shared" ca="1" si="81"/>
        <v>46340.579874305557</v>
      </c>
      <c r="V265">
        <f t="shared" ca="1" si="76"/>
        <v>2026</v>
      </c>
      <c r="W265">
        <f t="shared" ca="1" si="77"/>
        <v>11</v>
      </c>
      <c r="X265">
        <f t="shared" ca="1" si="78"/>
        <v>14</v>
      </c>
      <c r="Z265" t="b">
        <f t="shared" ca="1" si="79"/>
        <v>0</v>
      </c>
      <c r="AA265" t="b">
        <f t="shared" ca="1" si="80"/>
        <v>0</v>
      </c>
      <c r="AI265">
        <v>2033</v>
      </c>
      <c r="AJ265">
        <v>2</v>
      </c>
      <c r="AK265">
        <v>14</v>
      </c>
      <c r="AL265" t="s">
        <v>93</v>
      </c>
      <c r="AM265" t="s">
        <v>1393</v>
      </c>
      <c r="AN265" t="s">
        <v>258</v>
      </c>
      <c r="AO265" s="1">
        <v>70</v>
      </c>
      <c r="AP265" t="s">
        <v>1374</v>
      </c>
    </row>
    <row r="266" spans="21:42" x14ac:dyDescent="0.25">
      <c r="U266" s="5">
        <f t="shared" ca="1" si="81"/>
        <v>46341.579874305557</v>
      </c>
      <c r="V266">
        <f t="shared" ca="1" si="76"/>
        <v>2026</v>
      </c>
      <c r="W266">
        <f t="shared" ca="1" si="77"/>
        <v>11</v>
      </c>
      <c r="X266">
        <f t="shared" ca="1" si="78"/>
        <v>15</v>
      </c>
      <c r="Z266" t="b">
        <f t="shared" ca="1" si="79"/>
        <v>0</v>
      </c>
      <c r="AA266" t="b">
        <f t="shared" ca="1" si="80"/>
        <v>0</v>
      </c>
      <c r="AI266">
        <v>2033</v>
      </c>
      <c r="AJ266">
        <v>2</v>
      </c>
      <c r="AK266">
        <v>27</v>
      </c>
      <c r="AL266" t="s">
        <v>93</v>
      </c>
      <c r="AM266" t="s">
        <v>164</v>
      </c>
      <c r="AN266" t="s">
        <v>84</v>
      </c>
      <c r="AO266" s="1">
        <v>83</v>
      </c>
      <c r="AP266" t="s">
        <v>1508</v>
      </c>
    </row>
    <row r="267" spans="21:42" x14ac:dyDescent="0.25">
      <c r="U267" s="5">
        <f t="shared" ca="1" si="81"/>
        <v>46342.579874305557</v>
      </c>
      <c r="V267">
        <f t="shared" ca="1" si="76"/>
        <v>2026</v>
      </c>
      <c r="W267">
        <f t="shared" ca="1" si="77"/>
        <v>11</v>
      </c>
      <c r="X267">
        <f t="shared" ca="1" si="78"/>
        <v>16</v>
      </c>
      <c r="Z267" t="b">
        <f t="shared" ca="1" si="79"/>
        <v>0</v>
      </c>
      <c r="AA267" t="b">
        <f t="shared" ca="1" si="80"/>
        <v>0</v>
      </c>
      <c r="AI267">
        <v>2033</v>
      </c>
      <c r="AJ267">
        <v>2</v>
      </c>
      <c r="AK267">
        <v>27</v>
      </c>
      <c r="AL267" t="s">
        <v>93</v>
      </c>
      <c r="AM267" t="s">
        <v>164</v>
      </c>
      <c r="AN267" t="s">
        <v>84</v>
      </c>
      <c r="AO267" s="1">
        <v>117</v>
      </c>
      <c r="AP267" t="s">
        <v>1511</v>
      </c>
    </row>
    <row r="268" spans="21:42" x14ac:dyDescent="0.25">
      <c r="U268" s="5">
        <f t="shared" ca="1" si="81"/>
        <v>46343.579874305557</v>
      </c>
      <c r="V268">
        <f t="shared" ca="1" si="76"/>
        <v>2026</v>
      </c>
      <c r="W268">
        <f t="shared" ca="1" si="77"/>
        <v>11</v>
      </c>
      <c r="X268">
        <f t="shared" ca="1" si="78"/>
        <v>17</v>
      </c>
      <c r="Z268" t="b">
        <f t="shared" ca="1" si="79"/>
        <v>0</v>
      </c>
      <c r="AA268" t="b">
        <f t="shared" ca="1" si="80"/>
        <v>0</v>
      </c>
      <c r="AI268">
        <v>2033</v>
      </c>
      <c r="AJ268">
        <v>2</v>
      </c>
      <c r="AK268">
        <v>28</v>
      </c>
      <c r="AL268" t="s">
        <v>93</v>
      </c>
      <c r="AM268" t="s">
        <v>164</v>
      </c>
      <c r="AN268" t="s">
        <v>84</v>
      </c>
      <c r="AO268" s="1">
        <v>89</v>
      </c>
      <c r="AP268" t="s">
        <v>1512</v>
      </c>
    </row>
    <row r="269" spans="21:42" x14ac:dyDescent="0.25">
      <c r="U269" s="5">
        <f t="shared" ca="1" si="81"/>
        <v>46344.579874305557</v>
      </c>
      <c r="V269">
        <f t="shared" ca="1" si="76"/>
        <v>2026</v>
      </c>
      <c r="W269">
        <f t="shared" ca="1" si="77"/>
        <v>11</v>
      </c>
      <c r="X269">
        <f t="shared" ca="1" si="78"/>
        <v>18</v>
      </c>
      <c r="Z269" t="b">
        <f t="shared" ca="1" si="79"/>
        <v>0</v>
      </c>
      <c r="AA269" t="b">
        <f t="shared" ca="1" si="80"/>
        <v>0</v>
      </c>
      <c r="AI269">
        <v>2033</v>
      </c>
      <c r="AJ269">
        <v>3</v>
      </c>
      <c r="AK269">
        <v>1</v>
      </c>
      <c r="AL269" t="s">
        <v>91</v>
      </c>
      <c r="AM269" t="s">
        <v>164</v>
      </c>
      <c r="AN269" t="s">
        <v>85</v>
      </c>
      <c r="AO269" s="1">
        <v>287</v>
      </c>
      <c r="AP269" t="s">
        <v>122</v>
      </c>
    </row>
    <row r="270" spans="21:42" x14ac:dyDescent="0.25">
      <c r="U270" s="5">
        <f t="shared" ca="1" si="81"/>
        <v>46345.579874305557</v>
      </c>
      <c r="V270">
        <f t="shared" ca="1" si="76"/>
        <v>2026</v>
      </c>
      <c r="W270">
        <f t="shared" ca="1" si="77"/>
        <v>11</v>
      </c>
      <c r="X270">
        <f t="shared" ca="1" si="78"/>
        <v>19</v>
      </c>
      <c r="Z270" t="b">
        <f t="shared" ca="1" si="79"/>
        <v>0</v>
      </c>
      <c r="AA270" t="b">
        <f t="shared" ca="1" si="80"/>
        <v>0</v>
      </c>
      <c r="AI270">
        <v>2033</v>
      </c>
      <c r="AJ270">
        <v>3</v>
      </c>
      <c r="AK270">
        <v>2</v>
      </c>
      <c r="AL270" t="s">
        <v>89</v>
      </c>
      <c r="AM270" t="s">
        <v>204</v>
      </c>
      <c r="AN270" t="s">
        <v>86</v>
      </c>
      <c r="AO270" s="1">
        <v>239</v>
      </c>
      <c r="AP270" t="s">
        <v>139</v>
      </c>
    </row>
    <row r="271" spans="21:42" x14ac:dyDescent="0.25">
      <c r="U271" s="5">
        <f t="shared" ca="1" si="81"/>
        <v>46346.579874305557</v>
      </c>
      <c r="V271">
        <f t="shared" ca="1" si="76"/>
        <v>2026</v>
      </c>
      <c r="W271">
        <f t="shared" ca="1" si="77"/>
        <v>11</v>
      </c>
      <c r="X271">
        <f t="shared" ca="1" si="78"/>
        <v>20</v>
      </c>
      <c r="Z271" t="b">
        <f t="shared" ca="1" si="79"/>
        <v>0</v>
      </c>
      <c r="AA271" t="b">
        <f t="shared" ca="1" si="80"/>
        <v>0</v>
      </c>
      <c r="AI271">
        <v>2033</v>
      </c>
      <c r="AJ271">
        <v>3</v>
      </c>
      <c r="AK271">
        <v>14</v>
      </c>
      <c r="AL271" t="s">
        <v>45</v>
      </c>
      <c r="AM271" t="s">
        <v>161</v>
      </c>
      <c r="AN271" t="s">
        <v>1414</v>
      </c>
      <c r="AO271" s="1">
        <v>95</v>
      </c>
      <c r="AP271" t="s">
        <v>1502</v>
      </c>
    </row>
    <row r="272" spans="21:42" x14ac:dyDescent="0.25">
      <c r="U272" s="5">
        <f t="shared" ca="1" si="81"/>
        <v>46347.579874305557</v>
      </c>
      <c r="V272">
        <f t="shared" ca="1" si="76"/>
        <v>2026</v>
      </c>
      <c r="W272">
        <f t="shared" ca="1" si="77"/>
        <v>11</v>
      </c>
      <c r="X272">
        <f t="shared" ca="1" si="78"/>
        <v>21</v>
      </c>
      <c r="Z272" t="b">
        <f t="shared" ca="1" si="79"/>
        <v>0</v>
      </c>
      <c r="AA272" t="b">
        <f t="shared" ca="1" si="80"/>
        <v>0</v>
      </c>
      <c r="AI272">
        <v>2033</v>
      </c>
      <c r="AJ272">
        <v>3</v>
      </c>
      <c r="AK272">
        <v>21</v>
      </c>
      <c r="AL272" t="s">
        <v>56</v>
      </c>
      <c r="AM272" t="s">
        <v>184</v>
      </c>
      <c r="AN272" t="s">
        <v>84</v>
      </c>
      <c r="AO272" s="1">
        <v>73</v>
      </c>
      <c r="AP272" t="s">
        <v>123</v>
      </c>
    </row>
    <row r="273" spans="21:42" x14ac:dyDescent="0.25">
      <c r="U273" s="5">
        <f t="shared" ca="1" si="81"/>
        <v>46348.579874305557</v>
      </c>
      <c r="V273">
        <f t="shared" ca="1" si="76"/>
        <v>2026</v>
      </c>
      <c r="W273">
        <f t="shared" ca="1" si="77"/>
        <v>11</v>
      </c>
      <c r="X273">
        <f t="shared" ca="1" si="78"/>
        <v>22</v>
      </c>
      <c r="Z273" t="b">
        <f t="shared" ca="1" si="79"/>
        <v>0</v>
      </c>
      <c r="AA273" t="b">
        <f t="shared" ca="1" si="80"/>
        <v>0</v>
      </c>
      <c r="AI273">
        <v>2033</v>
      </c>
      <c r="AJ273">
        <v>4</v>
      </c>
      <c r="AK273">
        <v>1</v>
      </c>
      <c r="AL273" t="s">
        <v>91</v>
      </c>
      <c r="AM273" t="s">
        <v>164</v>
      </c>
      <c r="AN273" t="s">
        <v>85</v>
      </c>
      <c r="AO273" s="1">
        <v>265</v>
      </c>
      <c r="AP273" t="s">
        <v>124</v>
      </c>
    </row>
    <row r="274" spans="21:42" x14ac:dyDescent="0.25">
      <c r="U274" s="5">
        <f t="shared" ca="1" si="81"/>
        <v>46349.579874305557</v>
      </c>
      <c r="V274">
        <f t="shared" ca="1" si="76"/>
        <v>2026</v>
      </c>
      <c r="W274">
        <f t="shared" ca="1" si="77"/>
        <v>11</v>
      </c>
      <c r="X274">
        <f t="shared" ca="1" si="78"/>
        <v>23</v>
      </c>
      <c r="Z274" t="b">
        <f t="shared" ca="1" si="79"/>
        <v>0</v>
      </c>
      <c r="AA274" t="b">
        <f t="shared" ca="1" si="80"/>
        <v>0</v>
      </c>
      <c r="AI274">
        <v>2033</v>
      </c>
      <c r="AJ274">
        <v>4</v>
      </c>
      <c r="AK274">
        <v>15</v>
      </c>
      <c r="AL274" t="s">
        <v>54</v>
      </c>
      <c r="AM274" t="s">
        <v>181</v>
      </c>
      <c r="AN274" t="s">
        <v>83</v>
      </c>
      <c r="AO274" s="1">
        <v>213</v>
      </c>
      <c r="AP274" t="s">
        <v>148</v>
      </c>
    </row>
    <row r="275" spans="21:42" x14ac:dyDescent="0.25">
      <c r="U275" s="5">
        <f t="shared" ca="1" si="81"/>
        <v>46350.579874305557</v>
      </c>
      <c r="V275">
        <f t="shared" ca="1" si="76"/>
        <v>2026</v>
      </c>
      <c r="W275">
        <f t="shared" ca="1" si="77"/>
        <v>11</v>
      </c>
      <c r="X275">
        <f t="shared" ca="1" si="78"/>
        <v>24</v>
      </c>
      <c r="Z275" t="b">
        <f t="shared" ca="1" si="79"/>
        <v>0</v>
      </c>
      <c r="AA275" t="b">
        <f t="shared" ca="1" si="80"/>
        <v>0</v>
      </c>
      <c r="AI275">
        <v>2033</v>
      </c>
      <c r="AJ275">
        <v>4</v>
      </c>
      <c r="AK275">
        <v>17</v>
      </c>
      <c r="AL275" t="s">
        <v>58</v>
      </c>
      <c r="AM275" t="s">
        <v>158</v>
      </c>
      <c r="AN275" t="s">
        <v>261</v>
      </c>
      <c r="AO275" s="1">
        <v>95</v>
      </c>
      <c r="AP275" t="s">
        <v>12</v>
      </c>
    </row>
    <row r="276" spans="21:42" x14ac:dyDescent="0.25">
      <c r="U276" s="5">
        <f t="shared" ca="1" si="81"/>
        <v>46351.579874305557</v>
      </c>
      <c r="V276">
        <f t="shared" ca="1" si="76"/>
        <v>2026</v>
      </c>
      <c r="W276">
        <f t="shared" ca="1" si="77"/>
        <v>11</v>
      </c>
      <c r="X276">
        <f t="shared" ca="1" si="78"/>
        <v>25</v>
      </c>
      <c r="Z276" t="b">
        <f t="shared" ca="1" si="79"/>
        <v>0</v>
      </c>
      <c r="AA276" t="b">
        <f t="shared" ca="1" si="80"/>
        <v>0</v>
      </c>
      <c r="AI276">
        <v>2033</v>
      </c>
      <c r="AJ276">
        <v>4</v>
      </c>
      <c r="AK276">
        <v>18</v>
      </c>
      <c r="AL276" t="s">
        <v>58</v>
      </c>
      <c r="AM276" t="s">
        <v>198</v>
      </c>
      <c r="AN276" t="s">
        <v>265</v>
      </c>
      <c r="AO276" s="1">
        <v>260</v>
      </c>
      <c r="AP276" t="s">
        <v>1514</v>
      </c>
    </row>
    <row r="277" spans="21:42" x14ac:dyDescent="0.25">
      <c r="U277" s="5">
        <f t="shared" ca="1" si="81"/>
        <v>46352.579874305557</v>
      </c>
      <c r="V277">
        <f t="shared" ca="1" si="76"/>
        <v>2026</v>
      </c>
      <c r="W277">
        <f t="shared" ca="1" si="77"/>
        <v>11</v>
      </c>
      <c r="X277">
        <f t="shared" ca="1" si="78"/>
        <v>26</v>
      </c>
      <c r="Z277" t="b">
        <f t="shared" ca="1" si="79"/>
        <v>0</v>
      </c>
      <c r="AA277" t="b">
        <f t="shared" ca="1" si="80"/>
        <v>0</v>
      </c>
      <c r="AI277">
        <v>2033</v>
      </c>
      <c r="AJ277">
        <v>4</v>
      </c>
      <c r="AK277">
        <v>30</v>
      </c>
      <c r="AL277" t="s">
        <v>56</v>
      </c>
      <c r="AM277" t="s">
        <v>184</v>
      </c>
      <c r="AN277" t="s">
        <v>84</v>
      </c>
      <c r="AO277" s="1">
        <v>98</v>
      </c>
      <c r="AP277" t="s">
        <v>126</v>
      </c>
    </row>
    <row r="278" spans="21:42" x14ac:dyDescent="0.25">
      <c r="U278" s="5">
        <f t="shared" ca="1" si="81"/>
        <v>46353.579874305557</v>
      </c>
      <c r="V278">
        <f t="shared" ca="1" si="76"/>
        <v>2026</v>
      </c>
      <c r="W278">
        <f t="shared" ca="1" si="77"/>
        <v>11</v>
      </c>
      <c r="X278">
        <f t="shared" ca="1" si="78"/>
        <v>27</v>
      </c>
      <c r="Z278" t="b">
        <f t="shared" ca="1" si="79"/>
        <v>0</v>
      </c>
      <c r="AA278" t="b">
        <f t="shared" ca="1" si="80"/>
        <v>0</v>
      </c>
      <c r="AI278">
        <v>2033</v>
      </c>
      <c r="AJ278">
        <v>5</v>
      </c>
      <c r="AK278">
        <v>1</v>
      </c>
      <c r="AL278" t="s">
        <v>91</v>
      </c>
      <c r="AM278" t="s">
        <v>164</v>
      </c>
      <c r="AN278" t="s">
        <v>85</v>
      </c>
      <c r="AO278" s="1">
        <v>202</v>
      </c>
      <c r="AP278" t="s">
        <v>127</v>
      </c>
    </row>
    <row r="279" spans="21:42" x14ac:dyDescent="0.25">
      <c r="U279" s="5">
        <f t="shared" ca="1" si="81"/>
        <v>46354.579874305557</v>
      </c>
      <c r="V279">
        <f t="shared" ca="1" si="76"/>
        <v>2026</v>
      </c>
      <c r="W279">
        <f t="shared" ca="1" si="77"/>
        <v>11</v>
      </c>
      <c r="X279">
        <f t="shared" ca="1" si="78"/>
        <v>28</v>
      </c>
      <c r="Z279" t="b">
        <f t="shared" ca="1" si="79"/>
        <v>0</v>
      </c>
      <c r="AA279" t="b">
        <f t="shared" ca="1" si="80"/>
        <v>0</v>
      </c>
      <c r="AI279">
        <v>2033</v>
      </c>
      <c r="AJ279">
        <v>5</v>
      </c>
      <c r="AK279">
        <v>4</v>
      </c>
      <c r="AL279" t="s">
        <v>89</v>
      </c>
      <c r="AM279" t="s">
        <v>233</v>
      </c>
      <c r="AN279" t="s">
        <v>83</v>
      </c>
      <c r="AO279" s="1">
        <v>102</v>
      </c>
      <c r="AP279" t="s">
        <v>1366</v>
      </c>
    </row>
    <row r="280" spans="21:42" x14ac:dyDescent="0.25">
      <c r="U280" s="5">
        <f t="shared" ca="1" si="81"/>
        <v>46355.579874305557</v>
      </c>
      <c r="V280">
        <f t="shared" ca="1" si="76"/>
        <v>2026</v>
      </c>
      <c r="W280">
        <f t="shared" ca="1" si="77"/>
        <v>11</v>
      </c>
      <c r="X280">
        <f t="shared" ca="1" si="78"/>
        <v>29</v>
      </c>
      <c r="Z280" t="b">
        <f t="shared" ca="1" si="79"/>
        <v>0</v>
      </c>
      <c r="AA280" t="b">
        <f t="shared" ca="1" si="80"/>
        <v>0</v>
      </c>
      <c r="AI280">
        <v>2033</v>
      </c>
      <c r="AJ280">
        <v>5</v>
      </c>
      <c r="AK280">
        <v>5</v>
      </c>
      <c r="AL280" t="s">
        <v>93</v>
      </c>
      <c r="AM280" t="s">
        <v>152</v>
      </c>
      <c r="AN280" t="s">
        <v>84</v>
      </c>
      <c r="AO280" s="1">
        <v>64</v>
      </c>
      <c r="AP280" t="s">
        <v>107</v>
      </c>
    </row>
    <row r="281" spans="21:42" x14ac:dyDescent="0.25">
      <c r="U281" s="5">
        <f t="shared" ca="1" si="81"/>
        <v>46356.579874305557</v>
      </c>
      <c r="V281">
        <f t="shared" ca="1" si="76"/>
        <v>2026</v>
      </c>
      <c r="W281">
        <f t="shared" ca="1" si="77"/>
        <v>11</v>
      </c>
      <c r="X281">
        <f t="shared" ca="1" si="78"/>
        <v>30</v>
      </c>
      <c r="Z281" t="b">
        <f t="shared" ca="1" si="79"/>
        <v>0</v>
      </c>
      <c r="AA281" t="b">
        <f t="shared" ca="1" si="80"/>
        <v>0</v>
      </c>
      <c r="AI281">
        <v>2033</v>
      </c>
      <c r="AJ281">
        <v>5</v>
      </c>
      <c r="AK281">
        <v>10</v>
      </c>
      <c r="AL281" t="s">
        <v>56</v>
      </c>
      <c r="AM281" t="s">
        <v>184</v>
      </c>
      <c r="AN281" t="s">
        <v>84</v>
      </c>
      <c r="AO281" s="1">
        <v>73</v>
      </c>
      <c r="AP281" t="s">
        <v>128</v>
      </c>
    </row>
    <row r="282" spans="21:42" x14ac:dyDescent="0.25">
      <c r="U282" s="5">
        <f t="shared" ca="1" si="81"/>
        <v>46357.579874305557</v>
      </c>
      <c r="V282">
        <f t="shared" ca="1" si="76"/>
        <v>2026</v>
      </c>
      <c r="W282">
        <f t="shared" ca="1" si="77"/>
        <v>12</v>
      </c>
      <c r="X282">
        <f t="shared" ca="1" si="78"/>
        <v>1</v>
      </c>
      <c r="Z282" t="b">
        <f t="shared" ca="1" si="79"/>
        <v>0</v>
      </c>
      <c r="AA282" t="b">
        <f t="shared" ca="1" si="80"/>
        <v>0</v>
      </c>
      <c r="AI282">
        <v>2033</v>
      </c>
      <c r="AJ282">
        <v>5</v>
      </c>
      <c r="AK282">
        <v>26</v>
      </c>
      <c r="AL282" t="s">
        <v>44</v>
      </c>
      <c r="AM282" t="s">
        <v>227</v>
      </c>
      <c r="AN282" t="s">
        <v>83</v>
      </c>
      <c r="AO282" s="1">
        <v>127</v>
      </c>
      <c r="AP282" t="s">
        <v>14</v>
      </c>
    </row>
    <row r="283" spans="21:42" x14ac:dyDescent="0.25">
      <c r="U283" s="5">
        <f t="shared" ca="1" si="81"/>
        <v>46358.579874305557</v>
      </c>
      <c r="V283">
        <f t="shared" ca="1" si="76"/>
        <v>2026</v>
      </c>
      <c r="W283">
        <f t="shared" ca="1" si="77"/>
        <v>12</v>
      </c>
      <c r="X283">
        <f t="shared" ca="1" si="78"/>
        <v>2</v>
      </c>
      <c r="Z283" t="b">
        <f t="shared" ca="1" si="79"/>
        <v>0</v>
      </c>
      <c r="AA283" t="b">
        <f t="shared" ca="1" si="80"/>
        <v>0</v>
      </c>
      <c r="AI283">
        <v>2033</v>
      </c>
      <c r="AJ283">
        <v>6</v>
      </c>
      <c r="AK283">
        <v>1</v>
      </c>
      <c r="AL283" t="s">
        <v>91</v>
      </c>
      <c r="AM283" t="s">
        <v>164</v>
      </c>
      <c r="AN283" t="s">
        <v>85</v>
      </c>
      <c r="AO283" s="1">
        <v>157</v>
      </c>
      <c r="AP283" t="s">
        <v>130</v>
      </c>
    </row>
    <row r="284" spans="21:42" x14ac:dyDescent="0.25">
      <c r="U284" s="5">
        <f t="shared" ca="1" si="81"/>
        <v>46359.579874305557</v>
      </c>
      <c r="V284">
        <f t="shared" ca="1" si="76"/>
        <v>2026</v>
      </c>
      <c r="W284">
        <f t="shared" ca="1" si="77"/>
        <v>12</v>
      </c>
      <c r="X284">
        <f t="shared" ca="1" si="78"/>
        <v>3</v>
      </c>
      <c r="Z284" t="b">
        <f t="shared" ca="1" si="79"/>
        <v>0</v>
      </c>
      <c r="AA284" t="b">
        <f t="shared" ca="1" si="80"/>
        <v>0</v>
      </c>
      <c r="AI284">
        <v>2033</v>
      </c>
      <c r="AJ284">
        <v>6</v>
      </c>
      <c r="AK284">
        <v>5</v>
      </c>
      <c r="AL284" t="s">
        <v>49</v>
      </c>
      <c r="AM284" t="s">
        <v>167</v>
      </c>
      <c r="AN284" t="s">
        <v>85</v>
      </c>
      <c r="AO284" s="1">
        <v>145</v>
      </c>
      <c r="AP284" t="s">
        <v>24</v>
      </c>
    </row>
    <row r="285" spans="21:42" x14ac:dyDescent="0.25">
      <c r="U285" s="5">
        <f t="shared" ca="1" si="81"/>
        <v>46360.579874305557</v>
      </c>
      <c r="V285">
        <f t="shared" ca="1" si="76"/>
        <v>2026</v>
      </c>
      <c r="W285">
        <f t="shared" ca="1" si="77"/>
        <v>12</v>
      </c>
      <c r="X285">
        <f t="shared" ca="1" si="78"/>
        <v>4</v>
      </c>
      <c r="Z285" t="b">
        <f t="shared" ca="1" si="79"/>
        <v>0</v>
      </c>
      <c r="AA285" t="b">
        <f t="shared" ca="1" si="80"/>
        <v>0</v>
      </c>
      <c r="AI285">
        <v>2033</v>
      </c>
      <c r="AJ285">
        <v>6</v>
      </c>
      <c r="AK285">
        <v>6</v>
      </c>
      <c r="AL285" t="s">
        <v>49</v>
      </c>
      <c r="AM285" t="s">
        <v>167</v>
      </c>
      <c r="AN285" t="s">
        <v>85</v>
      </c>
      <c r="AO285" s="1">
        <v>169</v>
      </c>
      <c r="AP285" t="s">
        <v>1392</v>
      </c>
    </row>
    <row r="286" spans="21:42" x14ac:dyDescent="0.25">
      <c r="U286" s="5">
        <f t="shared" ca="1" si="81"/>
        <v>46361.579874305557</v>
      </c>
      <c r="V286">
        <f t="shared" ca="1" si="76"/>
        <v>2026</v>
      </c>
      <c r="W286">
        <f t="shared" ca="1" si="77"/>
        <v>12</v>
      </c>
      <c r="X286">
        <f t="shared" ca="1" si="78"/>
        <v>5</v>
      </c>
      <c r="Z286" t="b">
        <f t="shared" ca="1" si="79"/>
        <v>0</v>
      </c>
      <c r="AA286" t="b">
        <f t="shared" ca="1" si="80"/>
        <v>0</v>
      </c>
      <c r="AI286">
        <v>2033</v>
      </c>
      <c r="AJ286">
        <v>6</v>
      </c>
      <c r="AK286">
        <v>24</v>
      </c>
      <c r="AL286" t="s">
        <v>93</v>
      </c>
      <c r="AM286" t="s">
        <v>158</v>
      </c>
      <c r="AN286" t="s">
        <v>1413</v>
      </c>
      <c r="AO286" s="1">
        <v>61</v>
      </c>
      <c r="AP286" t="s">
        <v>1372</v>
      </c>
    </row>
    <row r="287" spans="21:42" x14ac:dyDescent="0.25">
      <c r="U287" s="5">
        <f t="shared" ca="1" si="81"/>
        <v>46362.579874305557</v>
      </c>
      <c r="V287">
        <f t="shared" ca="1" si="76"/>
        <v>2026</v>
      </c>
      <c r="W287">
        <f t="shared" ca="1" si="77"/>
        <v>12</v>
      </c>
      <c r="X287">
        <f t="shared" ca="1" si="78"/>
        <v>6</v>
      </c>
      <c r="Z287" t="b">
        <f t="shared" ca="1" si="79"/>
        <v>0</v>
      </c>
      <c r="AA287" t="b">
        <f t="shared" ca="1" si="80"/>
        <v>0</v>
      </c>
      <c r="AI287">
        <v>2033</v>
      </c>
      <c r="AJ287">
        <v>7</v>
      </c>
      <c r="AK287">
        <v>1</v>
      </c>
      <c r="AL287" t="s">
        <v>91</v>
      </c>
      <c r="AM287" t="s">
        <v>164</v>
      </c>
      <c r="AN287" t="s">
        <v>85</v>
      </c>
      <c r="AO287" s="1">
        <v>171</v>
      </c>
      <c r="AP287" t="s">
        <v>131</v>
      </c>
    </row>
    <row r="288" spans="21:42" x14ac:dyDescent="0.25">
      <c r="U288" s="5">
        <f t="shared" ca="1" si="81"/>
        <v>46363.579874305557</v>
      </c>
      <c r="V288">
        <f t="shared" ca="1" si="76"/>
        <v>2026</v>
      </c>
      <c r="W288">
        <f t="shared" ca="1" si="77"/>
        <v>12</v>
      </c>
      <c r="X288">
        <f t="shared" ca="1" si="78"/>
        <v>7</v>
      </c>
      <c r="Z288" t="b">
        <f t="shared" ca="1" si="79"/>
        <v>0</v>
      </c>
      <c r="AA288" t="b">
        <f t="shared" ca="1" si="80"/>
        <v>0</v>
      </c>
      <c r="AI288">
        <v>2033</v>
      </c>
      <c r="AJ288">
        <v>8</v>
      </c>
      <c r="AK288">
        <v>1</v>
      </c>
      <c r="AL288" t="s">
        <v>91</v>
      </c>
      <c r="AM288" t="s">
        <v>164</v>
      </c>
      <c r="AN288" t="s">
        <v>85</v>
      </c>
      <c r="AO288" s="1">
        <v>231</v>
      </c>
      <c r="AP288" t="s">
        <v>132</v>
      </c>
    </row>
    <row r="289" spans="21:42" x14ac:dyDescent="0.25">
      <c r="U289" s="5">
        <f t="shared" ca="1" si="81"/>
        <v>46364.579874305557</v>
      </c>
      <c r="V289">
        <f t="shared" ca="1" si="76"/>
        <v>2026</v>
      </c>
      <c r="W289">
        <f t="shared" ca="1" si="77"/>
        <v>12</v>
      </c>
      <c r="X289">
        <f t="shared" ca="1" si="78"/>
        <v>8</v>
      </c>
      <c r="Z289" t="b">
        <f t="shared" ca="1" si="79"/>
        <v>0</v>
      </c>
      <c r="AA289" t="b">
        <f t="shared" ca="1" si="80"/>
        <v>0</v>
      </c>
      <c r="AI289">
        <v>2033</v>
      </c>
      <c r="AJ289">
        <v>9</v>
      </c>
      <c r="AK289">
        <v>1</v>
      </c>
      <c r="AL289" t="s">
        <v>91</v>
      </c>
      <c r="AM289" t="s">
        <v>164</v>
      </c>
      <c r="AN289" t="s">
        <v>85</v>
      </c>
      <c r="AO289" s="1">
        <v>282</v>
      </c>
      <c r="AP289" t="s">
        <v>133</v>
      </c>
    </row>
    <row r="290" spans="21:42" x14ac:dyDescent="0.25">
      <c r="U290" s="5">
        <f t="shared" ca="1" si="81"/>
        <v>46365.579874305557</v>
      </c>
      <c r="V290">
        <f t="shared" ca="1" si="76"/>
        <v>2026</v>
      </c>
      <c r="W290">
        <f t="shared" ca="1" si="77"/>
        <v>12</v>
      </c>
      <c r="X290">
        <f t="shared" ca="1" si="78"/>
        <v>9</v>
      </c>
      <c r="Z290" t="b">
        <f t="shared" ca="1" si="79"/>
        <v>0</v>
      </c>
      <c r="AA290" t="b">
        <f t="shared" ca="1" si="80"/>
        <v>0</v>
      </c>
      <c r="AI290">
        <v>2033</v>
      </c>
      <c r="AJ290">
        <v>10</v>
      </c>
      <c r="AK290">
        <v>1</v>
      </c>
      <c r="AL290" t="s">
        <v>91</v>
      </c>
      <c r="AM290" t="s">
        <v>164</v>
      </c>
      <c r="AN290" t="s">
        <v>85</v>
      </c>
      <c r="AO290" s="1">
        <v>277</v>
      </c>
      <c r="AP290" t="s">
        <v>134</v>
      </c>
    </row>
    <row r="291" spans="21:42" x14ac:dyDescent="0.25">
      <c r="U291" s="5">
        <f t="shared" ca="1" si="81"/>
        <v>46366.579874305557</v>
      </c>
      <c r="V291">
        <f t="shared" ca="1" si="76"/>
        <v>2026</v>
      </c>
      <c r="W291">
        <f t="shared" ca="1" si="77"/>
        <v>12</v>
      </c>
      <c r="X291">
        <f t="shared" ca="1" si="78"/>
        <v>10</v>
      </c>
      <c r="Z291" t="b">
        <f t="shared" ca="1" si="79"/>
        <v>0</v>
      </c>
      <c r="AA291" t="b">
        <f t="shared" ca="1" si="80"/>
        <v>0</v>
      </c>
      <c r="AI291">
        <v>2033</v>
      </c>
      <c r="AJ291">
        <v>10</v>
      </c>
      <c r="AK291">
        <v>8</v>
      </c>
      <c r="AL291" t="s">
        <v>56</v>
      </c>
      <c r="AM291" t="s">
        <v>184</v>
      </c>
      <c r="AN291" t="s">
        <v>84</v>
      </c>
      <c r="AO291" s="1">
        <v>105</v>
      </c>
      <c r="AP291" t="s">
        <v>135</v>
      </c>
    </row>
    <row r="292" spans="21:42" x14ac:dyDescent="0.25">
      <c r="U292" s="5">
        <f t="shared" ca="1" si="81"/>
        <v>46367.579874305557</v>
      </c>
      <c r="V292">
        <f t="shared" ca="1" si="76"/>
        <v>2026</v>
      </c>
      <c r="W292">
        <f t="shared" ca="1" si="77"/>
        <v>12</v>
      </c>
      <c r="X292">
        <f t="shared" ca="1" si="78"/>
        <v>11</v>
      </c>
      <c r="Z292" t="b">
        <f t="shared" ca="1" si="79"/>
        <v>0</v>
      </c>
      <c r="AA292" t="b">
        <f t="shared" ca="1" si="80"/>
        <v>0</v>
      </c>
      <c r="AI292">
        <v>2033</v>
      </c>
      <c r="AJ292">
        <v>11</v>
      </c>
      <c r="AK292">
        <v>1</v>
      </c>
      <c r="AL292" t="s">
        <v>91</v>
      </c>
      <c r="AM292" t="s">
        <v>164</v>
      </c>
      <c r="AN292" t="s">
        <v>85</v>
      </c>
      <c r="AO292" s="1">
        <v>221</v>
      </c>
      <c r="AP292" t="s">
        <v>136</v>
      </c>
    </row>
    <row r="293" spans="21:42" x14ac:dyDescent="0.25">
      <c r="U293" s="5">
        <f t="shared" ca="1" si="81"/>
        <v>46368.579874305557</v>
      </c>
      <c r="V293">
        <f t="shared" ca="1" si="76"/>
        <v>2026</v>
      </c>
      <c r="W293">
        <f t="shared" ca="1" si="77"/>
        <v>12</v>
      </c>
      <c r="X293">
        <f t="shared" ca="1" si="78"/>
        <v>12</v>
      </c>
      <c r="Z293" t="b">
        <f t="shared" ca="1" si="79"/>
        <v>0</v>
      </c>
      <c r="AA293" t="b">
        <f t="shared" ca="1" si="80"/>
        <v>0</v>
      </c>
      <c r="AI293">
        <v>2033</v>
      </c>
      <c r="AJ293">
        <v>12</v>
      </c>
      <c r="AK293">
        <v>1</v>
      </c>
      <c r="AL293" t="s">
        <v>91</v>
      </c>
      <c r="AM293" t="s">
        <v>164</v>
      </c>
      <c r="AN293" t="s">
        <v>85</v>
      </c>
      <c r="AO293" s="1">
        <v>165</v>
      </c>
      <c r="AP293" t="s">
        <v>137</v>
      </c>
    </row>
    <row r="294" spans="21:42" x14ac:dyDescent="0.25">
      <c r="U294" s="5">
        <f t="shared" ca="1" si="81"/>
        <v>46369.579874305557</v>
      </c>
      <c r="V294">
        <f t="shared" ca="1" si="76"/>
        <v>2026</v>
      </c>
      <c r="W294">
        <f t="shared" ca="1" si="77"/>
        <v>12</v>
      </c>
      <c r="X294">
        <f t="shared" ca="1" si="78"/>
        <v>13</v>
      </c>
      <c r="Z294" t="b">
        <f t="shared" ca="1" si="79"/>
        <v>0</v>
      </c>
      <c r="AA294" t="b">
        <f t="shared" ca="1" si="80"/>
        <v>0</v>
      </c>
      <c r="AI294">
        <v>2033</v>
      </c>
      <c r="AJ294">
        <v>12</v>
      </c>
      <c r="AK294">
        <v>5</v>
      </c>
      <c r="AL294" t="s">
        <v>53</v>
      </c>
      <c r="AM294" t="s">
        <v>224</v>
      </c>
      <c r="AN294" t="s">
        <v>258</v>
      </c>
      <c r="AO294" s="1">
        <v>113</v>
      </c>
      <c r="AP294" t="s">
        <v>1234</v>
      </c>
    </row>
    <row r="295" spans="21:42" x14ac:dyDescent="0.25">
      <c r="U295" s="5">
        <f t="shared" ca="1" si="81"/>
        <v>46370.579874305557</v>
      </c>
      <c r="V295">
        <f t="shared" ca="1" si="76"/>
        <v>2026</v>
      </c>
      <c r="W295">
        <f t="shared" ca="1" si="77"/>
        <v>12</v>
      </c>
      <c r="X295">
        <f t="shared" ca="1" si="78"/>
        <v>14</v>
      </c>
      <c r="Z295" t="b">
        <f t="shared" ca="1" si="79"/>
        <v>0</v>
      </c>
      <c r="AA295" t="b">
        <f t="shared" ca="1" si="80"/>
        <v>0</v>
      </c>
      <c r="AI295">
        <v>2033</v>
      </c>
      <c r="AJ295">
        <v>12</v>
      </c>
      <c r="AK295">
        <v>13</v>
      </c>
      <c r="AL295" t="s">
        <v>56</v>
      </c>
      <c r="AM295" t="s">
        <v>184</v>
      </c>
      <c r="AN295" t="s">
        <v>84</v>
      </c>
      <c r="AO295" s="1">
        <v>114</v>
      </c>
      <c r="AP295" t="s">
        <v>138</v>
      </c>
    </row>
    <row r="296" spans="21:42" x14ac:dyDescent="0.25">
      <c r="U296" s="5">
        <f t="shared" ca="1" si="81"/>
        <v>46371.579874305557</v>
      </c>
      <c r="V296">
        <f t="shared" ca="1" si="76"/>
        <v>2026</v>
      </c>
      <c r="W296">
        <f t="shared" ca="1" si="77"/>
        <v>12</v>
      </c>
      <c r="X296">
        <f t="shared" ca="1" si="78"/>
        <v>15</v>
      </c>
      <c r="Z296" t="b">
        <f t="shared" ca="1" si="79"/>
        <v>0</v>
      </c>
      <c r="AA296" t="b">
        <f t="shared" ca="1" si="80"/>
        <v>0</v>
      </c>
      <c r="AI296">
        <v>2033</v>
      </c>
      <c r="AJ296">
        <v>12</v>
      </c>
      <c r="AK296">
        <v>25</v>
      </c>
      <c r="AL296" t="s">
        <v>43</v>
      </c>
      <c r="AM296" t="s">
        <v>230</v>
      </c>
      <c r="AN296" t="s">
        <v>1412</v>
      </c>
      <c r="AO296" s="1">
        <v>95</v>
      </c>
      <c r="AP296" t="s">
        <v>7</v>
      </c>
    </row>
    <row r="297" spans="21:42" x14ac:dyDescent="0.25">
      <c r="U297" s="5">
        <f t="shared" ca="1" si="81"/>
        <v>46372.579874305557</v>
      </c>
      <c r="V297">
        <f t="shared" ca="1" si="76"/>
        <v>2026</v>
      </c>
      <c r="W297">
        <f t="shared" ca="1" si="77"/>
        <v>12</v>
      </c>
      <c r="X297">
        <f t="shared" ca="1" si="78"/>
        <v>16</v>
      </c>
      <c r="Z297" t="b">
        <f t="shared" ca="1" si="79"/>
        <v>0</v>
      </c>
      <c r="AA297" t="b">
        <f t="shared" ca="1" si="80"/>
        <v>0</v>
      </c>
      <c r="AI297">
        <v>2033</v>
      </c>
      <c r="AJ297">
        <v>12</v>
      </c>
      <c r="AK297">
        <v>26</v>
      </c>
      <c r="AL297" t="s">
        <v>43</v>
      </c>
      <c r="AM297" t="s">
        <v>201</v>
      </c>
      <c r="AN297" t="s">
        <v>86</v>
      </c>
      <c r="AO297" s="1">
        <v>108</v>
      </c>
      <c r="AP297" t="s">
        <v>78</v>
      </c>
    </row>
    <row r="298" spans="21:42" x14ac:dyDescent="0.25">
      <c r="U298" s="5">
        <f t="shared" ca="1" si="81"/>
        <v>46373.579874305557</v>
      </c>
      <c r="V298">
        <f t="shared" ca="1" si="76"/>
        <v>2026</v>
      </c>
      <c r="W298">
        <f t="shared" ca="1" si="77"/>
        <v>12</v>
      </c>
      <c r="X298">
        <f t="shared" ca="1" si="78"/>
        <v>17</v>
      </c>
      <c r="Z298" t="b">
        <f t="shared" ca="1" si="79"/>
        <v>0</v>
      </c>
      <c r="AA298" t="b">
        <f t="shared" ca="1" si="80"/>
        <v>0</v>
      </c>
      <c r="AI298">
        <v>2033</v>
      </c>
      <c r="AJ298">
        <v>12</v>
      </c>
      <c r="AK298">
        <v>28</v>
      </c>
      <c r="AL298" t="s">
        <v>52</v>
      </c>
      <c r="AM298" t="s">
        <v>245</v>
      </c>
      <c r="AN298" t="s">
        <v>1412</v>
      </c>
      <c r="AO298" s="1">
        <v>77</v>
      </c>
      <c r="AP298" t="s">
        <v>1370</v>
      </c>
    </row>
    <row r="299" spans="21:42" x14ac:dyDescent="0.25">
      <c r="U299" s="5">
        <f t="shared" ca="1" si="81"/>
        <v>46374.579874305557</v>
      </c>
      <c r="V299">
        <f t="shared" ca="1" si="76"/>
        <v>2026</v>
      </c>
      <c r="W299">
        <f t="shared" ca="1" si="77"/>
        <v>12</v>
      </c>
      <c r="X299">
        <f t="shared" ca="1" si="78"/>
        <v>18</v>
      </c>
      <c r="Z299" t="b">
        <f t="shared" ca="1" si="79"/>
        <v>0</v>
      </c>
      <c r="AA299" t="b">
        <f t="shared" ca="1" si="80"/>
        <v>0</v>
      </c>
      <c r="AI299">
        <v>2034</v>
      </c>
      <c r="AJ299">
        <v>1</v>
      </c>
      <c r="AK299">
        <v>1</v>
      </c>
      <c r="AL299" t="s">
        <v>93</v>
      </c>
      <c r="AM299" t="s">
        <v>256</v>
      </c>
      <c r="AN299" t="s">
        <v>83</v>
      </c>
      <c r="AO299" s="1">
        <v>77</v>
      </c>
      <c r="AP299" t="s">
        <v>8</v>
      </c>
    </row>
    <row r="300" spans="21:42" x14ac:dyDescent="0.25">
      <c r="U300" s="5">
        <f t="shared" ca="1" si="81"/>
        <v>46375.579874305557</v>
      </c>
      <c r="V300">
        <f t="shared" ca="1" si="76"/>
        <v>2026</v>
      </c>
      <c r="W300">
        <f t="shared" ca="1" si="77"/>
        <v>12</v>
      </c>
      <c r="X300">
        <f t="shared" ca="1" si="78"/>
        <v>19</v>
      </c>
      <c r="Z300" t="b">
        <f t="shared" ca="1" si="79"/>
        <v>0</v>
      </c>
      <c r="AA300" t="b">
        <f t="shared" ca="1" si="80"/>
        <v>0</v>
      </c>
      <c r="AI300">
        <v>2034</v>
      </c>
      <c r="AJ300">
        <v>2</v>
      </c>
      <c r="AK300">
        <v>1</v>
      </c>
      <c r="AL300" t="s">
        <v>91</v>
      </c>
      <c r="AM300" t="s">
        <v>164</v>
      </c>
      <c r="AN300" t="s">
        <v>85</v>
      </c>
      <c r="AO300" s="1">
        <v>249</v>
      </c>
      <c r="AP300" t="s">
        <v>1498</v>
      </c>
    </row>
    <row r="301" spans="21:42" x14ac:dyDescent="0.25">
      <c r="U301" s="5">
        <f t="shared" ca="1" si="81"/>
        <v>46376.579874305557</v>
      </c>
      <c r="V301">
        <f t="shared" ca="1" si="76"/>
        <v>2026</v>
      </c>
      <c r="W301">
        <f t="shared" ca="1" si="77"/>
        <v>12</v>
      </c>
      <c r="X301">
        <f t="shared" ca="1" si="78"/>
        <v>20</v>
      </c>
      <c r="Z301" t="b">
        <f t="shared" ca="1" si="79"/>
        <v>0</v>
      </c>
      <c r="AA301" t="b">
        <f t="shared" ca="1" si="80"/>
        <v>0</v>
      </c>
      <c r="AI301">
        <v>2034</v>
      </c>
      <c r="AJ301">
        <v>2</v>
      </c>
      <c r="AK301">
        <v>14</v>
      </c>
      <c r="AL301" t="s">
        <v>93</v>
      </c>
      <c r="AM301" t="s">
        <v>1393</v>
      </c>
      <c r="AN301" t="s">
        <v>258</v>
      </c>
      <c r="AO301" s="1">
        <v>70</v>
      </c>
      <c r="AP301" t="s">
        <v>1374</v>
      </c>
    </row>
    <row r="302" spans="21:42" x14ac:dyDescent="0.25">
      <c r="U302" s="5">
        <f t="shared" ca="1" si="81"/>
        <v>46377.579874305557</v>
      </c>
      <c r="V302">
        <f t="shared" ca="1" si="76"/>
        <v>2026</v>
      </c>
      <c r="W302">
        <f t="shared" ca="1" si="77"/>
        <v>12</v>
      </c>
      <c r="X302">
        <f t="shared" ca="1" si="78"/>
        <v>21</v>
      </c>
      <c r="Z302" t="b">
        <f t="shared" ca="1" si="79"/>
        <v>0</v>
      </c>
      <c r="AA302" t="b">
        <f t="shared" ca="1" si="80"/>
        <v>0</v>
      </c>
      <c r="AI302">
        <v>2034</v>
      </c>
      <c r="AJ302">
        <v>2</v>
      </c>
      <c r="AK302">
        <v>19</v>
      </c>
      <c r="AL302" t="s">
        <v>93</v>
      </c>
      <c r="AM302" t="s">
        <v>164</v>
      </c>
      <c r="AN302" t="s">
        <v>84</v>
      </c>
      <c r="AO302" s="1">
        <v>104</v>
      </c>
      <c r="AP302" t="s">
        <v>1500</v>
      </c>
    </row>
    <row r="303" spans="21:42" x14ac:dyDescent="0.25">
      <c r="U303" s="5">
        <f t="shared" ca="1" si="81"/>
        <v>46378.579874305557</v>
      </c>
      <c r="V303">
        <f t="shared" ca="1" si="76"/>
        <v>2026</v>
      </c>
      <c r="W303">
        <f t="shared" ca="1" si="77"/>
        <v>12</v>
      </c>
      <c r="X303">
        <f t="shared" ca="1" si="78"/>
        <v>22</v>
      </c>
      <c r="Z303" t="b">
        <f t="shared" ca="1" si="79"/>
        <v>0</v>
      </c>
      <c r="AA303" t="b">
        <f t="shared" ca="1" si="80"/>
        <v>0</v>
      </c>
      <c r="AI303">
        <v>2034</v>
      </c>
      <c r="AJ303">
        <v>2</v>
      </c>
      <c r="AK303">
        <v>19</v>
      </c>
      <c r="AL303" t="s">
        <v>93</v>
      </c>
      <c r="AM303" t="s">
        <v>164</v>
      </c>
      <c r="AN303" t="s">
        <v>84</v>
      </c>
      <c r="AO303" s="1">
        <v>80</v>
      </c>
      <c r="AP303" t="s">
        <v>1511</v>
      </c>
    </row>
    <row r="304" spans="21:42" x14ac:dyDescent="0.25">
      <c r="U304" s="5">
        <f t="shared" ca="1" si="81"/>
        <v>46379.579874305557</v>
      </c>
      <c r="V304">
        <f t="shared" ca="1" si="76"/>
        <v>2026</v>
      </c>
      <c r="W304">
        <f t="shared" ca="1" si="77"/>
        <v>12</v>
      </c>
      <c r="X304">
        <f t="shared" ca="1" si="78"/>
        <v>23</v>
      </c>
      <c r="Z304" t="b">
        <f t="shared" ca="1" si="79"/>
        <v>0</v>
      </c>
      <c r="AA304" t="b">
        <f t="shared" ca="1" si="80"/>
        <v>0</v>
      </c>
      <c r="AI304">
        <v>2034</v>
      </c>
      <c r="AJ304">
        <v>2</v>
      </c>
      <c r="AK304">
        <v>20</v>
      </c>
      <c r="AL304" t="s">
        <v>93</v>
      </c>
      <c r="AM304" t="s">
        <v>164</v>
      </c>
      <c r="AN304" t="s">
        <v>84</v>
      </c>
      <c r="AO304" s="1">
        <v>94</v>
      </c>
      <c r="AP304" t="s">
        <v>1513</v>
      </c>
    </row>
    <row r="305" spans="21:42" x14ac:dyDescent="0.25">
      <c r="U305" s="5">
        <f t="shared" ca="1" si="81"/>
        <v>46380.579874305557</v>
      </c>
      <c r="V305">
        <f t="shared" ca="1" si="76"/>
        <v>2026</v>
      </c>
      <c r="W305">
        <f t="shared" ca="1" si="77"/>
        <v>12</v>
      </c>
      <c r="X305">
        <f t="shared" ca="1" si="78"/>
        <v>24</v>
      </c>
      <c r="Z305" t="b">
        <f t="shared" ca="1" si="79"/>
        <v>0</v>
      </c>
      <c r="AA305" t="b">
        <f t="shared" ca="1" si="80"/>
        <v>0</v>
      </c>
      <c r="AI305">
        <v>2034</v>
      </c>
      <c r="AJ305">
        <v>2</v>
      </c>
      <c r="AK305">
        <v>22</v>
      </c>
      <c r="AL305" t="s">
        <v>89</v>
      </c>
      <c r="AM305" t="s">
        <v>204</v>
      </c>
      <c r="AN305" t="s">
        <v>86</v>
      </c>
      <c r="AO305" s="1">
        <v>197</v>
      </c>
      <c r="AP305" t="s">
        <v>143</v>
      </c>
    </row>
    <row r="306" spans="21:42" x14ac:dyDescent="0.25">
      <c r="U306" s="5">
        <f t="shared" ca="1" si="81"/>
        <v>46381.579874305557</v>
      </c>
      <c r="V306">
        <f t="shared" ca="1" si="76"/>
        <v>2026</v>
      </c>
      <c r="W306">
        <f t="shared" ca="1" si="77"/>
        <v>12</v>
      </c>
      <c r="X306">
        <f t="shared" ca="1" si="78"/>
        <v>25</v>
      </c>
      <c r="Z306" t="b">
        <f t="shared" ca="1" si="79"/>
        <v>0</v>
      </c>
      <c r="AA306" t="b">
        <f t="shared" ca="1" si="80"/>
        <v>0</v>
      </c>
      <c r="AI306">
        <v>2034</v>
      </c>
      <c r="AJ306">
        <v>3</v>
      </c>
      <c r="AK306">
        <v>1</v>
      </c>
      <c r="AL306" t="s">
        <v>91</v>
      </c>
      <c r="AM306" t="s">
        <v>164</v>
      </c>
      <c r="AN306" t="s">
        <v>85</v>
      </c>
      <c r="AO306" s="1">
        <v>287</v>
      </c>
      <c r="AP306" t="s">
        <v>122</v>
      </c>
    </row>
    <row r="307" spans="21:42" x14ac:dyDescent="0.25">
      <c r="U307" s="5">
        <f t="shared" ca="1" si="81"/>
        <v>46382.579874305557</v>
      </c>
      <c r="V307">
        <f t="shared" ca="1" si="76"/>
        <v>2026</v>
      </c>
      <c r="W307">
        <f t="shared" ca="1" si="77"/>
        <v>12</v>
      </c>
      <c r="X307">
        <f t="shared" ca="1" si="78"/>
        <v>26</v>
      </c>
      <c r="Z307" t="b">
        <f t="shared" ca="1" si="79"/>
        <v>0</v>
      </c>
      <c r="AA307" t="b">
        <f t="shared" ca="1" si="80"/>
        <v>0</v>
      </c>
      <c r="AI307">
        <v>2034</v>
      </c>
      <c r="AJ307">
        <v>3</v>
      </c>
      <c r="AK307">
        <v>14</v>
      </c>
      <c r="AL307" t="s">
        <v>45</v>
      </c>
      <c r="AM307" t="s">
        <v>161</v>
      </c>
      <c r="AN307" t="s">
        <v>1414</v>
      </c>
      <c r="AO307" s="1">
        <v>95</v>
      </c>
      <c r="AP307" t="s">
        <v>1502</v>
      </c>
    </row>
    <row r="308" spans="21:42" x14ac:dyDescent="0.25">
      <c r="U308" s="5">
        <f t="shared" ca="1" si="81"/>
        <v>46383.579874305557</v>
      </c>
      <c r="V308">
        <f t="shared" ca="1" si="76"/>
        <v>2026</v>
      </c>
      <c r="W308">
        <f t="shared" ca="1" si="77"/>
        <v>12</v>
      </c>
      <c r="X308">
        <f t="shared" ca="1" si="78"/>
        <v>27</v>
      </c>
      <c r="Z308" t="b">
        <f t="shared" ca="1" si="79"/>
        <v>0</v>
      </c>
      <c r="AA308" t="b">
        <f t="shared" ca="1" si="80"/>
        <v>0</v>
      </c>
      <c r="AI308">
        <v>2034</v>
      </c>
      <c r="AJ308">
        <v>3</v>
      </c>
      <c r="AK308">
        <v>21</v>
      </c>
      <c r="AL308" t="s">
        <v>56</v>
      </c>
      <c r="AM308" t="s">
        <v>184</v>
      </c>
      <c r="AN308" t="s">
        <v>84</v>
      </c>
      <c r="AO308" s="1">
        <v>73</v>
      </c>
      <c r="AP308" t="s">
        <v>123</v>
      </c>
    </row>
    <row r="309" spans="21:42" x14ac:dyDescent="0.25">
      <c r="U309" s="5">
        <f t="shared" ca="1" si="81"/>
        <v>46384.579874305557</v>
      </c>
      <c r="V309">
        <f t="shared" ca="1" si="76"/>
        <v>2026</v>
      </c>
      <c r="W309">
        <f t="shared" ca="1" si="77"/>
        <v>12</v>
      </c>
      <c r="X309">
        <f t="shared" ca="1" si="78"/>
        <v>28</v>
      </c>
      <c r="Z309" t="b">
        <f t="shared" ca="1" si="79"/>
        <v>0</v>
      </c>
      <c r="AA309" t="b">
        <f t="shared" ca="1" si="80"/>
        <v>0</v>
      </c>
      <c r="AI309">
        <v>2034</v>
      </c>
      <c r="AJ309">
        <v>4</v>
      </c>
      <c r="AK309">
        <v>1</v>
      </c>
      <c r="AL309" t="s">
        <v>91</v>
      </c>
      <c r="AM309" t="s">
        <v>164</v>
      </c>
      <c r="AN309" t="s">
        <v>85</v>
      </c>
      <c r="AO309" s="1">
        <v>265</v>
      </c>
      <c r="AP309" t="s">
        <v>124</v>
      </c>
    </row>
    <row r="310" spans="21:42" x14ac:dyDescent="0.25">
      <c r="U310" s="5">
        <f t="shared" ca="1" si="81"/>
        <v>46385.579874305557</v>
      </c>
      <c r="V310">
        <f t="shared" ca="1" si="76"/>
        <v>2026</v>
      </c>
      <c r="W310">
        <f t="shared" ca="1" si="77"/>
        <v>12</v>
      </c>
      <c r="X310">
        <f t="shared" ca="1" si="78"/>
        <v>29</v>
      </c>
      <c r="Z310" t="b">
        <f t="shared" ca="1" si="79"/>
        <v>0</v>
      </c>
      <c r="AA310" t="b">
        <f t="shared" ca="1" si="80"/>
        <v>0</v>
      </c>
      <c r="AI310">
        <v>2034</v>
      </c>
      <c r="AJ310">
        <v>4</v>
      </c>
      <c r="AK310">
        <v>7</v>
      </c>
      <c r="AL310" t="s">
        <v>54</v>
      </c>
      <c r="AM310" t="s">
        <v>181</v>
      </c>
      <c r="AN310" t="s">
        <v>83</v>
      </c>
      <c r="AO310" s="1">
        <v>187</v>
      </c>
      <c r="AP310" t="s">
        <v>28</v>
      </c>
    </row>
    <row r="311" spans="21:42" x14ac:dyDescent="0.25">
      <c r="U311" s="5">
        <f t="shared" ca="1" si="81"/>
        <v>46386.579874305557</v>
      </c>
      <c r="V311">
        <f t="shared" ca="1" si="76"/>
        <v>2026</v>
      </c>
      <c r="W311">
        <f t="shared" ca="1" si="77"/>
        <v>12</v>
      </c>
      <c r="X311">
        <f t="shared" ca="1" si="78"/>
        <v>30</v>
      </c>
      <c r="Z311" t="b">
        <f t="shared" ca="1" si="79"/>
        <v>0</v>
      </c>
      <c r="AA311" t="b">
        <f t="shared" ca="1" si="80"/>
        <v>0</v>
      </c>
      <c r="AI311">
        <v>2034</v>
      </c>
      <c r="AJ311">
        <v>4</v>
      </c>
      <c r="AK311">
        <v>9</v>
      </c>
      <c r="AL311" t="s">
        <v>58</v>
      </c>
      <c r="AM311" t="s">
        <v>158</v>
      </c>
      <c r="AN311" t="s">
        <v>261</v>
      </c>
      <c r="AO311" s="1">
        <v>90</v>
      </c>
      <c r="AP311" t="s">
        <v>12</v>
      </c>
    </row>
    <row r="312" spans="21:42" x14ac:dyDescent="0.25">
      <c r="U312" s="5">
        <f t="shared" ca="1" si="81"/>
        <v>46387.579874305557</v>
      </c>
      <c r="V312">
        <f t="shared" ca="1" si="76"/>
        <v>2026</v>
      </c>
      <c r="W312">
        <f t="shared" ca="1" si="77"/>
        <v>12</v>
      </c>
      <c r="X312">
        <f t="shared" ca="1" si="78"/>
        <v>31</v>
      </c>
      <c r="Z312" t="b">
        <f t="shared" ca="1" si="79"/>
        <v>0</v>
      </c>
      <c r="AA312" t="b">
        <f t="shared" ca="1" si="80"/>
        <v>0</v>
      </c>
      <c r="AI312">
        <v>2034</v>
      </c>
      <c r="AJ312">
        <v>4</v>
      </c>
      <c r="AK312">
        <v>10</v>
      </c>
      <c r="AL312" t="s">
        <v>58</v>
      </c>
      <c r="AM312" t="s">
        <v>198</v>
      </c>
      <c r="AN312" t="s">
        <v>265</v>
      </c>
      <c r="AO312" s="1">
        <v>314</v>
      </c>
      <c r="AP312" t="s">
        <v>1379</v>
      </c>
    </row>
    <row r="313" spans="21:42" x14ac:dyDescent="0.25">
      <c r="U313" s="5">
        <f t="shared" ca="1" si="81"/>
        <v>46388.579874305557</v>
      </c>
      <c r="V313">
        <f t="shared" ca="1" si="76"/>
        <v>2027</v>
      </c>
      <c r="W313">
        <f t="shared" ca="1" si="77"/>
        <v>1</v>
      </c>
      <c r="X313">
        <f t="shared" ca="1" si="78"/>
        <v>1</v>
      </c>
      <c r="Z313" t="b">
        <f t="shared" ca="1" si="79"/>
        <v>0</v>
      </c>
      <c r="AA313" t="b">
        <f t="shared" ca="1" si="80"/>
        <v>0</v>
      </c>
      <c r="AI313">
        <v>2034</v>
      </c>
      <c r="AJ313">
        <v>4</v>
      </c>
      <c r="AK313">
        <v>30</v>
      </c>
      <c r="AL313" t="s">
        <v>56</v>
      </c>
      <c r="AM313" t="s">
        <v>184</v>
      </c>
      <c r="AN313" t="s">
        <v>84</v>
      </c>
      <c r="AO313" s="1">
        <v>98</v>
      </c>
      <c r="AP313" t="s">
        <v>126</v>
      </c>
    </row>
    <row r="314" spans="21:42" x14ac:dyDescent="0.25">
      <c r="U314" s="5">
        <f t="shared" ca="1" si="81"/>
        <v>46389.579874305557</v>
      </c>
      <c r="V314">
        <f t="shared" ca="1" si="76"/>
        <v>2027</v>
      </c>
      <c r="W314">
        <f t="shared" ca="1" si="77"/>
        <v>1</v>
      </c>
      <c r="X314">
        <f t="shared" ca="1" si="78"/>
        <v>2</v>
      </c>
      <c r="Z314" t="b">
        <f t="shared" ca="1" si="79"/>
        <v>0</v>
      </c>
      <c r="AA314" t="b">
        <f t="shared" ca="1" si="80"/>
        <v>0</v>
      </c>
      <c r="AI314">
        <v>2034</v>
      </c>
      <c r="AJ314">
        <v>5</v>
      </c>
      <c r="AK314">
        <v>1</v>
      </c>
      <c r="AL314" t="s">
        <v>91</v>
      </c>
      <c r="AM314" t="s">
        <v>164</v>
      </c>
      <c r="AN314" t="s">
        <v>85</v>
      </c>
      <c r="AO314" s="1">
        <v>202</v>
      </c>
      <c r="AP314" t="s">
        <v>127</v>
      </c>
    </row>
    <row r="315" spans="21:42" x14ac:dyDescent="0.25">
      <c r="U315" s="5">
        <f t="shared" ca="1" si="81"/>
        <v>46390.579874305557</v>
      </c>
      <c r="V315">
        <f t="shared" ca="1" si="76"/>
        <v>2027</v>
      </c>
      <c r="W315">
        <f t="shared" ca="1" si="77"/>
        <v>1</v>
      </c>
      <c r="X315">
        <f t="shared" ca="1" si="78"/>
        <v>3</v>
      </c>
      <c r="Z315" t="b">
        <f t="shared" ca="1" si="79"/>
        <v>0</v>
      </c>
      <c r="AA315" t="b">
        <f t="shared" ca="1" si="80"/>
        <v>0</v>
      </c>
      <c r="AI315">
        <v>2034</v>
      </c>
      <c r="AJ315">
        <v>5</v>
      </c>
      <c r="AK315">
        <v>4</v>
      </c>
      <c r="AL315" t="s">
        <v>89</v>
      </c>
      <c r="AM315" t="s">
        <v>233</v>
      </c>
      <c r="AN315" t="s">
        <v>83</v>
      </c>
      <c r="AO315" s="1">
        <v>102</v>
      </c>
      <c r="AP315" t="s">
        <v>1366</v>
      </c>
    </row>
    <row r="316" spans="21:42" x14ac:dyDescent="0.25">
      <c r="U316" s="5">
        <f t="shared" ca="1" si="81"/>
        <v>46391.579874305557</v>
      </c>
      <c r="V316">
        <f t="shared" ca="1" si="76"/>
        <v>2027</v>
      </c>
      <c r="W316">
        <f t="shared" ca="1" si="77"/>
        <v>1</v>
      </c>
      <c r="X316">
        <f t="shared" ca="1" si="78"/>
        <v>4</v>
      </c>
      <c r="Z316" t="b">
        <f t="shared" ca="1" si="79"/>
        <v>0</v>
      </c>
      <c r="AA316" t="b">
        <f t="shared" ca="1" si="80"/>
        <v>0</v>
      </c>
      <c r="AI316">
        <v>2034</v>
      </c>
      <c r="AJ316">
        <v>5</v>
      </c>
      <c r="AK316">
        <v>5</v>
      </c>
      <c r="AL316" t="s">
        <v>93</v>
      </c>
      <c r="AM316" t="s">
        <v>152</v>
      </c>
      <c r="AN316" t="s">
        <v>84</v>
      </c>
      <c r="AO316" s="1">
        <v>64</v>
      </c>
      <c r="AP316" t="s">
        <v>107</v>
      </c>
    </row>
    <row r="317" spans="21:42" x14ac:dyDescent="0.25">
      <c r="U317" s="5">
        <f t="shared" ca="1" si="81"/>
        <v>46392.579874305557</v>
      </c>
      <c r="V317">
        <f t="shared" ca="1" si="76"/>
        <v>2027</v>
      </c>
      <c r="W317">
        <f t="shared" ca="1" si="77"/>
        <v>1</v>
      </c>
      <c r="X317">
        <f t="shared" ca="1" si="78"/>
        <v>5</v>
      </c>
      <c r="Z317" t="b">
        <f t="shared" ca="1" si="79"/>
        <v>0</v>
      </c>
      <c r="AA317" t="b">
        <f t="shared" ca="1" si="80"/>
        <v>0</v>
      </c>
      <c r="AI317">
        <v>2034</v>
      </c>
      <c r="AJ317">
        <v>5</v>
      </c>
      <c r="AK317">
        <v>10</v>
      </c>
      <c r="AL317" t="s">
        <v>56</v>
      </c>
      <c r="AM317" t="s">
        <v>184</v>
      </c>
      <c r="AN317" t="s">
        <v>84</v>
      </c>
      <c r="AO317" s="1">
        <v>73</v>
      </c>
      <c r="AP317" t="s">
        <v>128</v>
      </c>
    </row>
    <row r="318" spans="21:42" x14ac:dyDescent="0.25">
      <c r="U318" s="5">
        <f t="shared" ca="1" si="81"/>
        <v>46393.579874305557</v>
      </c>
      <c r="V318">
        <f t="shared" ca="1" si="76"/>
        <v>2027</v>
      </c>
      <c r="W318">
        <f t="shared" ca="1" si="77"/>
        <v>1</v>
      </c>
      <c r="X318">
        <f t="shared" ca="1" si="78"/>
        <v>6</v>
      </c>
      <c r="Z318" t="b">
        <f t="shared" ca="1" si="79"/>
        <v>0</v>
      </c>
      <c r="AA318" t="b">
        <f t="shared" ca="1" si="80"/>
        <v>0</v>
      </c>
      <c r="AI318">
        <v>2034</v>
      </c>
      <c r="AJ318">
        <v>5</v>
      </c>
      <c r="AK318">
        <v>18</v>
      </c>
      <c r="AL318" t="s">
        <v>44</v>
      </c>
      <c r="AM318" t="s">
        <v>227</v>
      </c>
      <c r="AN318" t="s">
        <v>83</v>
      </c>
      <c r="AO318" s="1">
        <v>107</v>
      </c>
      <c r="AP318" t="s">
        <v>14</v>
      </c>
    </row>
    <row r="319" spans="21:42" x14ac:dyDescent="0.25">
      <c r="U319" s="5">
        <f t="shared" ca="1" si="81"/>
        <v>46394.579874305557</v>
      </c>
      <c r="V319">
        <f t="shared" ca="1" si="76"/>
        <v>2027</v>
      </c>
      <c r="W319">
        <f t="shared" ca="1" si="77"/>
        <v>1</v>
      </c>
      <c r="X319">
        <f t="shared" ca="1" si="78"/>
        <v>7</v>
      </c>
      <c r="Z319" t="b">
        <f t="shared" ca="1" si="79"/>
        <v>0</v>
      </c>
      <c r="AA319" t="b">
        <f t="shared" ca="1" si="80"/>
        <v>0</v>
      </c>
      <c r="AI319">
        <v>2034</v>
      </c>
      <c r="AJ319">
        <v>5</v>
      </c>
      <c r="AK319">
        <v>28</v>
      </c>
      <c r="AL319" t="s">
        <v>49</v>
      </c>
      <c r="AM319" t="s">
        <v>167</v>
      </c>
      <c r="AN319" t="s">
        <v>85</v>
      </c>
      <c r="AO319" s="1">
        <v>121</v>
      </c>
      <c r="AP319" t="s">
        <v>129</v>
      </c>
    </row>
    <row r="320" spans="21:42" x14ac:dyDescent="0.25">
      <c r="U320" s="5">
        <f t="shared" ca="1" si="81"/>
        <v>46395.579874305557</v>
      </c>
      <c r="V320">
        <f t="shared" ca="1" si="76"/>
        <v>2027</v>
      </c>
      <c r="W320">
        <f t="shared" ca="1" si="77"/>
        <v>1</v>
      </c>
      <c r="X320">
        <f t="shared" ca="1" si="78"/>
        <v>8</v>
      </c>
      <c r="Z320" t="b">
        <f t="shared" ca="1" si="79"/>
        <v>0</v>
      </c>
      <c r="AA320" t="b">
        <f t="shared" ca="1" si="80"/>
        <v>0</v>
      </c>
      <c r="AI320">
        <v>2034</v>
      </c>
      <c r="AJ320">
        <v>5</v>
      </c>
      <c r="AK320">
        <v>29</v>
      </c>
      <c r="AL320" t="s">
        <v>49</v>
      </c>
      <c r="AM320" t="s">
        <v>167</v>
      </c>
      <c r="AN320" t="s">
        <v>85</v>
      </c>
      <c r="AO320" s="1">
        <v>195</v>
      </c>
      <c r="AP320" t="s">
        <v>1503</v>
      </c>
    </row>
    <row r="321" spans="21:42" x14ac:dyDescent="0.25">
      <c r="U321" s="5">
        <f t="shared" ca="1" si="81"/>
        <v>46396.579874305557</v>
      </c>
      <c r="V321">
        <f t="shared" ca="1" si="76"/>
        <v>2027</v>
      </c>
      <c r="W321">
        <f t="shared" ca="1" si="77"/>
        <v>1</v>
      </c>
      <c r="X321">
        <f t="shared" ca="1" si="78"/>
        <v>9</v>
      </c>
      <c r="Z321" t="b">
        <f t="shared" ca="1" si="79"/>
        <v>0</v>
      </c>
      <c r="AA321" t="b">
        <f t="shared" ca="1" si="80"/>
        <v>0</v>
      </c>
      <c r="AI321">
        <v>2034</v>
      </c>
      <c r="AJ321">
        <v>6</v>
      </c>
      <c r="AK321">
        <v>1</v>
      </c>
      <c r="AL321" t="s">
        <v>91</v>
      </c>
      <c r="AM321" t="s">
        <v>164</v>
      </c>
      <c r="AN321" t="s">
        <v>85</v>
      </c>
      <c r="AO321" s="1">
        <v>157</v>
      </c>
      <c r="AP321" t="s">
        <v>130</v>
      </c>
    </row>
    <row r="322" spans="21:42" x14ac:dyDescent="0.25">
      <c r="U322" s="5">
        <f t="shared" ca="1" si="81"/>
        <v>46397.579874305557</v>
      </c>
      <c r="V322">
        <f t="shared" ca="1" si="76"/>
        <v>2027</v>
      </c>
      <c r="W322">
        <f t="shared" ca="1" si="77"/>
        <v>1</v>
      </c>
      <c r="X322">
        <f t="shared" ca="1" si="78"/>
        <v>10</v>
      </c>
      <c r="Z322" t="b">
        <f t="shared" ca="1" si="79"/>
        <v>0</v>
      </c>
      <c r="AA322" t="b">
        <f t="shared" ca="1" si="80"/>
        <v>0</v>
      </c>
      <c r="AI322">
        <v>2034</v>
      </c>
      <c r="AJ322">
        <v>6</v>
      </c>
      <c r="AK322">
        <v>24</v>
      </c>
      <c r="AL322" t="s">
        <v>93</v>
      </c>
      <c r="AM322" t="s">
        <v>158</v>
      </c>
      <c r="AN322" t="s">
        <v>1413</v>
      </c>
      <c r="AO322" s="1">
        <v>61</v>
      </c>
      <c r="AP322" t="s">
        <v>1372</v>
      </c>
    </row>
    <row r="323" spans="21:42" x14ac:dyDescent="0.25">
      <c r="U323" s="5">
        <f t="shared" ca="1" si="81"/>
        <v>46398.579874305557</v>
      </c>
      <c r="V323">
        <f t="shared" ca="1" si="76"/>
        <v>2027</v>
      </c>
      <c r="W323">
        <f t="shared" ca="1" si="77"/>
        <v>1</v>
      </c>
      <c r="X323">
        <f t="shared" ca="1" si="78"/>
        <v>11</v>
      </c>
      <c r="Z323" t="b">
        <f t="shared" ca="1" si="79"/>
        <v>0</v>
      </c>
      <c r="AA323" t="b">
        <f t="shared" ca="1" si="80"/>
        <v>0</v>
      </c>
      <c r="AI323">
        <v>2034</v>
      </c>
      <c r="AJ323">
        <v>7</v>
      </c>
      <c r="AK323">
        <v>1</v>
      </c>
      <c r="AL323" t="s">
        <v>91</v>
      </c>
      <c r="AM323" t="s">
        <v>164</v>
      </c>
      <c r="AN323" t="s">
        <v>85</v>
      </c>
      <c r="AO323" s="1">
        <v>171</v>
      </c>
      <c r="AP323" t="s">
        <v>131</v>
      </c>
    </row>
    <row r="324" spans="21:42" x14ac:dyDescent="0.25">
      <c r="U324" s="5">
        <f t="shared" ca="1" si="81"/>
        <v>46399.579874305557</v>
      </c>
      <c r="V324">
        <f t="shared" ref="V324:V368" ca="1" si="82">YEAR(U324)</f>
        <v>2027</v>
      </c>
      <c r="W324">
        <f t="shared" ref="W324:W368" ca="1" si="83">MONTH(U324)</f>
        <v>1</v>
      </c>
      <c r="X324">
        <f t="shared" ref="X324:X368" ca="1" si="84">DAY(U324)</f>
        <v>12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2034</v>
      </c>
      <c r="AJ324">
        <v>8</v>
      </c>
      <c r="AK324">
        <v>1</v>
      </c>
      <c r="AL324" t="s">
        <v>91</v>
      </c>
      <c r="AM324" t="s">
        <v>164</v>
      </c>
      <c r="AN324" t="s">
        <v>85</v>
      </c>
      <c r="AO324" s="1">
        <v>231</v>
      </c>
      <c r="AP324" t="s">
        <v>132</v>
      </c>
    </row>
    <row r="325" spans="21:42" x14ac:dyDescent="0.25">
      <c r="U325" s="5">
        <f t="shared" ref="U325:U368" ca="1" si="87">U324+1</f>
        <v>46400.579874305557</v>
      </c>
      <c r="V325">
        <f t="shared" ca="1" si="82"/>
        <v>2027</v>
      </c>
      <c r="W325">
        <f t="shared" ca="1" si="83"/>
        <v>1</v>
      </c>
      <c r="X325">
        <f t="shared" ca="1" si="84"/>
        <v>13</v>
      </c>
      <c r="Z325" t="b">
        <f t="shared" ca="1" si="85"/>
        <v>0</v>
      </c>
      <c r="AA325" t="b">
        <f t="shared" ca="1" si="86"/>
        <v>0</v>
      </c>
      <c r="AI325">
        <v>2034</v>
      </c>
      <c r="AJ325">
        <v>9</v>
      </c>
      <c r="AK325">
        <v>1</v>
      </c>
      <c r="AL325" t="s">
        <v>91</v>
      </c>
      <c r="AM325" t="s">
        <v>164</v>
      </c>
      <c r="AN325" t="s">
        <v>85</v>
      </c>
      <c r="AO325" s="1">
        <v>282</v>
      </c>
      <c r="AP325" t="s">
        <v>133</v>
      </c>
    </row>
    <row r="326" spans="21:42" x14ac:dyDescent="0.25">
      <c r="U326" s="5">
        <f t="shared" ca="1" si="87"/>
        <v>46401.579874305557</v>
      </c>
      <c r="V326">
        <f t="shared" ca="1" si="82"/>
        <v>2027</v>
      </c>
      <c r="W326">
        <f t="shared" ca="1" si="83"/>
        <v>1</v>
      </c>
      <c r="X326">
        <f t="shared" ca="1" si="84"/>
        <v>14</v>
      </c>
      <c r="Z326" t="b">
        <f t="shared" ca="1" si="85"/>
        <v>0</v>
      </c>
      <c r="AA326" t="b">
        <f t="shared" ca="1" si="86"/>
        <v>0</v>
      </c>
      <c r="AI326">
        <v>2034</v>
      </c>
      <c r="AJ326">
        <v>10</v>
      </c>
      <c r="AK326">
        <v>1</v>
      </c>
      <c r="AL326" t="s">
        <v>91</v>
      </c>
      <c r="AM326" t="s">
        <v>164</v>
      </c>
      <c r="AN326" t="s">
        <v>85</v>
      </c>
      <c r="AO326" s="1">
        <v>277</v>
      </c>
      <c r="AP326" t="s">
        <v>134</v>
      </c>
    </row>
    <row r="327" spans="21:42" x14ac:dyDescent="0.25">
      <c r="U327" s="5">
        <f t="shared" ca="1" si="87"/>
        <v>46402.579874305557</v>
      </c>
      <c r="V327">
        <f t="shared" ca="1" si="82"/>
        <v>2027</v>
      </c>
      <c r="W327">
        <f t="shared" ca="1" si="83"/>
        <v>1</v>
      </c>
      <c r="X327">
        <f t="shared" ca="1" si="84"/>
        <v>15</v>
      </c>
      <c r="Z327" t="b">
        <f t="shared" ca="1" si="85"/>
        <v>0</v>
      </c>
      <c r="AA327" t="b">
        <f t="shared" ca="1" si="86"/>
        <v>0</v>
      </c>
      <c r="AI327">
        <v>2034</v>
      </c>
      <c r="AJ327">
        <v>10</v>
      </c>
      <c r="AK327">
        <v>8</v>
      </c>
      <c r="AL327" t="s">
        <v>56</v>
      </c>
      <c r="AM327" t="s">
        <v>184</v>
      </c>
      <c r="AN327" t="s">
        <v>84</v>
      </c>
      <c r="AO327" s="1">
        <v>105</v>
      </c>
      <c r="AP327" t="s">
        <v>135</v>
      </c>
    </row>
    <row r="328" spans="21:42" x14ac:dyDescent="0.25">
      <c r="U328" s="5">
        <f t="shared" ca="1" si="87"/>
        <v>46403.579874305557</v>
      </c>
      <c r="V328">
        <f t="shared" ca="1" si="82"/>
        <v>2027</v>
      </c>
      <c r="W328">
        <f t="shared" ca="1" si="83"/>
        <v>1</v>
      </c>
      <c r="X328">
        <f t="shared" ca="1" si="84"/>
        <v>16</v>
      </c>
      <c r="Z328" t="b">
        <f t="shared" ca="1" si="85"/>
        <v>0</v>
      </c>
      <c r="AA328" t="b">
        <f t="shared" ca="1" si="86"/>
        <v>0</v>
      </c>
      <c r="AI328">
        <v>2034</v>
      </c>
      <c r="AJ328">
        <v>11</v>
      </c>
      <c r="AK328">
        <v>1</v>
      </c>
      <c r="AL328" t="s">
        <v>91</v>
      </c>
      <c r="AM328" t="s">
        <v>164</v>
      </c>
      <c r="AN328" t="s">
        <v>85</v>
      </c>
      <c r="AO328" s="1">
        <v>221</v>
      </c>
      <c r="AP328" t="s">
        <v>136</v>
      </c>
    </row>
    <row r="329" spans="21:42" x14ac:dyDescent="0.25">
      <c r="U329" s="5">
        <f t="shared" ca="1" si="87"/>
        <v>46404.579874305557</v>
      </c>
      <c r="V329">
        <f t="shared" ca="1" si="82"/>
        <v>2027</v>
      </c>
      <c r="W329">
        <f t="shared" ca="1" si="83"/>
        <v>1</v>
      </c>
      <c r="X329">
        <f t="shared" ca="1" si="84"/>
        <v>17</v>
      </c>
      <c r="Z329" t="b">
        <f t="shared" ca="1" si="85"/>
        <v>0</v>
      </c>
      <c r="AA329" t="b">
        <f t="shared" ca="1" si="86"/>
        <v>0</v>
      </c>
      <c r="AI329">
        <v>2034</v>
      </c>
      <c r="AJ329">
        <v>12</v>
      </c>
      <c r="AK329">
        <v>1</v>
      </c>
      <c r="AL329" t="s">
        <v>91</v>
      </c>
      <c r="AM329" t="s">
        <v>164</v>
      </c>
      <c r="AN329" t="s">
        <v>85</v>
      </c>
      <c r="AO329" s="1">
        <v>165</v>
      </c>
      <c r="AP329" t="s">
        <v>137</v>
      </c>
    </row>
    <row r="330" spans="21:42" x14ac:dyDescent="0.25">
      <c r="U330" s="5">
        <f t="shared" ca="1" si="87"/>
        <v>46405.579874305557</v>
      </c>
      <c r="V330">
        <f t="shared" ca="1" si="82"/>
        <v>2027</v>
      </c>
      <c r="W330">
        <f t="shared" ca="1" si="83"/>
        <v>1</v>
      </c>
      <c r="X330">
        <f t="shared" ca="1" si="84"/>
        <v>18</v>
      </c>
      <c r="Z330" t="b">
        <f t="shared" ca="1" si="85"/>
        <v>0</v>
      </c>
      <c r="AA330" t="b">
        <f t="shared" ca="1" si="86"/>
        <v>0</v>
      </c>
      <c r="AI330">
        <v>2034</v>
      </c>
      <c r="AJ330">
        <v>12</v>
      </c>
      <c r="AK330">
        <v>5</v>
      </c>
      <c r="AL330" t="s">
        <v>53</v>
      </c>
      <c r="AM330" t="s">
        <v>224</v>
      </c>
      <c r="AN330" t="s">
        <v>258</v>
      </c>
      <c r="AO330" s="1">
        <v>113</v>
      </c>
      <c r="AP330" t="s">
        <v>1234</v>
      </c>
    </row>
    <row r="331" spans="21:42" x14ac:dyDescent="0.25">
      <c r="U331" s="5">
        <f t="shared" ca="1" si="87"/>
        <v>46406.579874305557</v>
      </c>
      <c r="V331">
        <f t="shared" ca="1" si="82"/>
        <v>2027</v>
      </c>
      <c r="W331">
        <f t="shared" ca="1" si="83"/>
        <v>1</v>
      </c>
      <c r="X331">
        <f t="shared" ca="1" si="84"/>
        <v>19</v>
      </c>
      <c r="Z331" t="b">
        <f t="shared" ca="1" si="85"/>
        <v>0</v>
      </c>
      <c r="AA331" t="b">
        <f t="shared" ca="1" si="86"/>
        <v>0</v>
      </c>
      <c r="AI331">
        <v>2034</v>
      </c>
      <c r="AJ331">
        <v>12</v>
      </c>
      <c r="AK331">
        <v>13</v>
      </c>
      <c r="AL331" t="s">
        <v>56</v>
      </c>
      <c r="AM331" t="s">
        <v>184</v>
      </c>
      <c r="AN331" t="s">
        <v>84</v>
      </c>
      <c r="AO331" s="1">
        <v>114</v>
      </c>
      <c r="AP331" t="s">
        <v>138</v>
      </c>
    </row>
    <row r="332" spans="21:42" x14ac:dyDescent="0.25">
      <c r="U332" s="5">
        <f t="shared" ca="1" si="87"/>
        <v>46407.579874305557</v>
      </c>
      <c r="V332">
        <f t="shared" ca="1" si="82"/>
        <v>2027</v>
      </c>
      <c r="W332">
        <f t="shared" ca="1" si="83"/>
        <v>1</v>
      </c>
      <c r="X332">
        <f t="shared" ca="1" si="84"/>
        <v>20</v>
      </c>
      <c r="Z332" t="b">
        <f t="shared" ca="1" si="85"/>
        <v>0</v>
      </c>
      <c r="AA332" t="b">
        <f t="shared" ca="1" si="86"/>
        <v>0</v>
      </c>
      <c r="AI332">
        <v>2034</v>
      </c>
      <c r="AJ332">
        <v>12</v>
      </c>
      <c r="AK332">
        <v>25</v>
      </c>
      <c r="AL332" t="s">
        <v>43</v>
      </c>
      <c r="AM332" t="s">
        <v>230</v>
      </c>
      <c r="AN332" t="s">
        <v>1412</v>
      </c>
      <c r="AO332" s="1">
        <v>95</v>
      </c>
      <c r="AP332" t="s">
        <v>7</v>
      </c>
    </row>
    <row r="333" spans="21:42" x14ac:dyDescent="0.25">
      <c r="U333" s="5">
        <f t="shared" ca="1" si="87"/>
        <v>46408.579874305557</v>
      </c>
      <c r="V333">
        <f t="shared" ca="1" si="82"/>
        <v>2027</v>
      </c>
      <c r="W333">
        <f t="shared" ca="1" si="83"/>
        <v>1</v>
      </c>
      <c r="X333">
        <f t="shared" ca="1" si="84"/>
        <v>21</v>
      </c>
      <c r="Z333" t="b">
        <f t="shared" ca="1" si="85"/>
        <v>0</v>
      </c>
      <c r="AA333" t="b">
        <f t="shared" ca="1" si="86"/>
        <v>0</v>
      </c>
      <c r="AI333">
        <v>2034</v>
      </c>
      <c r="AJ333">
        <v>12</v>
      </c>
      <c r="AK333">
        <v>26</v>
      </c>
      <c r="AL333" t="s">
        <v>43</v>
      </c>
      <c r="AM333" t="s">
        <v>201</v>
      </c>
      <c r="AN333" t="s">
        <v>86</v>
      </c>
      <c r="AO333" s="1">
        <v>108</v>
      </c>
      <c r="AP333" t="s">
        <v>78</v>
      </c>
    </row>
    <row r="334" spans="21:42" x14ac:dyDescent="0.25">
      <c r="U334" s="5">
        <f t="shared" ca="1" si="87"/>
        <v>46409.579874305557</v>
      </c>
      <c r="V334">
        <f t="shared" ca="1" si="82"/>
        <v>2027</v>
      </c>
      <c r="W334">
        <f t="shared" ca="1" si="83"/>
        <v>1</v>
      </c>
      <c r="X334">
        <f t="shared" ca="1" si="84"/>
        <v>22</v>
      </c>
      <c r="Z334" t="b">
        <f t="shared" ca="1" si="85"/>
        <v>0</v>
      </c>
      <c r="AA334" t="b">
        <f t="shared" ca="1" si="86"/>
        <v>0</v>
      </c>
      <c r="AI334">
        <v>2034</v>
      </c>
      <c r="AJ334">
        <v>12</v>
      </c>
      <c r="AK334">
        <v>28</v>
      </c>
      <c r="AL334" t="s">
        <v>52</v>
      </c>
      <c r="AM334" t="s">
        <v>245</v>
      </c>
      <c r="AN334" t="s">
        <v>1412</v>
      </c>
      <c r="AO334" s="1">
        <v>77</v>
      </c>
      <c r="AP334" t="s">
        <v>1370</v>
      </c>
    </row>
    <row r="335" spans="21:42" x14ac:dyDescent="0.25">
      <c r="U335" s="5">
        <f t="shared" ca="1" si="87"/>
        <v>46410.579874305557</v>
      </c>
      <c r="V335">
        <f t="shared" ca="1" si="82"/>
        <v>2027</v>
      </c>
      <c r="W335">
        <f t="shared" ca="1" si="83"/>
        <v>1</v>
      </c>
      <c r="X335">
        <f t="shared" ca="1" si="84"/>
        <v>23</v>
      </c>
      <c r="Z335" t="b">
        <f t="shared" ca="1" si="85"/>
        <v>0</v>
      </c>
      <c r="AA335" t="b">
        <f t="shared" ca="1" si="86"/>
        <v>0</v>
      </c>
      <c r="AI335">
        <v>2035</v>
      </c>
      <c r="AJ335">
        <v>1</v>
      </c>
      <c r="AK335">
        <v>1</v>
      </c>
      <c r="AL335" t="s">
        <v>93</v>
      </c>
      <c r="AM335" t="s">
        <v>256</v>
      </c>
      <c r="AN335" t="s">
        <v>83</v>
      </c>
      <c r="AO335" s="1">
        <v>77</v>
      </c>
      <c r="AP335" t="s">
        <v>8</v>
      </c>
    </row>
    <row r="336" spans="21:42" x14ac:dyDescent="0.25">
      <c r="U336" s="5">
        <f t="shared" ca="1" si="87"/>
        <v>46411.579874305557</v>
      </c>
      <c r="V336">
        <f t="shared" ca="1" si="82"/>
        <v>2027</v>
      </c>
      <c r="W336">
        <f t="shared" ca="1" si="83"/>
        <v>1</v>
      </c>
      <c r="X336">
        <f t="shared" ca="1" si="84"/>
        <v>24</v>
      </c>
      <c r="Z336" t="b">
        <f t="shared" ca="1" si="85"/>
        <v>0</v>
      </c>
      <c r="AA336" t="b">
        <f t="shared" ca="1" si="86"/>
        <v>0</v>
      </c>
      <c r="AI336">
        <v>2035</v>
      </c>
      <c r="AJ336">
        <v>2</v>
      </c>
      <c r="AK336">
        <v>1</v>
      </c>
      <c r="AL336" t="s">
        <v>91</v>
      </c>
      <c r="AM336" t="s">
        <v>164</v>
      </c>
      <c r="AN336" t="s">
        <v>85</v>
      </c>
      <c r="AO336" s="1">
        <v>249</v>
      </c>
      <c r="AP336" t="s">
        <v>1498</v>
      </c>
    </row>
    <row r="337" spans="21:42" x14ac:dyDescent="0.25">
      <c r="U337" s="5">
        <f t="shared" ca="1" si="87"/>
        <v>46412.579874305557</v>
      </c>
      <c r="V337">
        <f t="shared" ca="1" si="82"/>
        <v>2027</v>
      </c>
      <c r="W337">
        <f t="shared" ca="1" si="83"/>
        <v>1</v>
      </c>
      <c r="X337">
        <f t="shared" ca="1" si="84"/>
        <v>25</v>
      </c>
      <c r="Z337" t="b">
        <f t="shared" ca="1" si="85"/>
        <v>0</v>
      </c>
      <c r="AA337" t="b">
        <f t="shared" ca="1" si="86"/>
        <v>0</v>
      </c>
      <c r="AI337">
        <v>2035</v>
      </c>
      <c r="AJ337">
        <v>2</v>
      </c>
      <c r="AK337">
        <v>4</v>
      </c>
      <c r="AL337" t="s">
        <v>93</v>
      </c>
      <c r="AM337" t="s">
        <v>164</v>
      </c>
      <c r="AN337" t="s">
        <v>84</v>
      </c>
      <c r="AO337" s="1">
        <v>85</v>
      </c>
      <c r="AP337" t="s">
        <v>1504</v>
      </c>
    </row>
    <row r="338" spans="21:42" x14ac:dyDescent="0.25">
      <c r="U338" s="5">
        <f t="shared" ca="1" si="87"/>
        <v>46413.579874305557</v>
      </c>
      <c r="V338">
        <f t="shared" ca="1" si="82"/>
        <v>2027</v>
      </c>
      <c r="W338">
        <f t="shared" ca="1" si="83"/>
        <v>1</v>
      </c>
      <c r="X338">
        <f t="shared" ca="1" si="84"/>
        <v>26</v>
      </c>
      <c r="Z338" t="b">
        <f t="shared" ca="1" si="85"/>
        <v>0</v>
      </c>
      <c r="AA338" t="b">
        <f t="shared" ca="1" si="86"/>
        <v>0</v>
      </c>
      <c r="AI338">
        <v>2035</v>
      </c>
      <c r="AJ338">
        <v>2</v>
      </c>
      <c r="AK338">
        <v>4</v>
      </c>
      <c r="AL338" t="s">
        <v>93</v>
      </c>
      <c r="AM338" t="s">
        <v>164</v>
      </c>
      <c r="AN338" t="s">
        <v>84</v>
      </c>
      <c r="AO338" s="1">
        <v>94</v>
      </c>
      <c r="AP338" t="s">
        <v>1500</v>
      </c>
    </row>
    <row r="339" spans="21:42" x14ac:dyDescent="0.25">
      <c r="U339" s="5">
        <f t="shared" ca="1" si="87"/>
        <v>46414.579874305557</v>
      </c>
      <c r="V339">
        <f t="shared" ca="1" si="82"/>
        <v>2027</v>
      </c>
      <c r="W339">
        <f t="shared" ca="1" si="83"/>
        <v>1</v>
      </c>
      <c r="X339">
        <f t="shared" ca="1" si="84"/>
        <v>27</v>
      </c>
      <c r="Z339" t="b">
        <f t="shared" ca="1" si="85"/>
        <v>0</v>
      </c>
      <c r="AA339" t="b">
        <f t="shared" ca="1" si="86"/>
        <v>0</v>
      </c>
      <c r="AI339">
        <v>2035</v>
      </c>
      <c r="AJ339">
        <v>2</v>
      </c>
      <c r="AK339">
        <v>5</v>
      </c>
      <c r="AL339" t="s">
        <v>93</v>
      </c>
      <c r="AM339" t="s">
        <v>164</v>
      </c>
      <c r="AN339" t="s">
        <v>84</v>
      </c>
      <c r="AO339" s="1">
        <v>115</v>
      </c>
      <c r="AP339" t="s">
        <v>1501</v>
      </c>
    </row>
    <row r="340" spans="21:42" x14ac:dyDescent="0.25">
      <c r="U340" s="5">
        <f t="shared" ca="1" si="87"/>
        <v>46415.579874305557</v>
      </c>
      <c r="V340">
        <f t="shared" ca="1" si="82"/>
        <v>2027</v>
      </c>
      <c r="W340">
        <f t="shared" ca="1" si="83"/>
        <v>1</v>
      </c>
      <c r="X340">
        <f t="shared" ca="1" si="84"/>
        <v>28</v>
      </c>
      <c r="Z340" t="b">
        <f t="shared" ca="1" si="85"/>
        <v>0</v>
      </c>
      <c r="AA340" t="b">
        <f t="shared" ca="1" si="86"/>
        <v>0</v>
      </c>
      <c r="AI340">
        <v>2035</v>
      </c>
      <c r="AJ340">
        <v>2</v>
      </c>
      <c r="AK340">
        <v>7</v>
      </c>
      <c r="AL340" t="s">
        <v>89</v>
      </c>
      <c r="AM340" t="s">
        <v>204</v>
      </c>
      <c r="AN340" t="s">
        <v>86</v>
      </c>
      <c r="AO340" s="1">
        <v>177</v>
      </c>
      <c r="AP340" t="s">
        <v>121</v>
      </c>
    </row>
    <row r="341" spans="21:42" x14ac:dyDescent="0.25">
      <c r="U341" s="5">
        <f t="shared" ca="1" si="87"/>
        <v>46416.579874305557</v>
      </c>
      <c r="V341">
        <f t="shared" ca="1" si="82"/>
        <v>2027</v>
      </c>
      <c r="W341">
        <f t="shared" ca="1" si="83"/>
        <v>1</v>
      </c>
      <c r="X341">
        <f t="shared" ca="1" si="84"/>
        <v>29</v>
      </c>
      <c r="Z341" t="b">
        <f t="shared" ca="1" si="85"/>
        <v>0</v>
      </c>
      <c r="AA341" t="b">
        <f t="shared" ca="1" si="86"/>
        <v>0</v>
      </c>
      <c r="AI341">
        <v>2035</v>
      </c>
      <c r="AJ341">
        <v>2</v>
      </c>
      <c r="AK341">
        <v>14</v>
      </c>
      <c r="AL341" t="s">
        <v>93</v>
      </c>
      <c r="AM341" t="s">
        <v>1393</v>
      </c>
      <c r="AN341" t="s">
        <v>258</v>
      </c>
      <c r="AO341" s="1">
        <v>70</v>
      </c>
      <c r="AP341" t="s">
        <v>1374</v>
      </c>
    </row>
    <row r="342" spans="21:42" x14ac:dyDescent="0.25">
      <c r="U342" s="5">
        <f t="shared" ca="1" si="87"/>
        <v>46417.579874305557</v>
      </c>
      <c r="V342">
        <f t="shared" ca="1" si="82"/>
        <v>2027</v>
      </c>
      <c r="W342">
        <f t="shared" ca="1" si="83"/>
        <v>1</v>
      </c>
      <c r="X342">
        <f t="shared" ca="1" si="84"/>
        <v>30</v>
      </c>
      <c r="Z342" t="b">
        <f t="shared" ca="1" si="85"/>
        <v>0</v>
      </c>
      <c r="AA342" t="b">
        <f t="shared" ca="1" si="86"/>
        <v>0</v>
      </c>
      <c r="AI342">
        <v>2035</v>
      </c>
      <c r="AJ342">
        <v>3</v>
      </c>
      <c r="AK342">
        <v>1</v>
      </c>
      <c r="AL342" t="s">
        <v>91</v>
      </c>
      <c r="AM342" t="s">
        <v>164</v>
      </c>
      <c r="AN342" t="s">
        <v>85</v>
      </c>
      <c r="AO342" s="1">
        <v>287</v>
      </c>
      <c r="AP342" t="s">
        <v>122</v>
      </c>
    </row>
    <row r="343" spans="21:42" x14ac:dyDescent="0.25">
      <c r="U343" s="5">
        <f t="shared" ca="1" si="87"/>
        <v>46418.579874305557</v>
      </c>
      <c r="V343">
        <f t="shared" ca="1" si="82"/>
        <v>2027</v>
      </c>
      <c r="W343">
        <f t="shared" ca="1" si="83"/>
        <v>1</v>
      </c>
      <c r="X343">
        <f t="shared" ca="1" si="84"/>
        <v>31</v>
      </c>
      <c r="Z343" t="b">
        <f t="shared" ca="1" si="85"/>
        <v>0</v>
      </c>
      <c r="AA343" t="b">
        <f t="shared" ca="1" si="86"/>
        <v>0</v>
      </c>
      <c r="AI343">
        <v>2035</v>
      </c>
      <c r="AJ343">
        <v>3</v>
      </c>
      <c r="AK343">
        <v>14</v>
      </c>
      <c r="AL343" t="s">
        <v>45</v>
      </c>
      <c r="AM343" t="s">
        <v>161</v>
      </c>
      <c r="AN343" t="s">
        <v>1414</v>
      </c>
      <c r="AO343" s="1">
        <v>95</v>
      </c>
      <c r="AP343" t="s">
        <v>1502</v>
      </c>
    </row>
    <row r="344" spans="21:42" x14ac:dyDescent="0.25">
      <c r="U344" s="5">
        <f t="shared" ca="1" si="87"/>
        <v>46419.579874305557</v>
      </c>
      <c r="V344">
        <f t="shared" ca="1" si="82"/>
        <v>2027</v>
      </c>
      <c r="W344">
        <f t="shared" ca="1" si="83"/>
        <v>2</v>
      </c>
      <c r="X344">
        <f t="shared" ca="1" si="84"/>
        <v>1</v>
      </c>
      <c r="Z344" t="b">
        <f t="shared" ca="1" si="85"/>
        <v>0</v>
      </c>
      <c r="AA344" t="b">
        <f t="shared" ca="1" si="86"/>
        <v>0</v>
      </c>
      <c r="AI344">
        <v>2035</v>
      </c>
      <c r="AJ344">
        <v>3</v>
      </c>
      <c r="AK344">
        <v>21</v>
      </c>
      <c r="AL344" t="s">
        <v>56</v>
      </c>
      <c r="AM344" t="s">
        <v>184</v>
      </c>
      <c r="AN344" t="s">
        <v>84</v>
      </c>
      <c r="AO344" s="1">
        <v>73</v>
      </c>
      <c r="AP344" t="s">
        <v>123</v>
      </c>
    </row>
    <row r="345" spans="21:42" x14ac:dyDescent="0.25">
      <c r="U345" s="5">
        <f t="shared" ca="1" si="87"/>
        <v>46420.579874305557</v>
      </c>
      <c r="V345">
        <f t="shared" ca="1" si="82"/>
        <v>2027</v>
      </c>
      <c r="W345">
        <f t="shared" ca="1" si="83"/>
        <v>2</v>
      </c>
      <c r="X345">
        <f t="shared" ca="1" si="84"/>
        <v>2</v>
      </c>
      <c r="Z345" t="b">
        <f t="shared" ca="1" si="85"/>
        <v>0</v>
      </c>
      <c r="AA345" t="b">
        <f t="shared" ca="1" si="86"/>
        <v>0</v>
      </c>
      <c r="AI345">
        <v>2035</v>
      </c>
      <c r="AJ345">
        <v>3</v>
      </c>
      <c r="AK345">
        <v>23</v>
      </c>
      <c r="AL345" t="s">
        <v>54</v>
      </c>
      <c r="AM345" t="s">
        <v>181</v>
      </c>
      <c r="AN345" t="s">
        <v>83</v>
      </c>
      <c r="AO345" s="1">
        <v>204</v>
      </c>
      <c r="AP345" t="s">
        <v>28</v>
      </c>
    </row>
    <row r="346" spans="21:42" x14ac:dyDescent="0.25">
      <c r="U346" s="5">
        <f t="shared" ca="1" si="87"/>
        <v>46421.579874305557</v>
      </c>
      <c r="V346">
        <f t="shared" ca="1" si="82"/>
        <v>2027</v>
      </c>
      <c r="W346">
        <f t="shared" ca="1" si="83"/>
        <v>2</v>
      </c>
      <c r="X346">
        <f t="shared" ca="1" si="84"/>
        <v>3</v>
      </c>
      <c r="Z346" t="b">
        <f t="shared" ca="1" si="85"/>
        <v>0</v>
      </c>
      <c r="AA346" t="b">
        <f t="shared" ca="1" si="86"/>
        <v>0</v>
      </c>
      <c r="AI346">
        <v>2035</v>
      </c>
      <c r="AJ346">
        <v>3</v>
      </c>
      <c r="AK346">
        <v>25</v>
      </c>
      <c r="AL346" t="s">
        <v>58</v>
      </c>
      <c r="AM346" t="s">
        <v>158</v>
      </c>
      <c r="AN346" t="s">
        <v>261</v>
      </c>
      <c r="AO346" s="1">
        <v>75</v>
      </c>
      <c r="AP346" t="s">
        <v>12</v>
      </c>
    </row>
    <row r="347" spans="21:42" x14ac:dyDescent="0.25">
      <c r="U347" s="5">
        <f t="shared" ca="1" si="87"/>
        <v>46422.579874305557</v>
      </c>
      <c r="V347">
        <f t="shared" ca="1" si="82"/>
        <v>2027</v>
      </c>
      <c r="W347">
        <f t="shared" ca="1" si="83"/>
        <v>2</v>
      </c>
      <c r="X347">
        <f t="shared" ca="1" si="84"/>
        <v>4</v>
      </c>
      <c r="Z347" t="b">
        <f t="shared" ca="1" si="85"/>
        <v>0</v>
      </c>
      <c r="AA347" t="b">
        <f t="shared" ca="1" si="86"/>
        <v>0</v>
      </c>
      <c r="AI347">
        <v>2035</v>
      </c>
      <c r="AJ347">
        <v>3</v>
      </c>
      <c r="AK347">
        <v>26</v>
      </c>
      <c r="AL347" t="s">
        <v>58</v>
      </c>
      <c r="AM347" t="s">
        <v>198</v>
      </c>
      <c r="AN347" t="s">
        <v>265</v>
      </c>
      <c r="AO347" s="1">
        <v>365</v>
      </c>
      <c r="AP347" t="s">
        <v>1379</v>
      </c>
    </row>
    <row r="348" spans="21:42" x14ac:dyDescent="0.25">
      <c r="U348" s="5">
        <f t="shared" ca="1" si="87"/>
        <v>46423.579874305557</v>
      </c>
      <c r="V348">
        <f t="shared" ca="1" si="82"/>
        <v>2027</v>
      </c>
      <c r="W348">
        <f t="shared" ca="1" si="83"/>
        <v>2</v>
      </c>
      <c r="X348">
        <f t="shared" ca="1" si="84"/>
        <v>5</v>
      </c>
      <c r="Z348" t="b">
        <f t="shared" ca="1" si="85"/>
        <v>0</v>
      </c>
      <c r="AA348" t="b">
        <f t="shared" ca="1" si="86"/>
        <v>0</v>
      </c>
      <c r="AI348">
        <v>2035</v>
      </c>
      <c r="AJ348">
        <v>4</v>
      </c>
      <c r="AK348">
        <v>1</v>
      </c>
      <c r="AL348" t="s">
        <v>91</v>
      </c>
      <c r="AM348" t="s">
        <v>164</v>
      </c>
      <c r="AN348" t="s">
        <v>85</v>
      </c>
      <c r="AO348" s="1">
        <v>265</v>
      </c>
      <c r="AP348" t="s">
        <v>124</v>
      </c>
    </row>
    <row r="349" spans="21:42" x14ac:dyDescent="0.25">
      <c r="U349" s="5">
        <f t="shared" ca="1" si="87"/>
        <v>46424.579874305557</v>
      </c>
      <c r="V349">
        <f t="shared" ca="1" si="82"/>
        <v>2027</v>
      </c>
      <c r="W349">
        <f t="shared" ca="1" si="83"/>
        <v>2</v>
      </c>
      <c r="X349">
        <f t="shared" ca="1" si="84"/>
        <v>6</v>
      </c>
      <c r="Z349" t="b">
        <f t="shared" ca="1" si="85"/>
        <v>0</v>
      </c>
      <c r="AA349" t="b">
        <f t="shared" ca="1" si="86"/>
        <v>0</v>
      </c>
      <c r="AI349">
        <v>2035</v>
      </c>
      <c r="AJ349">
        <v>4</v>
      </c>
      <c r="AK349">
        <v>30</v>
      </c>
      <c r="AL349" t="s">
        <v>56</v>
      </c>
      <c r="AM349" t="s">
        <v>184</v>
      </c>
      <c r="AN349" t="s">
        <v>84</v>
      </c>
      <c r="AO349" s="1">
        <v>98</v>
      </c>
      <c r="AP349" t="s">
        <v>126</v>
      </c>
    </row>
    <row r="350" spans="21:42" x14ac:dyDescent="0.25">
      <c r="U350" s="5">
        <f t="shared" ca="1" si="87"/>
        <v>46425.579874305557</v>
      </c>
      <c r="V350">
        <f t="shared" ca="1" si="82"/>
        <v>2027</v>
      </c>
      <c r="W350">
        <f t="shared" ca="1" si="83"/>
        <v>2</v>
      </c>
      <c r="X350">
        <f t="shared" ca="1" si="84"/>
        <v>7</v>
      </c>
      <c r="Z350" t="b">
        <f t="shared" ca="1" si="85"/>
        <v>0</v>
      </c>
      <c r="AA350" t="b">
        <f t="shared" ca="1" si="86"/>
        <v>0</v>
      </c>
      <c r="AI350">
        <v>2035</v>
      </c>
      <c r="AJ350">
        <v>5</v>
      </c>
      <c r="AK350">
        <v>1</v>
      </c>
      <c r="AL350" t="s">
        <v>91</v>
      </c>
      <c r="AM350" t="s">
        <v>164</v>
      </c>
      <c r="AN350" t="s">
        <v>85</v>
      </c>
      <c r="AO350" s="1">
        <v>202</v>
      </c>
      <c r="AP350" t="s">
        <v>127</v>
      </c>
    </row>
    <row r="351" spans="21:42" x14ac:dyDescent="0.25">
      <c r="U351" s="5">
        <f t="shared" ca="1" si="87"/>
        <v>46426.579874305557</v>
      </c>
      <c r="V351">
        <f t="shared" ca="1" si="82"/>
        <v>2027</v>
      </c>
      <c r="W351">
        <f t="shared" ca="1" si="83"/>
        <v>2</v>
      </c>
      <c r="X351">
        <f t="shared" ca="1" si="84"/>
        <v>8</v>
      </c>
      <c r="Z351" t="b">
        <f t="shared" ca="1" si="85"/>
        <v>0</v>
      </c>
      <c r="AA351" t="b">
        <f t="shared" ca="1" si="86"/>
        <v>0</v>
      </c>
      <c r="AI351">
        <v>2035</v>
      </c>
      <c r="AJ351">
        <v>5</v>
      </c>
      <c r="AK351">
        <v>3</v>
      </c>
      <c r="AL351" t="s">
        <v>44</v>
      </c>
      <c r="AM351" t="s">
        <v>227</v>
      </c>
      <c r="AN351" t="s">
        <v>83</v>
      </c>
      <c r="AO351" s="1">
        <v>90</v>
      </c>
      <c r="AP351" t="s">
        <v>14</v>
      </c>
    </row>
    <row r="352" spans="21:42" x14ac:dyDescent="0.25">
      <c r="U352" s="5">
        <f t="shared" ca="1" si="87"/>
        <v>46427.579874305557</v>
      </c>
      <c r="V352">
        <f t="shared" ca="1" si="82"/>
        <v>2027</v>
      </c>
      <c r="W352">
        <f t="shared" ca="1" si="83"/>
        <v>2</v>
      </c>
      <c r="X352">
        <f t="shared" ca="1" si="84"/>
        <v>9</v>
      </c>
      <c r="Z352" t="b">
        <f t="shared" ca="1" si="85"/>
        <v>0</v>
      </c>
      <c r="AA352" t="b">
        <f t="shared" ca="1" si="86"/>
        <v>0</v>
      </c>
      <c r="AI352">
        <v>2035</v>
      </c>
      <c r="AJ352">
        <v>5</v>
      </c>
      <c r="AK352">
        <v>4</v>
      </c>
      <c r="AL352" t="s">
        <v>89</v>
      </c>
      <c r="AM352" t="s">
        <v>233</v>
      </c>
      <c r="AN352" t="s">
        <v>83</v>
      </c>
      <c r="AO352" s="1">
        <v>102</v>
      </c>
      <c r="AP352" t="s">
        <v>1366</v>
      </c>
    </row>
    <row r="353" spans="21:42" x14ac:dyDescent="0.25">
      <c r="U353" s="5">
        <f t="shared" ca="1" si="87"/>
        <v>46428.579874305557</v>
      </c>
      <c r="V353">
        <f t="shared" ca="1" si="82"/>
        <v>2027</v>
      </c>
      <c r="W353">
        <f t="shared" ca="1" si="83"/>
        <v>2</v>
      </c>
      <c r="X353">
        <f t="shared" ca="1" si="84"/>
        <v>10</v>
      </c>
      <c r="Z353" t="b">
        <f t="shared" ca="1" si="85"/>
        <v>0</v>
      </c>
      <c r="AA353" t="b">
        <f t="shared" ca="1" si="86"/>
        <v>0</v>
      </c>
      <c r="AI353">
        <v>2035</v>
      </c>
      <c r="AJ353">
        <v>5</v>
      </c>
      <c r="AK353">
        <v>5</v>
      </c>
      <c r="AL353" t="s">
        <v>93</v>
      </c>
      <c r="AM353" t="s">
        <v>152</v>
      </c>
      <c r="AN353" t="s">
        <v>84</v>
      </c>
      <c r="AO353" s="1">
        <v>64</v>
      </c>
      <c r="AP353" t="s">
        <v>107</v>
      </c>
    </row>
    <row r="354" spans="21:42" x14ac:dyDescent="0.25">
      <c r="U354" s="5">
        <f t="shared" ca="1" si="87"/>
        <v>46429.579874305557</v>
      </c>
      <c r="V354">
        <f t="shared" ca="1" si="82"/>
        <v>2027</v>
      </c>
      <c r="W354">
        <f t="shared" ca="1" si="83"/>
        <v>2</v>
      </c>
      <c r="X354">
        <f t="shared" ca="1" si="84"/>
        <v>11</v>
      </c>
      <c r="Z354" t="b">
        <f t="shared" ca="1" si="85"/>
        <v>0</v>
      </c>
      <c r="AA354" t="b">
        <f t="shared" ca="1" si="86"/>
        <v>0</v>
      </c>
      <c r="AI354">
        <v>2035</v>
      </c>
      <c r="AJ354">
        <v>5</v>
      </c>
      <c r="AK354">
        <v>10</v>
      </c>
      <c r="AL354" t="s">
        <v>56</v>
      </c>
      <c r="AM354" t="s">
        <v>184</v>
      </c>
      <c r="AN354" t="s">
        <v>84</v>
      </c>
      <c r="AO354" s="1">
        <v>73</v>
      </c>
      <c r="AP354" t="s">
        <v>128</v>
      </c>
    </row>
    <row r="355" spans="21:42" x14ac:dyDescent="0.25">
      <c r="U355" s="5">
        <f t="shared" ca="1" si="87"/>
        <v>46430.579874305557</v>
      </c>
      <c r="V355">
        <f t="shared" ca="1" si="82"/>
        <v>2027</v>
      </c>
      <c r="W355">
        <f t="shared" ca="1" si="83"/>
        <v>2</v>
      </c>
      <c r="X355">
        <f t="shared" ca="1" si="84"/>
        <v>12</v>
      </c>
      <c r="Z355" t="b">
        <f t="shared" ca="1" si="85"/>
        <v>0</v>
      </c>
      <c r="AA355" t="b">
        <f t="shared" ca="1" si="86"/>
        <v>0</v>
      </c>
      <c r="AI355">
        <v>2035</v>
      </c>
      <c r="AJ355">
        <v>5</v>
      </c>
      <c r="AK355">
        <v>13</v>
      </c>
      <c r="AL355" t="s">
        <v>49</v>
      </c>
      <c r="AM355" t="s">
        <v>167</v>
      </c>
      <c r="AN355" t="s">
        <v>85</v>
      </c>
      <c r="AO355" s="1">
        <v>119</v>
      </c>
      <c r="AP355" t="s">
        <v>142</v>
      </c>
    </row>
    <row r="356" spans="21:42" x14ac:dyDescent="0.25">
      <c r="U356" s="5">
        <f t="shared" ca="1" si="87"/>
        <v>46431.579874305557</v>
      </c>
      <c r="V356">
        <f t="shared" ca="1" si="82"/>
        <v>2027</v>
      </c>
      <c r="W356">
        <f t="shared" ca="1" si="83"/>
        <v>2</v>
      </c>
      <c r="X356">
        <f t="shared" ca="1" si="84"/>
        <v>13</v>
      </c>
      <c r="Z356" t="b">
        <f t="shared" ca="1" si="85"/>
        <v>0</v>
      </c>
      <c r="AA356" t="b">
        <f t="shared" ca="1" si="86"/>
        <v>0</v>
      </c>
      <c r="AI356">
        <v>2035</v>
      </c>
      <c r="AJ356">
        <v>5</v>
      </c>
      <c r="AK356">
        <v>14</v>
      </c>
      <c r="AL356" t="s">
        <v>49</v>
      </c>
      <c r="AM356" t="s">
        <v>167</v>
      </c>
      <c r="AN356" t="s">
        <v>85</v>
      </c>
      <c r="AO356" s="1">
        <v>235</v>
      </c>
      <c r="AP356" t="s">
        <v>1507</v>
      </c>
    </row>
    <row r="357" spans="21:42" x14ac:dyDescent="0.25">
      <c r="U357" s="5">
        <f t="shared" ca="1" si="87"/>
        <v>46432.579874305557</v>
      </c>
      <c r="V357">
        <f t="shared" ca="1" si="82"/>
        <v>2027</v>
      </c>
      <c r="W357">
        <f t="shared" ca="1" si="83"/>
        <v>2</v>
      </c>
      <c r="X357">
        <f t="shared" ca="1" si="84"/>
        <v>14</v>
      </c>
      <c r="Z357" t="b">
        <f t="shared" ca="1" si="85"/>
        <v>0</v>
      </c>
      <c r="AA357" t="b">
        <f t="shared" ca="1" si="86"/>
        <v>0</v>
      </c>
      <c r="AI357">
        <v>2035</v>
      </c>
      <c r="AJ357">
        <v>6</v>
      </c>
      <c r="AK357">
        <v>1</v>
      </c>
      <c r="AL357" t="s">
        <v>91</v>
      </c>
      <c r="AM357" t="s">
        <v>164</v>
      </c>
      <c r="AN357" t="s">
        <v>85</v>
      </c>
      <c r="AO357" s="1">
        <v>157</v>
      </c>
      <c r="AP357" t="s">
        <v>130</v>
      </c>
    </row>
    <row r="358" spans="21:42" x14ac:dyDescent="0.25">
      <c r="U358" s="5">
        <f t="shared" ca="1" si="87"/>
        <v>46433.579874305557</v>
      </c>
      <c r="V358">
        <f t="shared" ca="1" si="82"/>
        <v>2027</v>
      </c>
      <c r="W358">
        <f t="shared" ca="1" si="83"/>
        <v>2</v>
      </c>
      <c r="X358">
        <f t="shared" ca="1" si="84"/>
        <v>15</v>
      </c>
      <c r="Z358" t="b">
        <f t="shared" ca="1" si="85"/>
        <v>0</v>
      </c>
      <c r="AA358" t="b">
        <f t="shared" ca="1" si="86"/>
        <v>0</v>
      </c>
      <c r="AI358">
        <v>2035</v>
      </c>
      <c r="AJ358">
        <v>6</v>
      </c>
      <c r="AK358">
        <v>24</v>
      </c>
      <c r="AL358" t="s">
        <v>93</v>
      </c>
      <c r="AM358" t="s">
        <v>158</v>
      </c>
      <c r="AN358" t="s">
        <v>1413</v>
      </c>
      <c r="AO358" s="1">
        <v>61</v>
      </c>
      <c r="AP358" t="s">
        <v>1372</v>
      </c>
    </row>
    <row r="359" spans="21:42" x14ac:dyDescent="0.25">
      <c r="U359" s="5">
        <f t="shared" ca="1" si="87"/>
        <v>46434.579874305557</v>
      </c>
      <c r="V359">
        <f t="shared" ca="1" si="82"/>
        <v>2027</v>
      </c>
      <c r="W359">
        <f t="shared" ca="1" si="83"/>
        <v>2</v>
      </c>
      <c r="X359">
        <f t="shared" ca="1" si="84"/>
        <v>16</v>
      </c>
      <c r="Z359" t="b">
        <f t="shared" ca="1" si="85"/>
        <v>0</v>
      </c>
      <c r="AA359" t="b">
        <f t="shared" ca="1" si="86"/>
        <v>0</v>
      </c>
      <c r="AI359">
        <v>2035</v>
      </c>
      <c r="AJ359">
        <v>7</v>
      </c>
      <c r="AK359">
        <v>1</v>
      </c>
      <c r="AL359" t="s">
        <v>91</v>
      </c>
      <c r="AM359" t="s">
        <v>164</v>
      </c>
      <c r="AN359" t="s">
        <v>85</v>
      </c>
      <c r="AO359" s="1">
        <v>171</v>
      </c>
      <c r="AP359" t="s">
        <v>131</v>
      </c>
    </row>
    <row r="360" spans="21:42" x14ac:dyDescent="0.25">
      <c r="U360" s="5">
        <f t="shared" ca="1" si="87"/>
        <v>46435.579874305557</v>
      </c>
      <c r="V360">
        <f t="shared" ca="1" si="82"/>
        <v>2027</v>
      </c>
      <c r="W360">
        <f t="shared" ca="1" si="83"/>
        <v>2</v>
      </c>
      <c r="X360">
        <f t="shared" ca="1" si="84"/>
        <v>17</v>
      </c>
      <c r="Z360" t="b">
        <f t="shared" ca="1" si="85"/>
        <v>0</v>
      </c>
      <c r="AA360" t="b">
        <f t="shared" ca="1" si="86"/>
        <v>0</v>
      </c>
      <c r="AI360">
        <v>2035</v>
      </c>
      <c r="AJ360">
        <v>8</v>
      </c>
      <c r="AK360">
        <v>1</v>
      </c>
      <c r="AL360" t="s">
        <v>91</v>
      </c>
      <c r="AM360" t="s">
        <v>164</v>
      </c>
      <c r="AN360" t="s">
        <v>85</v>
      </c>
      <c r="AO360" s="1">
        <v>231</v>
      </c>
      <c r="AP360" t="s">
        <v>132</v>
      </c>
    </row>
    <row r="361" spans="21:42" x14ac:dyDescent="0.25">
      <c r="U361" s="5">
        <f t="shared" ca="1" si="87"/>
        <v>46436.579874305557</v>
      </c>
      <c r="V361">
        <f t="shared" ca="1" si="82"/>
        <v>2027</v>
      </c>
      <c r="W361">
        <f t="shared" ca="1" si="83"/>
        <v>2</v>
      </c>
      <c r="X361">
        <f t="shared" ca="1" si="84"/>
        <v>18</v>
      </c>
      <c r="Z361" t="b">
        <f t="shared" ca="1" si="85"/>
        <v>0</v>
      </c>
      <c r="AA361" t="b">
        <f t="shared" ca="1" si="86"/>
        <v>0</v>
      </c>
      <c r="AI361">
        <v>2035</v>
      </c>
      <c r="AJ361">
        <v>9</v>
      </c>
      <c r="AK361">
        <v>1</v>
      </c>
      <c r="AL361" t="s">
        <v>91</v>
      </c>
      <c r="AM361" t="s">
        <v>164</v>
      </c>
      <c r="AN361" t="s">
        <v>85</v>
      </c>
      <c r="AO361" s="1">
        <v>282</v>
      </c>
      <c r="AP361" t="s">
        <v>133</v>
      </c>
    </row>
    <row r="362" spans="21:42" x14ac:dyDescent="0.25">
      <c r="U362" s="5">
        <f t="shared" ca="1" si="87"/>
        <v>46437.579874305557</v>
      </c>
      <c r="V362">
        <f t="shared" ca="1" si="82"/>
        <v>2027</v>
      </c>
      <c r="W362">
        <f t="shared" ca="1" si="83"/>
        <v>2</v>
      </c>
      <c r="X362">
        <f t="shared" ca="1" si="84"/>
        <v>19</v>
      </c>
      <c r="Z362" t="b">
        <f t="shared" ca="1" si="85"/>
        <v>0</v>
      </c>
      <c r="AA362" t="b">
        <f t="shared" ca="1" si="86"/>
        <v>0</v>
      </c>
      <c r="AI362">
        <v>2035</v>
      </c>
      <c r="AJ362">
        <v>10</v>
      </c>
      <c r="AK362">
        <v>1</v>
      </c>
      <c r="AL362" t="s">
        <v>91</v>
      </c>
      <c r="AM362" t="s">
        <v>164</v>
      </c>
      <c r="AN362" t="s">
        <v>85</v>
      </c>
      <c r="AO362" s="1">
        <v>277</v>
      </c>
      <c r="AP362" t="s">
        <v>134</v>
      </c>
    </row>
    <row r="363" spans="21:42" x14ac:dyDescent="0.25">
      <c r="U363" s="5">
        <f t="shared" ca="1" si="87"/>
        <v>46438.579874305557</v>
      </c>
      <c r="V363">
        <f t="shared" ca="1" si="82"/>
        <v>2027</v>
      </c>
      <c r="W363">
        <f t="shared" ca="1" si="83"/>
        <v>2</v>
      </c>
      <c r="X363">
        <f t="shared" ca="1" si="84"/>
        <v>20</v>
      </c>
      <c r="Z363" t="b">
        <f t="shared" ca="1" si="85"/>
        <v>0</v>
      </c>
      <c r="AA363" t="b">
        <f t="shared" ca="1" si="86"/>
        <v>0</v>
      </c>
      <c r="AI363">
        <v>2035</v>
      </c>
      <c r="AJ363">
        <v>10</v>
      </c>
      <c r="AK363">
        <v>8</v>
      </c>
      <c r="AL363" t="s">
        <v>56</v>
      </c>
      <c r="AM363" t="s">
        <v>184</v>
      </c>
      <c r="AN363" t="s">
        <v>84</v>
      </c>
      <c r="AO363" s="1">
        <v>105</v>
      </c>
      <c r="AP363" t="s">
        <v>135</v>
      </c>
    </row>
    <row r="364" spans="21:42" x14ac:dyDescent="0.25">
      <c r="U364" s="5">
        <f t="shared" ca="1" si="87"/>
        <v>46439.579874305557</v>
      </c>
      <c r="V364">
        <f t="shared" ca="1" si="82"/>
        <v>2027</v>
      </c>
      <c r="W364">
        <f t="shared" ca="1" si="83"/>
        <v>2</v>
      </c>
      <c r="X364">
        <f t="shared" ca="1" si="84"/>
        <v>21</v>
      </c>
      <c r="Z364" t="b">
        <f t="shared" ca="1" si="85"/>
        <v>0</v>
      </c>
      <c r="AA364" t="b">
        <f t="shared" ca="1" si="86"/>
        <v>0</v>
      </c>
      <c r="AI364">
        <v>2035</v>
      </c>
      <c r="AJ364">
        <v>11</v>
      </c>
      <c r="AK364">
        <v>1</v>
      </c>
      <c r="AL364" t="s">
        <v>91</v>
      </c>
      <c r="AM364" t="s">
        <v>164</v>
      </c>
      <c r="AN364" t="s">
        <v>85</v>
      </c>
      <c r="AO364" s="1">
        <v>221</v>
      </c>
      <c r="AP364" t="s">
        <v>136</v>
      </c>
    </row>
    <row r="365" spans="21:42" x14ac:dyDescent="0.25">
      <c r="U365" s="5">
        <f t="shared" ca="1" si="87"/>
        <v>46440.579874305557</v>
      </c>
      <c r="V365">
        <f t="shared" ca="1" si="82"/>
        <v>2027</v>
      </c>
      <c r="W365">
        <f t="shared" ca="1" si="83"/>
        <v>2</v>
      </c>
      <c r="X365">
        <f t="shared" ca="1" si="84"/>
        <v>22</v>
      </c>
      <c r="Z365" t="b">
        <f t="shared" ca="1" si="85"/>
        <v>0</v>
      </c>
      <c r="AA365" t="b">
        <f t="shared" ca="1" si="86"/>
        <v>0</v>
      </c>
      <c r="AI365">
        <v>2035</v>
      </c>
      <c r="AJ365">
        <v>12</v>
      </c>
      <c r="AK365">
        <v>1</v>
      </c>
      <c r="AL365" t="s">
        <v>91</v>
      </c>
      <c r="AM365" t="s">
        <v>164</v>
      </c>
      <c r="AN365" t="s">
        <v>85</v>
      </c>
      <c r="AO365" s="1">
        <v>165</v>
      </c>
      <c r="AP365" t="s">
        <v>137</v>
      </c>
    </row>
    <row r="366" spans="21:42" x14ac:dyDescent="0.25">
      <c r="U366" s="5">
        <f t="shared" ca="1" si="87"/>
        <v>46441.579874305557</v>
      </c>
      <c r="V366">
        <f t="shared" ca="1" si="82"/>
        <v>2027</v>
      </c>
      <c r="W366">
        <f t="shared" ca="1" si="83"/>
        <v>2</v>
      </c>
      <c r="X366">
        <f t="shared" ca="1" si="84"/>
        <v>23</v>
      </c>
      <c r="Z366" t="b">
        <f t="shared" ca="1" si="85"/>
        <v>0</v>
      </c>
      <c r="AA366" t="b">
        <f t="shared" ca="1" si="86"/>
        <v>0</v>
      </c>
      <c r="AI366">
        <v>2035</v>
      </c>
      <c r="AJ366">
        <v>12</v>
      </c>
      <c r="AK366">
        <v>5</v>
      </c>
      <c r="AL366" t="s">
        <v>53</v>
      </c>
      <c r="AM366" t="s">
        <v>224</v>
      </c>
      <c r="AN366" t="s">
        <v>258</v>
      </c>
      <c r="AO366" s="1">
        <v>113</v>
      </c>
      <c r="AP366" t="s">
        <v>1234</v>
      </c>
    </row>
    <row r="367" spans="21:42" x14ac:dyDescent="0.25">
      <c r="U367" s="5">
        <f t="shared" ca="1" si="87"/>
        <v>46442.579874305557</v>
      </c>
      <c r="V367">
        <f t="shared" ca="1" si="82"/>
        <v>2027</v>
      </c>
      <c r="W367">
        <f t="shared" ca="1" si="83"/>
        <v>2</v>
      </c>
      <c r="X367">
        <f t="shared" ca="1" si="84"/>
        <v>24</v>
      </c>
      <c r="Z367" t="b">
        <f t="shared" ca="1" si="85"/>
        <v>0</v>
      </c>
      <c r="AA367" t="b">
        <f t="shared" ca="1" si="86"/>
        <v>0</v>
      </c>
      <c r="AI367">
        <v>2035</v>
      </c>
      <c r="AJ367">
        <v>12</v>
      </c>
      <c r="AK367">
        <v>13</v>
      </c>
      <c r="AL367" t="s">
        <v>56</v>
      </c>
      <c r="AM367" t="s">
        <v>184</v>
      </c>
      <c r="AN367" t="s">
        <v>84</v>
      </c>
      <c r="AO367" s="1">
        <v>114</v>
      </c>
      <c r="AP367" t="s">
        <v>138</v>
      </c>
    </row>
    <row r="368" spans="21:42" x14ac:dyDescent="0.25">
      <c r="U368" s="5">
        <f t="shared" ca="1" si="87"/>
        <v>46443.579874305557</v>
      </c>
      <c r="V368">
        <f t="shared" ca="1" si="82"/>
        <v>2027</v>
      </c>
      <c r="W368">
        <f t="shared" ca="1" si="83"/>
        <v>2</v>
      </c>
      <c r="X368">
        <f t="shared" ca="1" si="84"/>
        <v>25</v>
      </c>
      <c r="Z368" t="b">
        <f t="shared" ca="1" si="85"/>
        <v>0</v>
      </c>
      <c r="AA368" t="b">
        <f t="shared" ca="1" si="86"/>
        <v>0</v>
      </c>
      <c r="AI368">
        <v>2035</v>
      </c>
      <c r="AJ368">
        <v>12</v>
      </c>
      <c r="AK368">
        <v>25</v>
      </c>
      <c r="AL368" t="s">
        <v>43</v>
      </c>
      <c r="AM368" t="s">
        <v>230</v>
      </c>
      <c r="AN368" t="s">
        <v>1412</v>
      </c>
      <c r="AO368" s="1">
        <v>95</v>
      </c>
      <c r="AP368" t="s">
        <v>7</v>
      </c>
    </row>
    <row r="369" spans="35:42" x14ac:dyDescent="0.25">
      <c r="AI369">
        <v>2035</v>
      </c>
      <c r="AJ369">
        <v>12</v>
      </c>
      <c r="AK369">
        <v>26</v>
      </c>
      <c r="AL369" t="s">
        <v>43</v>
      </c>
      <c r="AM369" t="s">
        <v>201</v>
      </c>
      <c r="AN369" t="s">
        <v>86</v>
      </c>
      <c r="AO369" s="1">
        <v>108</v>
      </c>
      <c r="AP369" t="s">
        <v>78</v>
      </c>
    </row>
    <row r="370" spans="35:42" x14ac:dyDescent="0.25">
      <c r="AI370">
        <v>2035</v>
      </c>
      <c r="AJ370">
        <v>12</v>
      </c>
      <c r="AK370">
        <v>28</v>
      </c>
      <c r="AL370" t="s">
        <v>52</v>
      </c>
      <c r="AM370" t="s">
        <v>245</v>
      </c>
      <c r="AN370" t="s">
        <v>1412</v>
      </c>
      <c r="AO370" s="1">
        <v>77</v>
      </c>
      <c r="AP370" t="s">
        <v>1370</v>
      </c>
    </row>
    <row r="371" spans="35:42" x14ac:dyDescent="0.25">
      <c r="AI371">
        <v>2036</v>
      </c>
      <c r="AJ371">
        <v>1</v>
      </c>
      <c r="AK371">
        <v>1</v>
      </c>
      <c r="AL371" t="s">
        <v>93</v>
      </c>
      <c r="AM371" t="s">
        <v>256</v>
      </c>
      <c r="AN371" t="s">
        <v>83</v>
      </c>
      <c r="AO371" s="1">
        <v>77</v>
      </c>
      <c r="AP371" t="s">
        <v>8</v>
      </c>
    </row>
    <row r="372" spans="35:42" x14ac:dyDescent="0.25">
      <c r="AI372">
        <v>2036</v>
      </c>
      <c r="AJ372">
        <v>2</v>
      </c>
      <c r="AK372">
        <v>1</v>
      </c>
      <c r="AL372" t="s">
        <v>91</v>
      </c>
      <c r="AM372" t="s">
        <v>164</v>
      </c>
      <c r="AN372" t="s">
        <v>85</v>
      </c>
      <c r="AO372" s="1">
        <v>249</v>
      </c>
      <c r="AP372" t="s">
        <v>1498</v>
      </c>
    </row>
    <row r="373" spans="35:42" x14ac:dyDescent="0.25">
      <c r="AI373">
        <v>2036</v>
      </c>
      <c r="AJ373">
        <v>2</v>
      </c>
      <c r="AK373">
        <v>14</v>
      </c>
      <c r="AL373" t="s">
        <v>93</v>
      </c>
      <c r="AM373" t="s">
        <v>1393</v>
      </c>
      <c r="AN373" t="s">
        <v>258</v>
      </c>
      <c r="AO373" s="1">
        <v>70</v>
      </c>
      <c r="AP373" t="s">
        <v>1374</v>
      </c>
    </row>
    <row r="374" spans="35:42" x14ac:dyDescent="0.25">
      <c r="AI374">
        <v>2036</v>
      </c>
      <c r="AJ374">
        <v>2</v>
      </c>
      <c r="AK374">
        <v>24</v>
      </c>
      <c r="AL374" t="s">
        <v>93</v>
      </c>
      <c r="AM374" t="s">
        <v>164</v>
      </c>
      <c r="AN374" t="s">
        <v>84</v>
      </c>
      <c r="AO374" s="1">
        <v>79</v>
      </c>
      <c r="AP374" t="s">
        <v>1508</v>
      </c>
    </row>
    <row r="375" spans="35:42" x14ac:dyDescent="0.25">
      <c r="AI375">
        <v>2036</v>
      </c>
      <c r="AJ375">
        <v>2</v>
      </c>
      <c r="AK375">
        <v>24</v>
      </c>
      <c r="AL375" t="s">
        <v>93</v>
      </c>
      <c r="AM375" t="s">
        <v>164</v>
      </c>
      <c r="AN375" t="s">
        <v>84</v>
      </c>
      <c r="AO375" s="1">
        <v>112</v>
      </c>
      <c r="AP375" t="s">
        <v>1504</v>
      </c>
    </row>
    <row r="376" spans="35:42" x14ac:dyDescent="0.25">
      <c r="AI376">
        <v>2036</v>
      </c>
      <c r="AJ376">
        <v>2</v>
      </c>
      <c r="AK376">
        <v>25</v>
      </c>
      <c r="AL376" t="s">
        <v>93</v>
      </c>
      <c r="AM376" t="s">
        <v>164</v>
      </c>
      <c r="AN376" t="s">
        <v>84</v>
      </c>
      <c r="AO376" s="1">
        <v>131</v>
      </c>
      <c r="AP376" t="s">
        <v>1509</v>
      </c>
    </row>
    <row r="377" spans="35:42" x14ac:dyDescent="0.25">
      <c r="AI377">
        <v>2036</v>
      </c>
      <c r="AJ377">
        <v>2</v>
      </c>
      <c r="AK377">
        <v>27</v>
      </c>
      <c r="AL377" t="s">
        <v>89</v>
      </c>
      <c r="AM377" t="s">
        <v>204</v>
      </c>
      <c r="AN377" t="s">
        <v>86</v>
      </c>
      <c r="AO377" s="1">
        <v>198</v>
      </c>
      <c r="AP377" t="s">
        <v>139</v>
      </c>
    </row>
    <row r="378" spans="35:42" x14ac:dyDescent="0.25">
      <c r="AI378">
        <v>2036</v>
      </c>
      <c r="AJ378">
        <v>3</v>
      </c>
      <c r="AK378">
        <v>1</v>
      </c>
      <c r="AL378" t="s">
        <v>91</v>
      </c>
      <c r="AM378" t="s">
        <v>164</v>
      </c>
      <c r="AN378" t="s">
        <v>85</v>
      </c>
      <c r="AO378" s="1">
        <v>287</v>
      </c>
      <c r="AP378" t="s">
        <v>122</v>
      </c>
    </row>
    <row r="379" spans="35:42" x14ac:dyDescent="0.25">
      <c r="AI379">
        <v>2036</v>
      </c>
      <c r="AJ379">
        <v>3</v>
      </c>
      <c r="AK379">
        <v>14</v>
      </c>
      <c r="AL379" t="s">
        <v>45</v>
      </c>
      <c r="AM379" t="s">
        <v>161</v>
      </c>
      <c r="AN379" t="s">
        <v>1414</v>
      </c>
      <c r="AO379" s="1">
        <v>95</v>
      </c>
      <c r="AP379" t="s">
        <v>1502</v>
      </c>
    </row>
    <row r="380" spans="35:42" x14ac:dyDescent="0.25">
      <c r="AI380">
        <v>2036</v>
      </c>
      <c r="AJ380">
        <v>3</v>
      </c>
      <c r="AK380">
        <v>21</v>
      </c>
      <c r="AL380" t="s">
        <v>56</v>
      </c>
      <c r="AM380" t="s">
        <v>184</v>
      </c>
      <c r="AN380" t="s">
        <v>84</v>
      </c>
      <c r="AO380" s="1">
        <v>73</v>
      </c>
      <c r="AP380" t="s">
        <v>123</v>
      </c>
    </row>
    <row r="381" spans="35:42" x14ac:dyDescent="0.25">
      <c r="AI381">
        <v>2036</v>
      </c>
      <c r="AJ381">
        <v>4</v>
      </c>
      <c r="AK381">
        <v>1</v>
      </c>
      <c r="AL381" t="s">
        <v>91</v>
      </c>
      <c r="AM381" t="s">
        <v>164</v>
      </c>
      <c r="AN381" t="s">
        <v>85</v>
      </c>
      <c r="AO381" s="1">
        <v>265</v>
      </c>
      <c r="AP381" t="s">
        <v>124</v>
      </c>
    </row>
    <row r="382" spans="35:42" x14ac:dyDescent="0.25">
      <c r="AI382">
        <v>2036</v>
      </c>
      <c r="AJ382">
        <v>4</v>
      </c>
      <c r="AK382">
        <v>11</v>
      </c>
      <c r="AL382" t="s">
        <v>54</v>
      </c>
      <c r="AM382" t="s">
        <v>181</v>
      </c>
      <c r="AN382" t="s">
        <v>83</v>
      </c>
      <c r="AO382" s="1">
        <v>248</v>
      </c>
      <c r="AP382" t="s">
        <v>28</v>
      </c>
    </row>
    <row r="383" spans="35:42" x14ac:dyDescent="0.25">
      <c r="AI383">
        <v>2036</v>
      </c>
      <c r="AJ383">
        <v>4</v>
      </c>
      <c r="AK383">
        <v>13</v>
      </c>
      <c r="AL383" t="s">
        <v>58</v>
      </c>
      <c r="AM383" t="s">
        <v>158</v>
      </c>
      <c r="AN383" t="s">
        <v>261</v>
      </c>
      <c r="AO383" s="1">
        <v>64</v>
      </c>
      <c r="AP383" t="s">
        <v>12</v>
      </c>
    </row>
    <row r="384" spans="35:42" x14ac:dyDescent="0.25">
      <c r="AI384">
        <v>2036</v>
      </c>
      <c r="AJ384">
        <v>4</v>
      </c>
      <c r="AK384">
        <v>14</v>
      </c>
      <c r="AL384" t="s">
        <v>58</v>
      </c>
      <c r="AM384" t="s">
        <v>198</v>
      </c>
      <c r="AN384" t="s">
        <v>265</v>
      </c>
      <c r="AO384" s="1">
        <v>366</v>
      </c>
      <c r="AP384" t="s">
        <v>1379</v>
      </c>
    </row>
    <row r="385" spans="35:42" x14ac:dyDescent="0.25">
      <c r="AI385">
        <v>2036</v>
      </c>
      <c r="AJ385">
        <v>4</v>
      </c>
      <c r="AK385">
        <v>30</v>
      </c>
      <c r="AL385" t="s">
        <v>56</v>
      </c>
      <c r="AM385" t="s">
        <v>184</v>
      </c>
      <c r="AN385" t="s">
        <v>84</v>
      </c>
      <c r="AO385" s="1">
        <v>98</v>
      </c>
      <c r="AP385" t="s">
        <v>126</v>
      </c>
    </row>
    <row r="386" spans="35:42" x14ac:dyDescent="0.25">
      <c r="AI386">
        <v>2036</v>
      </c>
      <c r="AJ386">
        <v>5</v>
      </c>
      <c r="AK386">
        <v>1</v>
      </c>
      <c r="AL386" t="s">
        <v>91</v>
      </c>
      <c r="AM386" t="s">
        <v>164</v>
      </c>
      <c r="AN386" t="s">
        <v>85</v>
      </c>
      <c r="AO386" s="1">
        <v>202</v>
      </c>
      <c r="AP386" t="s">
        <v>127</v>
      </c>
    </row>
    <row r="387" spans="35:42" x14ac:dyDescent="0.25">
      <c r="AI387">
        <v>2036</v>
      </c>
      <c r="AJ387">
        <v>5</v>
      </c>
      <c r="AK387">
        <v>4</v>
      </c>
      <c r="AL387" t="s">
        <v>89</v>
      </c>
      <c r="AM387" t="s">
        <v>233</v>
      </c>
      <c r="AN387" t="s">
        <v>83</v>
      </c>
      <c r="AO387" s="1">
        <v>102</v>
      </c>
      <c r="AP387" t="s">
        <v>1366</v>
      </c>
    </row>
    <row r="388" spans="35:42" x14ac:dyDescent="0.25">
      <c r="AI388">
        <v>2036</v>
      </c>
      <c r="AJ388">
        <v>5</v>
      </c>
      <c r="AK388">
        <v>5</v>
      </c>
      <c r="AL388" t="s">
        <v>93</v>
      </c>
      <c r="AM388" t="s">
        <v>152</v>
      </c>
      <c r="AN388" t="s">
        <v>84</v>
      </c>
      <c r="AO388" s="1">
        <v>64</v>
      </c>
      <c r="AP388" t="s">
        <v>107</v>
      </c>
    </row>
    <row r="389" spans="35:42" x14ac:dyDescent="0.25">
      <c r="AI389">
        <v>2036</v>
      </c>
      <c r="AJ389">
        <v>5</v>
      </c>
      <c r="AK389">
        <v>10</v>
      </c>
      <c r="AL389" t="s">
        <v>56</v>
      </c>
      <c r="AM389" t="s">
        <v>184</v>
      </c>
      <c r="AN389" t="s">
        <v>84</v>
      </c>
      <c r="AO389" s="1">
        <v>73</v>
      </c>
      <c r="AP389" t="s">
        <v>128</v>
      </c>
    </row>
    <row r="390" spans="35:42" x14ac:dyDescent="0.25">
      <c r="AI390">
        <v>2036</v>
      </c>
      <c r="AJ390">
        <v>5</v>
      </c>
      <c r="AK390">
        <v>22</v>
      </c>
      <c r="AL390" t="s">
        <v>44</v>
      </c>
      <c r="AM390" t="s">
        <v>227</v>
      </c>
      <c r="AN390" t="s">
        <v>83</v>
      </c>
      <c r="AO390" s="1">
        <v>92</v>
      </c>
      <c r="AP390" t="s">
        <v>14</v>
      </c>
    </row>
    <row r="391" spans="35:42" x14ac:dyDescent="0.25">
      <c r="AI391">
        <v>2036</v>
      </c>
      <c r="AJ391">
        <v>6</v>
      </c>
      <c r="AK391">
        <v>1</v>
      </c>
      <c r="AL391" t="s">
        <v>49</v>
      </c>
      <c r="AM391" t="s">
        <v>167</v>
      </c>
      <c r="AN391" t="s">
        <v>85</v>
      </c>
      <c r="AO391" s="1">
        <v>142</v>
      </c>
      <c r="AP391" t="s">
        <v>144</v>
      </c>
    </row>
    <row r="392" spans="35:42" x14ac:dyDescent="0.25">
      <c r="AI392">
        <v>2036</v>
      </c>
      <c r="AJ392">
        <v>6</v>
      </c>
      <c r="AK392">
        <v>1</v>
      </c>
      <c r="AL392" t="s">
        <v>91</v>
      </c>
      <c r="AM392" t="s">
        <v>164</v>
      </c>
      <c r="AN392" t="s">
        <v>85</v>
      </c>
      <c r="AO392" s="1">
        <v>157</v>
      </c>
      <c r="AP392" t="s">
        <v>130</v>
      </c>
    </row>
    <row r="393" spans="35:42" x14ac:dyDescent="0.25">
      <c r="AI393">
        <v>2036</v>
      </c>
      <c r="AJ393">
        <v>6</v>
      </c>
      <c r="AK393">
        <v>2</v>
      </c>
      <c r="AL393" t="s">
        <v>49</v>
      </c>
      <c r="AM393" t="s">
        <v>167</v>
      </c>
      <c r="AN393" t="s">
        <v>85</v>
      </c>
      <c r="AO393" s="1">
        <v>253</v>
      </c>
      <c r="AP393" t="s">
        <v>1510</v>
      </c>
    </row>
    <row r="394" spans="35:42" x14ac:dyDescent="0.25">
      <c r="AI394">
        <v>2036</v>
      </c>
      <c r="AJ394">
        <v>6</v>
      </c>
      <c r="AK394">
        <v>24</v>
      </c>
      <c r="AL394" t="s">
        <v>93</v>
      </c>
      <c r="AM394" t="s">
        <v>158</v>
      </c>
      <c r="AN394" t="s">
        <v>1413</v>
      </c>
      <c r="AO394" s="1">
        <v>61</v>
      </c>
      <c r="AP394" t="s">
        <v>1372</v>
      </c>
    </row>
    <row r="395" spans="35:42" x14ac:dyDescent="0.25">
      <c r="AI395">
        <v>2036</v>
      </c>
      <c r="AJ395">
        <v>7</v>
      </c>
      <c r="AK395">
        <v>1</v>
      </c>
      <c r="AL395" t="s">
        <v>91</v>
      </c>
      <c r="AM395" t="s">
        <v>164</v>
      </c>
      <c r="AN395" t="s">
        <v>85</v>
      </c>
      <c r="AO395" s="1">
        <v>171</v>
      </c>
      <c r="AP395" t="s">
        <v>131</v>
      </c>
    </row>
    <row r="396" spans="35:42" x14ac:dyDescent="0.25">
      <c r="AI396">
        <v>2036</v>
      </c>
      <c r="AJ396">
        <v>8</v>
      </c>
      <c r="AK396">
        <v>1</v>
      </c>
      <c r="AL396" t="s">
        <v>91</v>
      </c>
      <c r="AM396" t="s">
        <v>164</v>
      </c>
      <c r="AN396" t="s">
        <v>85</v>
      </c>
      <c r="AO396" s="1">
        <v>231</v>
      </c>
      <c r="AP396" t="s">
        <v>132</v>
      </c>
    </row>
    <row r="397" spans="35:42" x14ac:dyDescent="0.25">
      <c r="AI397">
        <v>2036</v>
      </c>
      <c r="AJ397">
        <v>9</v>
      </c>
      <c r="AK397">
        <v>1</v>
      </c>
      <c r="AL397" t="s">
        <v>91</v>
      </c>
      <c r="AM397" t="s">
        <v>164</v>
      </c>
      <c r="AN397" t="s">
        <v>85</v>
      </c>
      <c r="AO397" s="1">
        <v>282</v>
      </c>
      <c r="AP397" t="s">
        <v>133</v>
      </c>
    </row>
    <row r="398" spans="35:42" x14ac:dyDescent="0.25">
      <c r="AI398">
        <v>2036</v>
      </c>
      <c r="AJ398">
        <v>10</v>
      </c>
      <c r="AK398">
        <v>1</v>
      </c>
      <c r="AL398" t="s">
        <v>91</v>
      </c>
      <c r="AM398" t="s">
        <v>164</v>
      </c>
      <c r="AN398" t="s">
        <v>85</v>
      </c>
      <c r="AO398" s="1">
        <v>277</v>
      </c>
      <c r="AP398" t="s">
        <v>134</v>
      </c>
    </row>
    <row r="399" spans="35:42" x14ac:dyDescent="0.25">
      <c r="AI399">
        <v>2036</v>
      </c>
      <c r="AJ399">
        <v>10</v>
      </c>
      <c r="AK399">
        <v>8</v>
      </c>
      <c r="AL399" t="s">
        <v>56</v>
      </c>
      <c r="AM399" t="s">
        <v>184</v>
      </c>
      <c r="AN399" t="s">
        <v>84</v>
      </c>
      <c r="AO399" s="1">
        <v>105</v>
      </c>
      <c r="AP399" t="s">
        <v>135</v>
      </c>
    </row>
    <row r="400" spans="35:42" x14ac:dyDescent="0.25">
      <c r="AI400">
        <v>2036</v>
      </c>
      <c r="AJ400">
        <v>11</v>
      </c>
      <c r="AK400">
        <v>1</v>
      </c>
      <c r="AL400" t="s">
        <v>91</v>
      </c>
      <c r="AM400" t="s">
        <v>164</v>
      </c>
      <c r="AN400" t="s">
        <v>85</v>
      </c>
      <c r="AO400" s="1">
        <v>221</v>
      </c>
      <c r="AP400" t="s">
        <v>136</v>
      </c>
    </row>
    <row r="401" spans="35:42" x14ac:dyDescent="0.25">
      <c r="AI401">
        <v>2036</v>
      </c>
      <c r="AJ401">
        <v>12</v>
      </c>
      <c r="AK401">
        <v>1</v>
      </c>
      <c r="AL401" t="s">
        <v>91</v>
      </c>
      <c r="AM401" t="s">
        <v>164</v>
      </c>
      <c r="AN401" t="s">
        <v>85</v>
      </c>
      <c r="AO401" s="1">
        <v>165</v>
      </c>
      <c r="AP401" t="s">
        <v>137</v>
      </c>
    </row>
    <row r="402" spans="35:42" x14ac:dyDescent="0.25">
      <c r="AI402">
        <v>2036</v>
      </c>
      <c r="AJ402">
        <v>12</v>
      </c>
      <c r="AK402">
        <v>5</v>
      </c>
      <c r="AL402" t="s">
        <v>53</v>
      </c>
      <c r="AM402" t="s">
        <v>224</v>
      </c>
      <c r="AN402" t="s">
        <v>258</v>
      </c>
      <c r="AO402" s="1">
        <v>113</v>
      </c>
      <c r="AP402" t="s">
        <v>1234</v>
      </c>
    </row>
    <row r="403" spans="35:42" x14ac:dyDescent="0.25">
      <c r="AI403">
        <v>2036</v>
      </c>
      <c r="AJ403">
        <v>12</v>
      </c>
      <c r="AK403">
        <v>13</v>
      </c>
      <c r="AL403" t="s">
        <v>56</v>
      </c>
      <c r="AM403" t="s">
        <v>184</v>
      </c>
      <c r="AN403" t="s">
        <v>84</v>
      </c>
      <c r="AO403" s="1">
        <v>114</v>
      </c>
      <c r="AP403" t="s">
        <v>138</v>
      </c>
    </row>
    <row r="404" spans="35:42" x14ac:dyDescent="0.25">
      <c r="AI404">
        <v>2036</v>
      </c>
      <c r="AJ404">
        <v>12</v>
      </c>
      <c r="AK404">
        <v>25</v>
      </c>
      <c r="AL404" t="s">
        <v>43</v>
      </c>
      <c r="AM404" t="s">
        <v>230</v>
      </c>
      <c r="AN404" t="s">
        <v>1412</v>
      </c>
      <c r="AO404" s="1">
        <v>95</v>
      </c>
      <c r="AP404" t="s">
        <v>7</v>
      </c>
    </row>
    <row r="405" spans="35:42" x14ac:dyDescent="0.25">
      <c r="AI405">
        <v>2036</v>
      </c>
      <c r="AJ405">
        <v>12</v>
      </c>
      <c r="AK405">
        <v>26</v>
      </c>
      <c r="AL405" t="s">
        <v>43</v>
      </c>
      <c r="AM405" t="s">
        <v>201</v>
      </c>
      <c r="AN405" t="s">
        <v>86</v>
      </c>
      <c r="AO405" s="1">
        <v>108</v>
      </c>
      <c r="AP405" t="s">
        <v>78</v>
      </c>
    </row>
    <row r="406" spans="35:42" x14ac:dyDescent="0.25">
      <c r="AI406">
        <v>2036</v>
      </c>
      <c r="AJ406">
        <v>12</v>
      </c>
      <c r="AK406">
        <v>28</v>
      </c>
      <c r="AL406" t="s">
        <v>52</v>
      </c>
      <c r="AM406" t="s">
        <v>245</v>
      </c>
      <c r="AN406" t="s">
        <v>1412</v>
      </c>
      <c r="AO406" s="1">
        <v>77</v>
      </c>
      <c r="AP406" t="s">
        <v>1370</v>
      </c>
    </row>
    <row r="407" spans="35:42" x14ac:dyDescent="0.25">
      <c r="AI407">
        <v>2037</v>
      </c>
      <c r="AJ407">
        <v>1</v>
      </c>
      <c r="AK407">
        <v>1</v>
      </c>
      <c r="AL407" t="s">
        <v>93</v>
      </c>
      <c r="AM407" t="s">
        <v>256</v>
      </c>
      <c r="AN407" t="s">
        <v>83</v>
      </c>
      <c r="AO407" s="1">
        <v>77</v>
      </c>
      <c r="AP407" t="s">
        <v>8</v>
      </c>
    </row>
    <row r="408" spans="35:42" x14ac:dyDescent="0.25">
      <c r="AI408">
        <v>2037</v>
      </c>
      <c r="AJ408">
        <v>2</v>
      </c>
      <c r="AK408">
        <v>1</v>
      </c>
      <c r="AL408" t="s">
        <v>91</v>
      </c>
      <c r="AM408" t="s">
        <v>164</v>
      </c>
      <c r="AN408" t="s">
        <v>85</v>
      </c>
      <c r="AO408" s="1">
        <v>249</v>
      </c>
      <c r="AP408" t="s">
        <v>1498</v>
      </c>
    </row>
    <row r="409" spans="35:42" x14ac:dyDescent="0.25">
      <c r="AI409">
        <v>2037</v>
      </c>
      <c r="AJ409">
        <v>2</v>
      </c>
      <c r="AK409">
        <v>14</v>
      </c>
      <c r="AL409" t="s">
        <v>93</v>
      </c>
      <c r="AM409" t="s">
        <v>1393</v>
      </c>
      <c r="AN409" t="s">
        <v>258</v>
      </c>
      <c r="AO409" s="1">
        <v>70</v>
      </c>
      <c r="AP409" t="s">
        <v>1374</v>
      </c>
    </row>
    <row r="410" spans="35:42" x14ac:dyDescent="0.25">
      <c r="AI410">
        <v>2037</v>
      </c>
      <c r="AJ410">
        <v>2</v>
      </c>
      <c r="AK410">
        <v>15</v>
      </c>
      <c r="AL410" t="s">
        <v>93</v>
      </c>
      <c r="AM410" t="s">
        <v>164</v>
      </c>
      <c r="AN410" t="s">
        <v>84</v>
      </c>
      <c r="AO410" s="1">
        <v>118</v>
      </c>
      <c r="AP410" t="s">
        <v>1508</v>
      </c>
    </row>
    <row r="411" spans="35:42" x14ac:dyDescent="0.25">
      <c r="AI411">
        <v>2037</v>
      </c>
      <c r="AJ411">
        <v>2</v>
      </c>
      <c r="AK411">
        <v>15</v>
      </c>
      <c r="AL411" t="s">
        <v>93</v>
      </c>
      <c r="AM411" t="s">
        <v>164</v>
      </c>
      <c r="AN411" t="s">
        <v>84</v>
      </c>
      <c r="AO411" s="1">
        <v>91</v>
      </c>
      <c r="AP411" t="s">
        <v>1511</v>
      </c>
    </row>
    <row r="412" spans="35:42" x14ac:dyDescent="0.25">
      <c r="AI412">
        <v>2037</v>
      </c>
      <c r="AJ412">
        <v>2</v>
      </c>
      <c r="AK412">
        <v>16</v>
      </c>
      <c r="AL412" t="s">
        <v>93</v>
      </c>
      <c r="AM412" t="s">
        <v>164</v>
      </c>
      <c r="AN412" t="s">
        <v>84</v>
      </c>
      <c r="AO412" s="1">
        <v>129</v>
      </c>
      <c r="AP412" t="s">
        <v>1512</v>
      </c>
    </row>
    <row r="413" spans="35:42" x14ac:dyDescent="0.25">
      <c r="AI413">
        <v>2037</v>
      </c>
      <c r="AJ413">
        <v>2</v>
      </c>
      <c r="AK413">
        <v>18</v>
      </c>
      <c r="AL413" t="s">
        <v>89</v>
      </c>
      <c r="AM413" t="s">
        <v>204</v>
      </c>
      <c r="AN413" t="s">
        <v>86</v>
      </c>
      <c r="AO413" s="1">
        <v>241</v>
      </c>
      <c r="AP413" t="s">
        <v>143</v>
      </c>
    </row>
    <row r="414" spans="35:42" x14ac:dyDescent="0.25">
      <c r="AI414">
        <v>2037</v>
      </c>
      <c r="AJ414">
        <v>3</v>
      </c>
      <c r="AK414">
        <v>1</v>
      </c>
      <c r="AL414" t="s">
        <v>91</v>
      </c>
      <c r="AM414" t="s">
        <v>164</v>
      </c>
      <c r="AN414" t="s">
        <v>85</v>
      </c>
      <c r="AO414" s="1">
        <v>287</v>
      </c>
      <c r="AP414" t="s">
        <v>122</v>
      </c>
    </row>
    <row r="415" spans="35:42" x14ac:dyDescent="0.25">
      <c r="AI415">
        <v>2037</v>
      </c>
      <c r="AJ415">
        <v>3</v>
      </c>
      <c r="AK415">
        <v>14</v>
      </c>
      <c r="AL415" t="s">
        <v>45</v>
      </c>
      <c r="AM415" t="s">
        <v>161</v>
      </c>
      <c r="AN415" t="s">
        <v>1414</v>
      </c>
      <c r="AO415" s="1">
        <v>95</v>
      </c>
      <c r="AP415" t="s">
        <v>1502</v>
      </c>
    </row>
    <row r="416" spans="35:42" x14ac:dyDescent="0.25">
      <c r="AI416">
        <v>2037</v>
      </c>
      <c r="AJ416">
        <v>3</v>
      </c>
      <c r="AK416">
        <v>21</v>
      </c>
      <c r="AL416" t="s">
        <v>56</v>
      </c>
      <c r="AM416" t="s">
        <v>184</v>
      </c>
      <c r="AN416" t="s">
        <v>84</v>
      </c>
      <c r="AO416" s="1">
        <v>73</v>
      </c>
      <c r="AP416" t="s">
        <v>123</v>
      </c>
    </row>
    <row r="417" spans="35:42" x14ac:dyDescent="0.25">
      <c r="AI417">
        <v>2037</v>
      </c>
      <c r="AJ417">
        <v>4</v>
      </c>
      <c r="AK417">
        <v>1</v>
      </c>
      <c r="AL417" t="s">
        <v>91</v>
      </c>
      <c r="AM417" t="s">
        <v>164</v>
      </c>
      <c r="AN417" t="s">
        <v>85</v>
      </c>
      <c r="AO417" s="1">
        <v>265</v>
      </c>
      <c r="AP417" t="s">
        <v>124</v>
      </c>
    </row>
    <row r="418" spans="35:42" x14ac:dyDescent="0.25">
      <c r="AI418">
        <v>2037</v>
      </c>
      <c r="AJ418">
        <v>4</v>
      </c>
      <c r="AK418">
        <v>3</v>
      </c>
      <c r="AL418" t="s">
        <v>54</v>
      </c>
      <c r="AM418" t="s">
        <v>181</v>
      </c>
      <c r="AN418" t="s">
        <v>83</v>
      </c>
      <c r="AO418" s="1">
        <v>279</v>
      </c>
      <c r="AP418" t="s">
        <v>28</v>
      </c>
    </row>
    <row r="419" spans="35:42" x14ac:dyDescent="0.25">
      <c r="AI419">
        <v>2037</v>
      </c>
      <c r="AJ419">
        <v>4</v>
      </c>
      <c r="AK419">
        <v>5</v>
      </c>
      <c r="AL419" t="s">
        <v>58</v>
      </c>
      <c r="AM419" t="s">
        <v>158</v>
      </c>
      <c r="AN419" t="s">
        <v>261</v>
      </c>
      <c r="AO419" s="1">
        <v>67</v>
      </c>
      <c r="AP419" t="s">
        <v>12</v>
      </c>
    </row>
    <row r="420" spans="35:42" x14ac:dyDescent="0.25">
      <c r="AI420">
        <v>2037</v>
      </c>
      <c r="AJ420">
        <v>4</v>
      </c>
      <c r="AK420">
        <v>6</v>
      </c>
      <c r="AL420" t="s">
        <v>58</v>
      </c>
      <c r="AM420" t="s">
        <v>198</v>
      </c>
      <c r="AN420" t="s">
        <v>265</v>
      </c>
      <c r="AO420" s="1">
        <v>316</v>
      </c>
      <c r="AP420" t="s">
        <v>1379</v>
      </c>
    </row>
    <row r="421" spans="35:42" x14ac:dyDescent="0.25">
      <c r="AI421">
        <v>2037</v>
      </c>
      <c r="AJ421">
        <v>4</v>
      </c>
      <c r="AK421">
        <v>30</v>
      </c>
      <c r="AL421" t="s">
        <v>56</v>
      </c>
      <c r="AM421" t="s">
        <v>184</v>
      </c>
      <c r="AN421" t="s">
        <v>84</v>
      </c>
      <c r="AO421" s="1">
        <v>98</v>
      </c>
      <c r="AP421" t="s">
        <v>126</v>
      </c>
    </row>
    <row r="422" spans="35:42" x14ac:dyDescent="0.25">
      <c r="AI422">
        <v>2037</v>
      </c>
      <c r="AJ422">
        <v>5</v>
      </c>
      <c r="AK422">
        <v>1</v>
      </c>
      <c r="AL422" t="s">
        <v>91</v>
      </c>
      <c r="AM422" t="s">
        <v>164</v>
      </c>
      <c r="AN422" t="s">
        <v>85</v>
      </c>
      <c r="AO422" s="1">
        <v>202</v>
      </c>
      <c r="AP422" t="s">
        <v>127</v>
      </c>
    </row>
    <row r="423" spans="35:42" x14ac:dyDescent="0.25">
      <c r="AI423">
        <v>2037</v>
      </c>
      <c r="AJ423">
        <v>5</v>
      </c>
      <c r="AK423">
        <v>4</v>
      </c>
      <c r="AL423" t="s">
        <v>89</v>
      </c>
      <c r="AM423" t="s">
        <v>233</v>
      </c>
      <c r="AN423" t="s">
        <v>83</v>
      </c>
      <c r="AO423" s="1">
        <v>102</v>
      </c>
      <c r="AP423" t="s">
        <v>1366</v>
      </c>
    </row>
    <row r="424" spans="35:42" x14ac:dyDescent="0.25">
      <c r="AI424">
        <v>2037</v>
      </c>
      <c r="AJ424">
        <v>5</v>
      </c>
      <c r="AK424">
        <v>5</v>
      </c>
      <c r="AL424" t="s">
        <v>93</v>
      </c>
      <c r="AM424" t="s">
        <v>152</v>
      </c>
      <c r="AN424" t="s">
        <v>84</v>
      </c>
      <c r="AO424" s="1">
        <v>64</v>
      </c>
      <c r="AP424" t="s">
        <v>107</v>
      </c>
    </row>
    <row r="425" spans="35:42" x14ac:dyDescent="0.25">
      <c r="AI425">
        <v>2037</v>
      </c>
      <c r="AJ425">
        <v>5</v>
      </c>
      <c r="AK425">
        <v>10</v>
      </c>
      <c r="AL425" t="s">
        <v>56</v>
      </c>
      <c r="AM425" t="s">
        <v>184</v>
      </c>
      <c r="AN425" t="s">
        <v>84</v>
      </c>
      <c r="AO425" s="1">
        <v>73</v>
      </c>
      <c r="AP425" t="s">
        <v>128</v>
      </c>
    </row>
    <row r="426" spans="35:42" x14ac:dyDescent="0.25">
      <c r="AI426">
        <v>2037</v>
      </c>
      <c r="AJ426">
        <v>5</v>
      </c>
      <c r="AK426">
        <v>14</v>
      </c>
      <c r="AL426" t="s">
        <v>44</v>
      </c>
      <c r="AM426" t="s">
        <v>227</v>
      </c>
      <c r="AN426" t="s">
        <v>83</v>
      </c>
      <c r="AO426" s="1">
        <v>111</v>
      </c>
      <c r="AP426" t="s">
        <v>14</v>
      </c>
    </row>
    <row r="427" spans="35:42" x14ac:dyDescent="0.25">
      <c r="AI427">
        <v>2037</v>
      </c>
      <c r="AJ427">
        <v>5</v>
      </c>
      <c r="AK427">
        <v>24</v>
      </c>
      <c r="AL427" t="s">
        <v>49</v>
      </c>
      <c r="AM427" t="s">
        <v>167</v>
      </c>
      <c r="AN427" t="s">
        <v>85</v>
      </c>
      <c r="AO427" s="1">
        <v>168</v>
      </c>
      <c r="AP427" t="s">
        <v>24</v>
      </c>
    </row>
    <row r="428" spans="35:42" x14ac:dyDescent="0.25">
      <c r="AI428">
        <v>2037</v>
      </c>
      <c r="AJ428">
        <v>5</v>
      </c>
      <c r="AK428">
        <v>25</v>
      </c>
      <c r="AL428" t="s">
        <v>49</v>
      </c>
      <c r="AM428" t="s">
        <v>167</v>
      </c>
      <c r="AN428" t="s">
        <v>85</v>
      </c>
      <c r="AO428" s="1">
        <v>232</v>
      </c>
      <c r="AP428" t="s">
        <v>1392</v>
      </c>
    </row>
    <row r="429" spans="35:42" x14ac:dyDescent="0.25">
      <c r="AI429">
        <v>2037</v>
      </c>
      <c r="AJ429">
        <v>6</v>
      </c>
      <c r="AK429">
        <v>1</v>
      </c>
      <c r="AL429" t="s">
        <v>91</v>
      </c>
      <c r="AM429" t="s">
        <v>164</v>
      </c>
      <c r="AN429" t="s">
        <v>85</v>
      </c>
      <c r="AO429" s="1">
        <v>157</v>
      </c>
      <c r="AP429" t="s">
        <v>130</v>
      </c>
    </row>
    <row r="430" spans="35:42" x14ac:dyDescent="0.25">
      <c r="AI430">
        <v>2037</v>
      </c>
      <c r="AJ430">
        <v>6</v>
      </c>
      <c r="AK430">
        <v>24</v>
      </c>
      <c r="AL430" t="s">
        <v>93</v>
      </c>
      <c r="AM430" t="s">
        <v>158</v>
      </c>
      <c r="AN430" t="s">
        <v>1413</v>
      </c>
      <c r="AO430" s="1">
        <v>61</v>
      </c>
      <c r="AP430" t="s">
        <v>1372</v>
      </c>
    </row>
    <row r="431" spans="35:42" x14ac:dyDescent="0.25">
      <c r="AI431">
        <v>2037</v>
      </c>
      <c r="AJ431">
        <v>7</v>
      </c>
      <c r="AK431">
        <v>1</v>
      </c>
      <c r="AL431" t="s">
        <v>91</v>
      </c>
      <c r="AM431" t="s">
        <v>164</v>
      </c>
      <c r="AN431" t="s">
        <v>85</v>
      </c>
      <c r="AO431" s="1">
        <v>171</v>
      </c>
      <c r="AP431" t="s">
        <v>131</v>
      </c>
    </row>
    <row r="432" spans="35:42" x14ac:dyDescent="0.25">
      <c r="AI432">
        <v>2037</v>
      </c>
      <c r="AJ432">
        <v>8</v>
      </c>
      <c r="AK432">
        <v>1</v>
      </c>
      <c r="AL432" t="s">
        <v>91</v>
      </c>
      <c r="AM432" t="s">
        <v>164</v>
      </c>
      <c r="AN432" t="s">
        <v>85</v>
      </c>
      <c r="AO432" s="1">
        <v>231</v>
      </c>
      <c r="AP432" t="s">
        <v>132</v>
      </c>
    </row>
    <row r="433" spans="35:42" x14ac:dyDescent="0.25">
      <c r="AI433">
        <v>2037</v>
      </c>
      <c r="AJ433">
        <v>9</v>
      </c>
      <c r="AK433">
        <v>1</v>
      </c>
      <c r="AL433" t="s">
        <v>91</v>
      </c>
      <c r="AM433" t="s">
        <v>164</v>
      </c>
      <c r="AN433" t="s">
        <v>85</v>
      </c>
      <c r="AO433" s="1">
        <v>282</v>
      </c>
      <c r="AP433" t="s">
        <v>133</v>
      </c>
    </row>
    <row r="434" spans="35:42" x14ac:dyDescent="0.25">
      <c r="AI434">
        <v>2037</v>
      </c>
      <c r="AJ434">
        <v>10</v>
      </c>
      <c r="AK434">
        <v>1</v>
      </c>
      <c r="AL434" t="s">
        <v>91</v>
      </c>
      <c r="AM434" t="s">
        <v>164</v>
      </c>
      <c r="AN434" t="s">
        <v>85</v>
      </c>
      <c r="AO434" s="1">
        <v>277</v>
      </c>
      <c r="AP434" t="s">
        <v>134</v>
      </c>
    </row>
    <row r="435" spans="35:42" x14ac:dyDescent="0.25">
      <c r="AI435">
        <v>2037</v>
      </c>
      <c r="AJ435">
        <v>10</v>
      </c>
      <c r="AK435">
        <v>8</v>
      </c>
      <c r="AL435" t="s">
        <v>56</v>
      </c>
      <c r="AM435" t="s">
        <v>184</v>
      </c>
      <c r="AN435" t="s">
        <v>84</v>
      </c>
      <c r="AO435" s="1">
        <v>105</v>
      </c>
      <c r="AP435" t="s">
        <v>135</v>
      </c>
    </row>
    <row r="436" spans="35:42" x14ac:dyDescent="0.25">
      <c r="AI436">
        <v>2037</v>
      </c>
      <c r="AJ436">
        <v>11</v>
      </c>
      <c r="AK436">
        <v>1</v>
      </c>
      <c r="AL436" t="s">
        <v>91</v>
      </c>
      <c r="AM436" t="s">
        <v>164</v>
      </c>
      <c r="AN436" t="s">
        <v>85</v>
      </c>
      <c r="AO436" s="1">
        <v>221</v>
      </c>
      <c r="AP436" t="s">
        <v>136</v>
      </c>
    </row>
    <row r="437" spans="35:42" x14ac:dyDescent="0.25">
      <c r="AI437">
        <v>2037</v>
      </c>
      <c r="AJ437">
        <v>12</v>
      </c>
      <c r="AK437">
        <v>1</v>
      </c>
      <c r="AL437" t="s">
        <v>91</v>
      </c>
      <c r="AM437" t="s">
        <v>164</v>
      </c>
      <c r="AN437" t="s">
        <v>85</v>
      </c>
      <c r="AO437" s="1">
        <v>165</v>
      </c>
      <c r="AP437" t="s">
        <v>137</v>
      </c>
    </row>
    <row r="438" spans="35:42" x14ac:dyDescent="0.25">
      <c r="AI438">
        <v>2037</v>
      </c>
      <c r="AJ438">
        <v>12</v>
      </c>
      <c r="AK438">
        <v>5</v>
      </c>
      <c r="AL438" t="s">
        <v>53</v>
      </c>
      <c r="AM438" t="s">
        <v>224</v>
      </c>
      <c r="AN438" t="s">
        <v>258</v>
      </c>
      <c r="AO438" s="1">
        <v>113</v>
      </c>
      <c r="AP438" t="s">
        <v>1234</v>
      </c>
    </row>
    <row r="439" spans="35:42" x14ac:dyDescent="0.25">
      <c r="AI439">
        <v>2037</v>
      </c>
      <c r="AJ439">
        <v>12</v>
      </c>
      <c r="AK439">
        <v>13</v>
      </c>
      <c r="AL439" t="s">
        <v>56</v>
      </c>
      <c r="AM439" t="s">
        <v>184</v>
      </c>
      <c r="AN439" t="s">
        <v>84</v>
      </c>
      <c r="AO439" s="1">
        <v>114</v>
      </c>
      <c r="AP439" t="s">
        <v>138</v>
      </c>
    </row>
    <row r="440" spans="35:42" x14ac:dyDescent="0.25">
      <c r="AI440">
        <v>2037</v>
      </c>
      <c r="AJ440">
        <v>12</v>
      </c>
      <c r="AK440">
        <v>25</v>
      </c>
      <c r="AL440" t="s">
        <v>43</v>
      </c>
      <c r="AM440" t="s">
        <v>230</v>
      </c>
      <c r="AN440" t="s">
        <v>1412</v>
      </c>
      <c r="AO440" s="1">
        <v>95</v>
      </c>
      <c r="AP440" t="s">
        <v>7</v>
      </c>
    </row>
    <row r="441" spans="35:42" x14ac:dyDescent="0.25">
      <c r="AI441">
        <v>2037</v>
      </c>
      <c r="AJ441">
        <v>12</v>
      </c>
      <c r="AK441">
        <v>26</v>
      </c>
      <c r="AL441" t="s">
        <v>43</v>
      </c>
      <c r="AM441" t="s">
        <v>201</v>
      </c>
      <c r="AN441" t="s">
        <v>86</v>
      </c>
      <c r="AO441" s="1">
        <v>108</v>
      </c>
      <c r="AP441" t="s">
        <v>78</v>
      </c>
    </row>
    <row r="442" spans="35:42" x14ac:dyDescent="0.25">
      <c r="AI442">
        <v>2037</v>
      </c>
      <c r="AJ442">
        <v>12</v>
      </c>
      <c r="AK442">
        <v>28</v>
      </c>
      <c r="AL442" t="s">
        <v>52</v>
      </c>
      <c r="AM442" t="s">
        <v>245</v>
      </c>
      <c r="AN442" t="s">
        <v>1412</v>
      </c>
      <c r="AO442" s="1">
        <v>77</v>
      </c>
      <c r="AP442" t="s">
        <v>1370</v>
      </c>
    </row>
    <row r="443" spans="35:42" x14ac:dyDescent="0.25">
      <c r="AI443">
        <v>2038</v>
      </c>
      <c r="AJ443">
        <v>1</v>
      </c>
      <c r="AK443">
        <v>1</v>
      </c>
      <c r="AL443" t="s">
        <v>93</v>
      </c>
      <c r="AM443" t="s">
        <v>256</v>
      </c>
      <c r="AN443" t="s">
        <v>83</v>
      </c>
      <c r="AO443" s="1">
        <v>77</v>
      </c>
      <c r="AP443" t="s">
        <v>8</v>
      </c>
    </row>
    <row r="444" spans="35:42" x14ac:dyDescent="0.25">
      <c r="AI444">
        <v>2038</v>
      </c>
      <c r="AJ444">
        <v>2</v>
      </c>
      <c r="AK444">
        <v>1</v>
      </c>
      <c r="AL444" t="s">
        <v>91</v>
      </c>
      <c r="AM444" t="s">
        <v>164</v>
      </c>
      <c r="AN444" t="s">
        <v>85</v>
      </c>
      <c r="AO444" s="1">
        <v>249</v>
      </c>
      <c r="AP444" t="s">
        <v>1498</v>
      </c>
    </row>
    <row r="445" spans="35:42" x14ac:dyDescent="0.25">
      <c r="AI445">
        <v>2038</v>
      </c>
      <c r="AJ445">
        <v>2</v>
      </c>
      <c r="AK445">
        <v>14</v>
      </c>
      <c r="AL445" t="s">
        <v>93</v>
      </c>
      <c r="AM445" t="s">
        <v>1393</v>
      </c>
      <c r="AN445" t="s">
        <v>258</v>
      </c>
      <c r="AO445" s="1">
        <v>70</v>
      </c>
      <c r="AP445" t="s">
        <v>1374</v>
      </c>
    </row>
    <row r="446" spans="35:42" x14ac:dyDescent="0.25">
      <c r="AI446">
        <v>2038</v>
      </c>
      <c r="AJ446">
        <v>3</v>
      </c>
      <c r="AK446">
        <v>1</v>
      </c>
      <c r="AL446" t="s">
        <v>91</v>
      </c>
      <c r="AM446" t="s">
        <v>164</v>
      </c>
      <c r="AN446" t="s">
        <v>85</v>
      </c>
      <c r="AO446" s="1">
        <v>287</v>
      </c>
      <c r="AP446" t="s">
        <v>122</v>
      </c>
    </row>
    <row r="447" spans="35:42" x14ac:dyDescent="0.25">
      <c r="AI447">
        <v>2038</v>
      </c>
      <c r="AJ447">
        <v>3</v>
      </c>
      <c r="AK447">
        <v>7</v>
      </c>
      <c r="AL447" t="s">
        <v>93</v>
      </c>
      <c r="AM447" t="s">
        <v>164</v>
      </c>
      <c r="AN447" t="s">
        <v>84</v>
      </c>
      <c r="AO447" s="1">
        <v>106</v>
      </c>
      <c r="AP447" t="s">
        <v>1511</v>
      </c>
    </row>
    <row r="448" spans="35:42" x14ac:dyDescent="0.25">
      <c r="AI448">
        <v>2038</v>
      </c>
      <c r="AJ448">
        <v>3</v>
      </c>
      <c r="AK448">
        <v>7</v>
      </c>
      <c r="AL448" t="s">
        <v>93</v>
      </c>
      <c r="AM448" t="s">
        <v>164</v>
      </c>
      <c r="AN448" t="s">
        <v>84</v>
      </c>
      <c r="AO448" s="1">
        <v>109</v>
      </c>
      <c r="AP448" t="s">
        <v>1499</v>
      </c>
    </row>
    <row r="449" spans="35:42" x14ac:dyDescent="0.25">
      <c r="AI449">
        <v>2038</v>
      </c>
      <c r="AJ449">
        <v>3</v>
      </c>
      <c r="AK449">
        <v>8</v>
      </c>
      <c r="AL449" t="s">
        <v>93</v>
      </c>
      <c r="AM449" t="s">
        <v>164</v>
      </c>
      <c r="AN449" t="s">
        <v>84</v>
      </c>
      <c r="AO449" s="1">
        <v>110</v>
      </c>
      <c r="AP449" t="s">
        <v>1513</v>
      </c>
    </row>
    <row r="450" spans="35:42" x14ac:dyDescent="0.25">
      <c r="AI450">
        <v>2038</v>
      </c>
      <c r="AJ450">
        <v>3</v>
      </c>
      <c r="AK450">
        <v>10</v>
      </c>
      <c r="AL450" t="s">
        <v>89</v>
      </c>
      <c r="AM450" t="s">
        <v>204</v>
      </c>
      <c r="AN450" t="s">
        <v>86</v>
      </c>
      <c r="AO450" s="1">
        <v>266</v>
      </c>
      <c r="AP450" t="s">
        <v>121</v>
      </c>
    </row>
    <row r="451" spans="35:42" x14ac:dyDescent="0.25">
      <c r="AI451">
        <v>2038</v>
      </c>
      <c r="AJ451">
        <v>3</v>
      </c>
      <c r="AK451">
        <v>14</v>
      </c>
      <c r="AL451" t="s">
        <v>45</v>
      </c>
      <c r="AM451" t="s">
        <v>161</v>
      </c>
      <c r="AN451" t="s">
        <v>1414</v>
      </c>
      <c r="AO451" s="1">
        <v>95</v>
      </c>
      <c r="AP451" t="s">
        <v>1502</v>
      </c>
    </row>
    <row r="452" spans="35:42" x14ac:dyDescent="0.25">
      <c r="AI452">
        <v>2038</v>
      </c>
      <c r="AJ452">
        <v>3</v>
      </c>
      <c r="AK452">
        <v>21</v>
      </c>
      <c r="AL452" t="s">
        <v>56</v>
      </c>
      <c r="AM452" t="s">
        <v>184</v>
      </c>
      <c r="AN452" t="s">
        <v>84</v>
      </c>
      <c r="AO452" s="1">
        <v>73</v>
      </c>
      <c r="AP452" t="s">
        <v>123</v>
      </c>
    </row>
    <row r="453" spans="35:42" x14ac:dyDescent="0.25">
      <c r="AI453">
        <v>2038</v>
      </c>
      <c r="AJ453">
        <v>4</v>
      </c>
      <c r="AK453">
        <v>1</v>
      </c>
      <c r="AL453" t="s">
        <v>91</v>
      </c>
      <c r="AM453" t="s">
        <v>164</v>
      </c>
      <c r="AN453" t="s">
        <v>85</v>
      </c>
      <c r="AO453" s="1">
        <v>265</v>
      </c>
      <c r="AP453" t="s">
        <v>124</v>
      </c>
    </row>
    <row r="454" spans="35:42" x14ac:dyDescent="0.25">
      <c r="AI454">
        <v>2038</v>
      </c>
      <c r="AJ454">
        <v>4</v>
      </c>
      <c r="AK454">
        <v>23</v>
      </c>
      <c r="AL454" t="s">
        <v>54</v>
      </c>
      <c r="AM454" t="s">
        <v>181</v>
      </c>
      <c r="AN454" t="s">
        <v>83</v>
      </c>
      <c r="AO454" s="1">
        <v>268</v>
      </c>
      <c r="AP454" t="s">
        <v>28</v>
      </c>
    </row>
    <row r="455" spans="35:42" x14ac:dyDescent="0.25">
      <c r="AI455">
        <v>2038</v>
      </c>
      <c r="AJ455">
        <v>4</v>
      </c>
      <c r="AK455">
        <v>25</v>
      </c>
      <c r="AL455" t="s">
        <v>58</v>
      </c>
      <c r="AM455" t="s">
        <v>158</v>
      </c>
      <c r="AN455" t="s">
        <v>261</v>
      </c>
      <c r="AO455" s="1">
        <v>82</v>
      </c>
      <c r="AP455" t="s">
        <v>12</v>
      </c>
    </row>
    <row r="456" spans="35:42" x14ac:dyDescent="0.25">
      <c r="AI456">
        <v>2038</v>
      </c>
      <c r="AJ456">
        <v>4</v>
      </c>
      <c r="AK456">
        <v>26</v>
      </c>
      <c r="AL456" t="s">
        <v>58</v>
      </c>
      <c r="AM456" t="s">
        <v>198</v>
      </c>
      <c r="AN456" t="s">
        <v>265</v>
      </c>
      <c r="AO456" s="1">
        <v>261</v>
      </c>
      <c r="AP456" t="s">
        <v>1379</v>
      </c>
    </row>
    <row r="457" spans="35:42" x14ac:dyDescent="0.25">
      <c r="AI457">
        <v>2038</v>
      </c>
      <c r="AJ457">
        <v>4</v>
      </c>
      <c r="AK457">
        <v>30</v>
      </c>
      <c r="AL457" t="s">
        <v>56</v>
      </c>
      <c r="AM457" t="s">
        <v>184</v>
      </c>
      <c r="AN457" t="s">
        <v>84</v>
      </c>
      <c r="AO457" s="1">
        <v>98</v>
      </c>
      <c r="AP457" t="s">
        <v>126</v>
      </c>
    </row>
    <row r="458" spans="35:42" x14ac:dyDescent="0.25">
      <c r="AI458">
        <v>2038</v>
      </c>
      <c r="AJ458">
        <v>5</v>
      </c>
      <c r="AK458">
        <v>1</v>
      </c>
      <c r="AL458" t="s">
        <v>91</v>
      </c>
      <c r="AM458" t="s">
        <v>164</v>
      </c>
      <c r="AN458" t="s">
        <v>85</v>
      </c>
      <c r="AO458" s="1">
        <v>202</v>
      </c>
      <c r="AP458" t="s">
        <v>127</v>
      </c>
    </row>
    <row r="459" spans="35:42" x14ac:dyDescent="0.25">
      <c r="AI459">
        <v>2038</v>
      </c>
      <c r="AJ459">
        <v>5</v>
      </c>
      <c r="AK459">
        <v>4</v>
      </c>
      <c r="AL459" t="s">
        <v>89</v>
      </c>
      <c r="AM459" t="s">
        <v>233</v>
      </c>
      <c r="AN459" t="s">
        <v>83</v>
      </c>
      <c r="AO459" s="1">
        <v>102</v>
      </c>
      <c r="AP459" t="s">
        <v>1366</v>
      </c>
    </row>
    <row r="460" spans="35:42" x14ac:dyDescent="0.25">
      <c r="AI460">
        <v>2038</v>
      </c>
      <c r="AJ460">
        <v>5</v>
      </c>
      <c r="AK460">
        <v>5</v>
      </c>
      <c r="AL460" t="s">
        <v>93</v>
      </c>
      <c r="AM460" t="s">
        <v>152</v>
      </c>
      <c r="AN460" t="s">
        <v>84</v>
      </c>
      <c r="AO460" s="1">
        <v>64</v>
      </c>
      <c r="AP460" t="s">
        <v>107</v>
      </c>
    </row>
    <row r="461" spans="35:42" x14ac:dyDescent="0.25">
      <c r="AI461">
        <v>2038</v>
      </c>
      <c r="AJ461">
        <v>5</v>
      </c>
      <c r="AK461">
        <v>10</v>
      </c>
      <c r="AL461" t="s">
        <v>56</v>
      </c>
      <c r="AM461" t="s">
        <v>184</v>
      </c>
      <c r="AN461" t="s">
        <v>84</v>
      </c>
      <c r="AO461" s="1">
        <v>73</v>
      </c>
      <c r="AP461" t="s">
        <v>128</v>
      </c>
    </row>
    <row r="462" spans="35:42" x14ac:dyDescent="0.25">
      <c r="AI462">
        <v>2038</v>
      </c>
      <c r="AJ462">
        <v>6</v>
      </c>
      <c r="AK462">
        <v>1</v>
      </c>
      <c r="AL462" t="s">
        <v>91</v>
      </c>
      <c r="AM462" t="s">
        <v>164</v>
      </c>
      <c r="AN462" t="s">
        <v>85</v>
      </c>
      <c r="AO462" s="1">
        <v>157</v>
      </c>
      <c r="AP462" t="s">
        <v>130</v>
      </c>
    </row>
    <row r="463" spans="35:42" x14ac:dyDescent="0.25">
      <c r="AI463">
        <v>2038</v>
      </c>
      <c r="AJ463">
        <v>6</v>
      </c>
      <c r="AK463">
        <v>3</v>
      </c>
      <c r="AL463" t="s">
        <v>44</v>
      </c>
      <c r="AM463" t="s">
        <v>227</v>
      </c>
      <c r="AN463" t="s">
        <v>83</v>
      </c>
      <c r="AO463" s="1">
        <v>129</v>
      </c>
      <c r="AP463" t="s">
        <v>14</v>
      </c>
    </row>
    <row r="464" spans="35:42" x14ac:dyDescent="0.25">
      <c r="AI464">
        <v>2038</v>
      </c>
      <c r="AJ464">
        <v>6</v>
      </c>
      <c r="AK464">
        <v>13</v>
      </c>
      <c r="AL464" t="s">
        <v>49</v>
      </c>
      <c r="AM464" t="s">
        <v>167</v>
      </c>
      <c r="AN464" t="s">
        <v>85</v>
      </c>
      <c r="AO464" s="1">
        <v>173</v>
      </c>
      <c r="AP464" t="s">
        <v>129</v>
      </c>
    </row>
    <row r="465" spans="35:42" x14ac:dyDescent="0.25">
      <c r="AI465">
        <v>2038</v>
      </c>
      <c r="AJ465">
        <v>6</v>
      </c>
      <c r="AK465">
        <v>14</v>
      </c>
      <c r="AL465" t="s">
        <v>49</v>
      </c>
      <c r="AM465" t="s">
        <v>167</v>
      </c>
      <c r="AN465" t="s">
        <v>85</v>
      </c>
      <c r="AO465" s="1">
        <v>191</v>
      </c>
      <c r="AP465" t="s">
        <v>1503</v>
      </c>
    </row>
    <row r="466" spans="35:42" x14ac:dyDescent="0.25">
      <c r="AI466">
        <v>2038</v>
      </c>
      <c r="AJ466">
        <v>6</v>
      </c>
      <c r="AK466">
        <v>24</v>
      </c>
      <c r="AL466" t="s">
        <v>93</v>
      </c>
      <c r="AM466" t="s">
        <v>158</v>
      </c>
      <c r="AN466" t="s">
        <v>1413</v>
      </c>
      <c r="AO466" s="1">
        <v>61</v>
      </c>
      <c r="AP466" t="s">
        <v>1372</v>
      </c>
    </row>
    <row r="467" spans="35:42" x14ac:dyDescent="0.25">
      <c r="AI467">
        <v>2038</v>
      </c>
      <c r="AJ467">
        <v>7</v>
      </c>
      <c r="AK467">
        <v>1</v>
      </c>
      <c r="AL467" t="s">
        <v>91</v>
      </c>
      <c r="AM467" t="s">
        <v>164</v>
      </c>
      <c r="AN467" t="s">
        <v>85</v>
      </c>
      <c r="AO467" s="1">
        <v>171</v>
      </c>
      <c r="AP467" t="s">
        <v>131</v>
      </c>
    </row>
    <row r="468" spans="35:42" x14ac:dyDescent="0.25">
      <c r="AI468">
        <v>2038</v>
      </c>
      <c r="AJ468">
        <v>8</v>
      </c>
      <c r="AK468">
        <v>1</v>
      </c>
      <c r="AL468" t="s">
        <v>91</v>
      </c>
      <c r="AM468" t="s">
        <v>164</v>
      </c>
      <c r="AN468" t="s">
        <v>85</v>
      </c>
      <c r="AO468" s="1">
        <v>231</v>
      </c>
      <c r="AP468" t="s">
        <v>132</v>
      </c>
    </row>
    <row r="469" spans="35:42" x14ac:dyDescent="0.25">
      <c r="AI469">
        <v>2038</v>
      </c>
      <c r="AJ469">
        <v>9</v>
      </c>
      <c r="AK469">
        <v>1</v>
      </c>
      <c r="AL469" t="s">
        <v>91</v>
      </c>
      <c r="AM469" t="s">
        <v>164</v>
      </c>
      <c r="AN469" t="s">
        <v>85</v>
      </c>
      <c r="AO469" s="1">
        <v>282</v>
      </c>
      <c r="AP469" t="s">
        <v>133</v>
      </c>
    </row>
    <row r="470" spans="35:42" x14ac:dyDescent="0.25">
      <c r="AI470">
        <v>2038</v>
      </c>
      <c r="AJ470">
        <v>10</v>
      </c>
      <c r="AK470">
        <v>1</v>
      </c>
      <c r="AL470" t="s">
        <v>91</v>
      </c>
      <c r="AM470" t="s">
        <v>164</v>
      </c>
      <c r="AN470" t="s">
        <v>85</v>
      </c>
      <c r="AO470" s="1">
        <v>277</v>
      </c>
      <c r="AP470" t="s">
        <v>134</v>
      </c>
    </row>
    <row r="471" spans="35:42" x14ac:dyDescent="0.25">
      <c r="AI471">
        <v>2038</v>
      </c>
      <c r="AJ471">
        <v>10</v>
      </c>
      <c r="AK471">
        <v>8</v>
      </c>
      <c r="AL471" t="s">
        <v>56</v>
      </c>
      <c r="AM471" t="s">
        <v>184</v>
      </c>
      <c r="AN471" t="s">
        <v>84</v>
      </c>
      <c r="AO471" s="1">
        <v>105</v>
      </c>
      <c r="AP471" t="s">
        <v>135</v>
      </c>
    </row>
    <row r="472" spans="35:42" x14ac:dyDescent="0.25">
      <c r="AI472">
        <v>2038</v>
      </c>
      <c r="AJ472">
        <v>11</v>
      </c>
      <c r="AK472">
        <v>1</v>
      </c>
      <c r="AL472" t="s">
        <v>91</v>
      </c>
      <c r="AM472" t="s">
        <v>164</v>
      </c>
      <c r="AN472" t="s">
        <v>85</v>
      </c>
      <c r="AO472" s="1">
        <v>221</v>
      </c>
      <c r="AP472" t="s">
        <v>136</v>
      </c>
    </row>
    <row r="473" spans="35:42" x14ac:dyDescent="0.25">
      <c r="AI473">
        <v>2038</v>
      </c>
      <c r="AJ473">
        <v>12</v>
      </c>
      <c r="AK473">
        <v>1</v>
      </c>
      <c r="AL473" t="s">
        <v>91</v>
      </c>
      <c r="AM473" t="s">
        <v>164</v>
      </c>
      <c r="AN473" t="s">
        <v>85</v>
      </c>
      <c r="AO473" s="1">
        <v>165</v>
      </c>
      <c r="AP473" t="s">
        <v>137</v>
      </c>
    </row>
    <row r="474" spans="35:42" x14ac:dyDescent="0.25">
      <c r="AI474">
        <v>2038</v>
      </c>
      <c r="AJ474">
        <v>12</v>
      </c>
      <c r="AK474">
        <v>5</v>
      </c>
      <c r="AL474" t="s">
        <v>53</v>
      </c>
      <c r="AM474" t="s">
        <v>224</v>
      </c>
      <c r="AN474" t="s">
        <v>258</v>
      </c>
      <c r="AO474" s="1">
        <v>113</v>
      </c>
      <c r="AP474" t="s">
        <v>1234</v>
      </c>
    </row>
    <row r="475" spans="35:42" x14ac:dyDescent="0.25">
      <c r="AI475">
        <v>2038</v>
      </c>
      <c r="AJ475">
        <v>12</v>
      </c>
      <c r="AK475">
        <v>13</v>
      </c>
      <c r="AL475" t="s">
        <v>56</v>
      </c>
      <c r="AM475" t="s">
        <v>184</v>
      </c>
      <c r="AN475" t="s">
        <v>84</v>
      </c>
      <c r="AO475" s="1">
        <v>114</v>
      </c>
      <c r="AP475" t="s">
        <v>138</v>
      </c>
    </row>
    <row r="476" spans="35:42" x14ac:dyDescent="0.25">
      <c r="AI476">
        <v>2038</v>
      </c>
      <c r="AJ476">
        <v>12</v>
      </c>
      <c r="AK476">
        <v>25</v>
      </c>
      <c r="AL476" t="s">
        <v>43</v>
      </c>
      <c r="AM476" t="s">
        <v>230</v>
      </c>
      <c r="AN476" t="s">
        <v>1412</v>
      </c>
      <c r="AO476" s="1">
        <v>95</v>
      </c>
      <c r="AP476" t="s">
        <v>7</v>
      </c>
    </row>
    <row r="477" spans="35:42" x14ac:dyDescent="0.25">
      <c r="AI477">
        <v>2038</v>
      </c>
      <c r="AJ477">
        <v>12</v>
      </c>
      <c r="AK477">
        <v>26</v>
      </c>
      <c r="AL477" t="s">
        <v>43</v>
      </c>
      <c r="AM477" t="s">
        <v>201</v>
      </c>
      <c r="AN477" t="s">
        <v>86</v>
      </c>
      <c r="AO477" s="1">
        <v>108</v>
      </c>
      <c r="AP477" t="s">
        <v>78</v>
      </c>
    </row>
    <row r="478" spans="35:42" x14ac:dyDescent="0.25">
      <c r="AI478">
        <v>2038</v>
      </c>
      <c r="AJ478">
        <v>12</v>
      </c>
      <c r="AK478">
        <v>28</v>
      </c>
      <c r="AL478" t="s">
        <v>52</v>
      </c>
      <c r="AM478" t="s">
        <v>245</v>
      </c>
      <c r="AN478" t="s">
        <v>1412</v>
      </c>
      <c r="AO478" s="1">
        <v>77</v>
      </c>
      <c r="AP478" t="s">
        <v>1370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workbookViewId="0">
      <selection activeCell="C22" sqref="C22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1421</v>
      </c>
      <c r="D1" s="32" t="s">
        <v>1422</v>
      </c>
    </row>
    <row r="2" spans="1:4" x14ac:dyDescent="0.25">
      <c r="A2" s="1">
        <v>1</v>
      </c>
      <c r="B2" s="34" t="s">
        <v>1423</v>
      </c>
      <c r="C2" s="35" t="s">
        <v>92</v>
      </c>
      <c r="D2" s="36" t="s">
        <v>1424</v>
      </c>
    </row>
    <row r="3" spans="1:4" x14ac:dyDescent="0.25">
      <c r="A3" s="1">
        <v>2</v>
      </c>
      <c r="B3" s="37" t="s">
        <v>1425</v>
      </c>
      <c r="C3" s="35" t="s">
        <v>47</v>
      </c>
      <c r="D3" s="36" t="s">
        <v>1466</v>
      </c>
    </row>
    <row r="4" spans="1:4" x14ac:dyDescent="0.25">
      <c r="A4" s="1">
        <v>3</v>
      </c>
      <c r="B4" s="37" t="s">
        <v>1426</v>
      </c>
      <c r="C4" s="35" t="s">
        <v>48</v>
      </c>
      <c r="D4" s="36" t="s">
        <v>1467</v>
      </c>
    </row>
    <row r="5" spans="1:4" x14ac:dyDescent="0.25">
      <c r="A5" s="1">
        <v>4</v>
      </c>
      <c r="B5" s="37" t="s">
        <v>1427</v>
      </c>
      <c r="C5" s="35" t="s">
        <v>49</v>
      </c>
      <c r="D5" s="36" t="s">
        <v>1468</v>
      </c>
    </row>
    <row r="6" spans="1:4" x14ac:dyDescent="0.25">
      <c r="A6" s="1">
        <v>5</v>
      </c>
      <c r="B6" s="37" t="s">
        <v>1428</v>
      </c>
      <c r="C6" s="35" t="s">
        <v>50</v>
      </c>
      <c r="D6" s="36" t="s">
        <v>1469</v>
      </c>
    </row>
    <row r="7" spans="1:4" x14ac:dyDescent="0.25">
      <c r="A7" s="1">
        <v>6</v>
      </c>
      <c r="B7" s="37" t="s">
        <v>1429</v>
      </c>
      <c r="C7" s="35" t="s">
        <v>51</v>
      </c>
      <c r="D7" s="36" t="s">
        <v>1470</v>
      </c>
    </row>
    <row r="8" spans="1:4" x14ac:dyDescent="0.25">
      <c r="A8" s="1">
        <v>7</v>
      </c>
      <c r="B8" s="37" t="s">
        <v>1430</v>
      </c>
      <c r="C8" s="35" t="s">
        <v>46</v>
      </c>
      <c r="D8" s="36" t="s">
        <v>1471</v>
      </c>
    </row>
    <row r="9" spans="1:4" x14ac:dyDescent="0.25">
      <c r="A9" s="1">
        <v>8</v>
      </c>
      <c r="B9" s="37" t="s">
        <v>1431</v>
      </c>
      <c r="C9" s="35" t="s">
        <v>43</v>
      </c>
      <c r="D9" s="36" t="s">
        <v>1472</v>
      </c>
    </row>
    <row r="10" spans="1:4" x14ac:dyDescent="0.25">
      <c r="A10" s="1">
        <v>9</v>
      </c>
      <c r="B10" s="37" t="s">
        <v>1432</v>
      </c>
      <c r="C10" s="35" t="s">
        <v>45</v>
      </c>
      <c r="D10" s="36" t="s">
        <v>1473</v>
      </c>
    </row>
    <row r="11" spans="1:4" x14ac:dyDescent="0.25">
      <c r="A11" s="1">
        <v>10</v>
      </c>
      <c r="B11" s="37" t="s">
        <v>1433</v>
      </c>
      <c r="C11" s="35" t="s">
        <v>52</v>
      </c>
      <c r="D11" s="36" t="s">
        <v>1474</v>
      </c>
    </row>
    <row r="12" spans="1:4" x14ac:dyDescent="0.25">
      <c r="A12" s="1">
        <v>11</v>
      </c>
      <c r="B12" s="37" t="s">
        <v>1434</v>
      </c>
      <c r="C12" s="35" t="s">
        <v>44</v>
      </c>
      <c r="D12" s="36" t="s">
        <v>1475</v>
      </c>
    </row>
    <row r="13" spans="1:4" x14ac:dyDescent="0.25">
      <c r="A13" s="1">
        <v>12</v>
      </c>
      <c r="B13" s="37" t="s">
        <v>1435</v>
      </c>
      <c r="C13" s="35" t="s">
        <v>53</v>
      </c>
      <c r="D13" s="36" t="s">
        <v>1476</v>
      </c>
    </row>
    <row r="14" spans="1:4" x14ac:dyDescent="0.25">
      <c r="A14" s="1">
        <v>13</v>
      </c>
      <c r="B14" s="37" t="s">
        <v>1436</v>
      </c>
      <c r="C14" s="35" t="s">
        <v>54</v>
      </c>
      <c r="D14" s="36" t="s">
        <v>1477</v>
      </c>
    </row>
    <row r="15" spans="1:4" x14ac:dyDescent="0.25">
      <c r="A15" s="1">
        <v>14</v>
      </c>
      <c r="B15" s="37" t="s">
        <v>1437</v>
      </c>
      <c r="C15" s="35" t="s">
        <v>55</v>
      </c>
      <c r="D15" s="36" t="s">
        <v>1478</v>
      </c>
    </row>
    <row r="16" spans="1:4" x14ac:dyDescent="0.25">
      <c r="A16" s="1">
        <v>15</v>
      </c>
      <c r="B16" s="37" t="s">
        <v>1438</v>
      </c>
      <c r="C16" s="35" t="s">
        <v>56</v>
      </c>
      <c r="D16" s="36" t="s">
        <v>1479</v>
      </c>
    </row>
    <row r="17" spans="1:4" x14ac:dyDescent="0.25">
      <c r="A17" s="1">
        <v>16</v>
      </c>
      <c r="B17" s="37" t="s">
        <v>1439</v>
      </c>
      <c r="C17" s="35" t="s">
        <v>57</v>
      </c>
      <c r="D17" s="36" t="s">
        <v>1480</v>
      </c>
    </row>
    <row r="18" spans="1:4" x14ac:dyDescent="0.25">
      <c r="A18" s="1">
        <v>17</v>
      </c>
      <c r="B18" s="37" t="s">
        <v>1440</v>
      </c>
      <c r="C18" s="35" t="s">
        <v>58</v>
      </c>
      <c r="D18" s="36" t="s">
        <v>1481</v>
      </c>
    </row>
    <row r="19" spans="1:4" x14ac:dyDescent="0.25">
      <c r="A19" s="1">
        <v>18</v>
      </c>
      <c r="B19" s="37" t="s">
        <v>1441</v>
      </c>
      <c r="C19" s="35" t="s">
        <v>59</v>
      </c>
      <c r="D19" s="36" t="s">
        <v>1482</v>
      </c>
    </row>
    <row r="20" spans="1:4" x14ac:dyDescent="0.25">
      <c r="A20" s="1">
        <v>19</v>
      </c>
      <c r="B20" s="34" t="s">
        <v>1442</v>
      </c>
      <c r="C20" s="35" t="s">
        <v>87</v>
      </c>
      <c r="D20" s="36" t="s">
        <v>1483</v>
      </c>
    </row>
    <row r="21" spans="1:4" x14ac:dyDescent="0.25">
      <c r="A21" s="1">
        <v>20</v>
      </c>
      <c r="B21" s="34" t="s">
        <v>1443</v>
      </c>
      <c r="C21" s="35" t="s">
        <v>88</v>
      </c>
      <c r="D21" s="36" t="s">
        <v>1484</v>
      </c>
    </row>
    <row r="22" spans="1:4" x14ac:dyDescent="0.25">
      <c r="A22" s="1">
        <v>21</v>
      </c>
      <c r="B22" s="34" t="s">
        <v>1444</v>
      </c>
      <c r="C22" s="35" t="s">
        <v>89</v>
      </c>
      <c r="D22" s="36" t="s">
        <v>1485</v>
      </c>
    </row>
    <row r="23" spans="1:4" x14ac:dyDescent="0.25">
      <c r="A23" s="1">
        <v>22</v>
      </c>
      <c r="B23" s="34" t="s">
        <v>1445</v>
      </c>
      <c r="C23" s="35" t="s">
        <v>90</v>
      </c>
      <c r="D23" s="36" t="s">
        <v>1486</v>
      </c>
    </row>
    <row r="24" spans="1:4" x14ac:dyDescent="0.25">
      <c r="A24" s="1">
        <v>23</v>
      </c>
      <c r="B24" s="34" t="s">
        <v>1446</v>
      </c>
      <c r="C24" s="35" t="s">
        <v>91</v>
      </c>
      <c r="D24" s="36" t="s">
        <v>1487</v>
      </c>
    </row>
    <row r="25" spans="1:4" x14ac:dyDescent="0.25">
      <c r="A25" s="1">
        <v>24</v>
      </c>
      <c r="B25" s="34" t="s">
        <v>1447</v>
      </c>
      <c r="C25" s="35" t="s">
        <v>93</v>
      </c>
      <c r="D25" s="36" t="s">
        <v>1488</v>
      </c>
    </row>
    <row r="26" spans="1:4" x14ac:dyDescent="0.25">
      <c r="A26" s="1">
        <v>25</v>
      </c>
      <c r="B26" s="34" t="s">
        <v>1448</v>
      </c>
      <c r="C26" s="35" t="s">
        <v>1449</v>
      </c>
      <c r="D26" s="36" t="s">
        <v>1489</v>
      </c>
    </row>
    <row r="27" spans="1:4" x14ac:dyDescent="0.25">
      <c r="A27" s="1">
        <v>26</v>
      </c>
      <c r="B27" s="34" t="s">
        <v>1450</v>
      </c>
      <c r="C27" s="35" t="s">
        <v>1451</v>
      </c>
      <c r="D27" s="36" t="s">
        <v>1490</v>
      </c>
    </row>
    <row r="28" spans="1:4" x14ac:dyDescent="0.25">
      <c r="A28" s="1">
        <v>27</v>
      </c>
      <c r="B28" s="34" t="s">
        <v>1452</v>
      </c>
      <c r="C28" s="35" t="s">
        <v>1453</v>
      </c>
      <c r="D28" s="36" t="s">
        <v>1491</v>
      </c>
    </row>
    <row r="29" spans="1:4" x14ac:dyDescent="0.25">
      <c r="A29" s="1">
        <v>28</v>
      </c>
      <c r="B29" s="34" t="s">
        <v>1454</v>
      </c>
      <c r="C29" s="35" t="s">
        <v>1455</v>
      </c>
      <c r="D29" s="36" t="s">
        <v>1492</v>
      </c>
    </row>
    <row r="30" spans="1:4" x14ac:dyDescent="0.25">
      <c r="A30" s="1">
        <v>29</v>
      </c>
      <c r="B30" s="34" t="s">
        <v>1456</v>
      </c>
      <c r="C30" s="35" t="s">
        <v>1457</v>
      </c>
      <c r="D30" s="36" t="s">
        <v>1493</v>
      </c>
    </row>
    <row r="31" spans="1:4" x14ac:dyDescent="0.25">
      <c r="A31" s="1">
        <v>30</v>
      </c>
      <c r="B31" s="34" t="s">
        <v>1458</v>
      </c>
      <c r="C31" s="35" t="s">
        <v>1459</v>
      </c>
      <c r="D31" s="36" t="s">
        <v>1494</v>
      </c>
    </row>
    <row r="32" spans="1:4" x14ac:dyDescent="0.25">
      <c r="A32" s="1">
        <v>31</v>
      </c>
      <c r="B32" s="34" t="s">
        <v>1460</v>
      </c>
      <c r="C32" s="35" t="s">
        <v>1461</v>
      </c>
      <c r="D32" s="36" t="s">
        <v>1495</v>
      </c>
    </row>
    <row r="33" spans="1:4" x14ac:dyDescent="0.25">
      <c r="A33" s="1">
        <v>32</v>
      </c>
      <c r="B33" s="34" t="s">
        <v>1462</v>
      </c>
      <c r="C33" s="35" t="s">
        <v>1463</v>
      </c>
      <c r="D33" s="36" t="s">
        <v>1496</v>
      </c>
    </row>
    <row r="34" spans="1:4" x14ac:dyDescent="0.25">
      <c r="A34" s="1">
        <v>33</v>
      </c>
      <c r="B34" s="34" t="s">
        <v>1464</v>
      </c>
      <c r="C34" s="35" t="s">
        <v>1465</v>
      </c>
      <c r="D34" s="36" t="s">
        <v>1497</v>
      </c>
    </row>
    <row r="35" spans="1:4" x14ac:dyDescent="0.25">
      <c r="B35" s="28"/>
      <c r="D35" s="33"/>
    </row>
    <row r="36" spans="1:4" x14ac:dyDescent="0.25">
      <c r="B36" s="28"/>
      <c r="D36" s="33"/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1395</v>
      </c>
      <c r="B1" s="8" t="s">
        <v>1396</v>
      </c>
      <c r="C1" s="8" t="s">
        <v>66</v>
      </c>
      <c r="D1" s="8" t="s">
        <v>67</v>
      </c>
      <c r="E1" s="8" t="s">
        <v>1397</v>
      </c>
      <c r="F1" s="8" t="s">
        <v>1398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1399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1400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1401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1402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1403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1404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1405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1406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1407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1408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1409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1410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1411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1412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1413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1414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1415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1416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1420</v>
      </c>
      <c r="B1" s="8" t="s">
        <v>1515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1237</v>
      </c>
      <c r="C42" t="s">
        <v>1238</v>
      </c>
      <c r="D42" t="s">
        <v>1239</v>
      </c>
    </row>
    <row r="43" spans="1:4" x14ac:dyDescent="0.25">
      <c r="A43">
        <v>42</v>
      </c>
      <c r="B43" t="s">
        <v>1393</v>
      </c>
      <c r="C43" t="s">
        <v>173</v>
      </c>
      <c r="D43" t="s">
        <v>1394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zoomScale="120" zoomScaleNormal="120" workbookViewId="0">
      <selection activeCell="A3" sqref="A3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1240</v>
      </c>
    </row>
    <row r="3" spans="1:4" x14ac:dyDescent="0.25">
      <c r="A3" s="26" t="s">
        <v>1241</v>
      </c>
    </row>
    <row r="4" spans="1:4" ht="30" x14ac:dyDescent="0.25">
      <c r="A4" s="26" t="s">
        <v>1242</v>
      </c>
      <c r="D4" t="s">
        <v>1235</v>
      </c>
    </row>
    <row r="5" spans="1:4" x14ac:dyDescent="0.25">
      <c r="D5" t="s">
        <v>1236</v>
      </c>
    </row>
    <row r="6" spans="1:4" x14ac:dyDescent="0.25">
      <c r="A6" s="26" t="s">
        <v>1243</v>
      </c>
    </row>
    <row r="8" spans="1:4" x14ac:dyDescent="0.25">
      <c r="A8" s="26" t="s">
        <v>1244</v>
      </c>
    </row>
    <row r="9" spans="1:4" x14ac:dyDescent="0.25">
      <c r="D9" t="s">
        <v>1233</v>
      </c>
    </row>
    <row r="10" spans="1:4" x14ac:dyDescent="0.25">
      <c r="A10" s="26" t="s">
        <v>1245</v>
      </c>
      <c r="D10" t="s">
        <v>1417</v>
      </c>
    </row>
    <row r="11" spans="1:4" x14ac:dyDescent="0.25">
      <c r="A11" s="26" t="s">
        <v>1246</v>
      </c>
    </row>
    <row r="13" spans="1:4" x14ac:dyDescent="0.25">
      <c r="A13" s="26" t="s">
        <v>1247</v>
      </c>
    </row>
    <row r="15" spans="1:4" x14ac:dyDescent="0.25">
      <c r="A15" s="26" t="s">
        <v>1248</v>
      </c>
    </row>
    <row r="16" spans="1:4" x14ac:dyDescent="0.25">
      <c r="A16" s="26" t="s">
        <v>1249</v>
      </c>
    </row>
    <row r="17" spans="1:1" x14ac:dyDescent="0.25">
      <c r="A17" s="26" t="s">
        <v>1250</v>
      </c>
    </row>
    <row r="18" spans="1:1" x14ac:dyDescent="0.25">
      <c r="A18" s="26" t="s">
        <v>1251</v>
      </c>
    </row>
    <row r="19" spans="1:1" x14ac:dyDescent="0.25">
      <c r="A19" s="26" t="s">
        <v>1252</v>
      </c>
    </row>
    <row r="20" spans="1:1" x14ac:dyDescent="0.25">
      <c r="A20" s="26" t="s">
        <v>1253</v>
      </c>
    </row>
    <row r="21" spans="1:1" x14ac:dyDescent="0.25">
      <c r="A21" s="26" t="s">
        <v>1254</v>
      </c>
    </row>
    <row r="23" spans="1:1" x14ac:dyDescent="0.25">
      <c r="A23" s="26" t="s">
        <v>1255</v>
      </c>
    </row>
    <row r="24" spans="1:1" x14ac:dyDescent="0.25">
      <c r="A24" s="26" t="s">
        <v>1256</v>
      </c>
    </row>
    <row r="25" spans="1:1" x14ac:dyDescent="0.25">
      <c r="A25" s="26" t="s">
        <v>1257</v>
      </c>
    </row>
    <row r="26" spans="1:1" x14ac:dyDescent="0.25">
      <c r="A26" s="26" t="s">
        <v>1258</v>
      </c>
    </row>
    <row r="28" spans="1:1" x14ac:dyDescent="0.25">
      <c r="A28" s="26" t="s">
        <v>1259</v>
      </c>
    </row>
    <row r="29" spans="1:1" x14ac:dyDescent="0.25">
      <c r="A29" s="26" t="s">
        <v>1260</v>
      </c>
    </row>
    <row r="30" spans="1:1" x14ac:dyDescent="0.25">
      <c r="A30" s="26" t="s">
        <v>1261</v>
      </c>
    </row>
    <row r="31" spans="1:1" x14ac:dyDescent="0.25">
      <c r="A31" s="26" t="s">
        <v>1262</v>
      </c>
    </row>
    <row r="32" spans="1:1" x14ac:dyDescent="0.25">
      <c r="A32" s="26" t="s">
        <v>1263</v>
      </c>
    </row>
    <row r="33" spans="1:1" x14ac:dyDescent="0.25">
      <c r="A33" s="26" t="s">
        <v>1264</v>
      </c>
    </row>
    <row r="34" spans="1:1" x14ac:dyDescent="0.25">
      <c r="A34" s="26" t="s">
        <v>1265</v>
      </c>
    </row>
    <row r="36" spans="1:1" x14ac:dyDescent="0.25">
      <c r="A36" s="26" t="s">
        <v>1266</v>
      </c>
    </row>
    <row r="38" spans="1:1" x14ac:dyDescent="0.25">
      <c r="A38" s="26" t="s">
        <v>1243</v>
      </c>
    </row>
    <row r="40" spans="1:1" x14ac:dyDescent="0.25">
      <c r="A40" s="26" t="s">
        <v>1267</v>
      </c>
    </row>
    <row r="41" spans="1:1" x14ac:dyDescent="0.25">
      <c r="A41" s="26" t="s">
        <v>1268</v>
      </c>
    </row>
    <row r="43" spans="1:1" x14ac:dyDescent="0.25">
      <c r="A43" s="26" t="s">
        <v>1247</v>
      </c>
    </row>
    <row r="45" spans="1:1" x14ac:dyDescent="0.25">
      <c r="A45" s="26" t="s">
        <v>1248</v>
      </c>
    </row>
    <row r="46" spans="1:1" x14ac:dyDescent="0.25">
      <c r="A46" s="26" t="s">
        <v>1269</v>
      </c>
    </row>
    <row r="47" spans="1:1" x14ac:dyDescent="0.25">
      <c r="A47" s="26" t="s">
        <v>1250</v>
      </c>
    </row>
    <row r="48" spans="1:1" x14ac:dyDescent="0.25">
      <c r="A48" s="26" t="s">
        <v>1270</v>
      </c>
    </row>
    <row r="49" spans="1:1" x14ac:dyDescent="0.25">
      <c r="A49" s="26" t="s">
        <v>1271</v>
      </c>
    </row>
    <row r="50" spans="1:1" x14ac:dyDescent="0.25">
      <c r="A50" s="26" t="s">
        <v>1272</v>
      </c>
    </row>
    <row r="51" spans="1:1" x14ac:dyDescent="0.25">
      <c r="A51" s="26" t="s">
        <v>1273</v>
      </c>
    </row>
    <row r="53" spans="1:1" x14ac:dyDescent="0.25">
      <c r="A53" s="26" t="s">
        <v>1274</v>
      </c>
    </row>
    <row r="54" spans="1:1" x14ac:dyDescent="0.25">
      <c r="A54" s="26" t="s">
        <v>1275</v>
      </c>
    </row>
    <row r="56" spans="1:1" x14ac:dyDescent="0.25">
      <c r="A56" s="26" t="s">
        <v>1276</v>
      </c>
    </row>
    <row r="58" spans="1:1" x14ac:dyDescent="0.25">
      <c r="A58" s="26" t="s">
        <v>1243</v>
      </c>
    </row>
    <row r="60" spans="1:1" x14ac:dyDescent="0.25">
      <c r="A60" s="26" t="s">
        <v>1277</v>
      </c>
    </row>
    <row r="61" spans="1:1" x14ac:dyDescent="0.25">
      <c r="A61" s="26" t="s">
        <v>1278</v>
      </c>
    </row>
    <row r="63" spans="1:1" x14ac:dyDescent="0.25">
      <c r="A63" s="26" t="s">
        <v>1279</v>
      </c>
    </row>
    <row r="65" spans="1:1" x14ac:dyDescent="0.25">
      <c r="A65" s="26" t="s">
        <v>1280</v>
      </c>
    </row>
    <row r="66" spans="1:1" x14ac:dyDescent="0.25">
      <c r="A66" s="26" t="s">
        <v>1281</v>
      </c>
    </row>
    <row r="68" spans="1:1" x14ac:dyDescent="0.25">
      <c r="A68" s="26" t="s">
        <v>1282</v>
      </c>
    </row>
    <row r="69" spans="1:1" x14ac:dyDescent="0.25">
      <c r="A69" s="26" t="s">
        <v>1283</v>
      </c>
    </row>
    <row r="71" spans="1:1" x14ac:dyDescent="0.25">
      <c r="A71" s="26" t="s">
        <v>1284</v>
      </c>
    </row>
    <row r="72" spans="1:1" x14ac:dyDescent="0.25">
      <c r="A72" s="26" t="s">
        <v>1285</v>
      </c>
    </row>
    <row r="73" spans="1:1" x14ac:dyDescent="0.25">
      <c r="A73" s="26" t="s">
        <v>1286</v>
      </c>
    </row>
    <row r="74" spans="1:1" x14ac:dyDescent="0.25">
      <c r="A74" s="26" t="s">
        <v>1287</v>
      </c>
    </row>
    <row r="76" spans="1:1" x14ac:dyDescent="0.25">
      <c r="A76" s="26" t="s">
        <v>1243</v>
      </c>
    </row>
    <row r="78" spans="1:1" x14ac:dyDescent="0.25">
      <c r="A78" s="26" t="s">
        <v>1288</v>
      </c>
    </row>
    <row r="79" spans="1:1" x14ac:dyDescent="0.25">
      <c r="A79" s="26" t="s">
        <v>1289</v>
      </c>
    </row>
    <row r="81" spans="1:1" x14ac:dyDescent="0.25">
      <c r="A81" s="26" t="s">
        <v>1290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1291</v>
      </c>
    </row>
    <row r="84" spans="1:1" x14ac:dyDescent="0.25">
      <c r="A84" s="26" t="s">
        <v>1292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1293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1243</v>
      </c>
    </row>
    <row r="92" spans="1:1" x14ac:dyDescent="0.25">
      <c r="A92" s="26" t="s">
        <v>1294</v>
      </c>
    </row>
    <row r="93" spans="1:1" x14ac:dyDescent="0.25">
      <c r="A93" s="26" t="s">
        <v>1295</v>
      </c>
    </row>
    <row r="95" spans="1:1" x14ac:dyDescent="0.25">
      <c r="A95" s="26" t="s">
        <v>1296</v>
      </c>
    </row>
    <row r="96" spans="1:1" x14ac:dyDescent="0.25">
      <c r="A96" s="26" t="s">
        <v>1297</v>
      </c>
    </row>
    <row r="97" spans="1:1" x14ac:dyDescent="0.25">
      <c r="A97" s="26" t="s">
        <v>1298</v>
      </c>
    </row>
    <row r="98" spans="1:1" x14ac:dyDescent="0.25">
      <c r="A98" s="26" t="s">
        <v>1299</v>
      </c>
    </row>
    <row r="100" spans="1:1" x14ac:dyDescent="0.25">
      <c r="A100" s="26" t="s">
        <v>1300</v>
      </c>
    </row>
    <row r="101" spans="1:1" x14ac:dyDescent="0.25">
      <c r="A101" s="26" t="s">
        <v>1301</v>
      </c>
    </row>
    <row r="102" spans="1:1" x14ac:dyDescent="0.25">
      <c r="A102" s="26" t="s">
        <v>1302</v>
      </c>
    </row>
    <row r="104" spans="1:1" x14ac:dyDescent="0.25">
      <c r="A104" s="26" t="s">
        <v>1303</v>
      </c>
    </row>
    <row r="105" spans="1:1" x14ac:dyDescent="0.25">
      <c r="A105" s="26" t="s">
        <v>1304</v>
      </c>
    </row>
    <row r="106" spans="1:1" x14ac:dyDescent="0.25">
      <c r="A106" s="26" t="s">
        <v>1305</v>
      </c>
    </row>
    <row r="108" spans="1:1" x14ac:dyDescent="0.25">
      <c r="A108" s="26" t="s">
        <v>1243</v>
      </c>
    </row>
    <row r="110" spans="1:1" x14ac:dyDescent="0.25">
      <c r="A110" s="26" t="s">
        <v>1306</v>
      </c>
    </row>
    <row r="112" spans="1:1" x14ac:dyDescent="0.25">
      <c r="A112" s="26" t="s">
        <v>1307</v>
      </c>
    </row>
    <row r="113" spans="1:1" x14ac:dyDescent="0.25">
      <c r="A113" s="26" t="s">
        <v>1308</v>
      </c>
    </row>
    <row r="114" spans="1:1" x14ac:dyDescent="0.25">
      <c r="A114" s="26" t="s">
        <v>1309</v>
      </c>
    </row>
    <row r="115" spans="1:1" x14ac:dyDescent="0.25">
      <c r="A115" s="26" t="s">
        <v>1310</v>
      </c>
    </row>
    <row r="116" spans="1:1" x14ac:dyDescent="0.25">
      <c r="A116" s="26" t="s">
        <v>1311</v>
      </c>
    </row>
    <row r="117" spans="1:1" x14ac:dyDescent="0.25">
      <c r="A117" s="26" t="s">
        <v>1312</v>
      </c>
    </row>
    <row r="118" spans="1:1" x14ac:dyDescent="0.25">
      <c r="A118" s="26" t="s">
        <v>1313</v>
      </c>
    </row>
    <row r="119" spans="1:1" x14ac:dyDescent="0.25">
      <c r="A119" s="26" t="s">
        <v>1314</v>
      </c>
    </row>
    <row r="120" spans="1:1" x14ac:dyDescent="0.25">
      <c r="A120" s="26" t="s">
        <v>1315</v>
      </c>
    </row>
    <row r="121" spans="1:1" x14ac:dyDescent="0.25">
      <c r="A121" s="26" t="s">
        <v>1316</v>
      </c>
    </row>
    <row r="122" spans="1:1" x14ac:dyDescent="0.25">
      <c r="A122" s="26" t="s">
        <v>1317</v>
      </c>
    </row>
    <row r="123" spans="1:1" x14ac:dyDescent="0.25">
      <c r="A123" s="26" t="s">
        <v>1318</v>
      </c>
    </row>
    <row r="125" spans="1:1" x14ac:dyDescent="0.25">
      <c r="A125" s="26" t="s">
        <v>1319</v>
      </c>
    </row>
    <row r="126" spans="1:1" x14ac:dyDescent="0.25">
      <c r="A126" s="26" t="s">
        <v>1320</v>
      </c>
    </row>
    <row r="127" spans="1:1" x14ac:dyDescent="0.25">
      <c r="A127" s="26" t="s">
        <v>1321</v>
      </c>
    </row>
    <row r="128" spans="1:1" x14ac:dyDescent="0.25">
      <c r="A128" s="26" t="s">
        <v>1322</v>
      </c>
    </row>
    <row r="129" spans="1:1" x14ac:dyDescent="0.25">
      <c r="A129" s="26" t="s">
        <v>1310</v>
      </c>
    </row>
    <row r="130" spans="1:1" x14ac:dyDescent="0.25">
      <c r="A130" s="26" t="s">
        <v>1323</v>
      </c>
    </row>
    <row r="131" spans="1:1" x14ac:dyDescent="0.25">
      <c r="A131" s="26" t="s">
        <v>1324</v>
      </c>
    </row>
    <row r="132" spans="1:1" x14ac:dyDescent="0.25">
      <c r="A132" s="26" t="s">
        <v>1325</v>
      </c>
    </row>
    <row r="133" spans="1:1" x14ac:dyDescent="0.25">
      <c r="A133" s="26" t="s">
        <v>1326</v>
      </c>
    </row>
    <row r="135" spans="1:1" x14ac:dyDescent="0.25">
      <c r="A135" s="26" t="s">
        <v>1243</v>
      </c>
    </row>
    <row r="137" spans="1:1" x14ac:dyDescent="0.25">
      <c r="A137" s="26" t="s">
        <v>1327</v>
      </c>
    </row>
    <row r="139" spans="1:1" x14ac:dyDescent="0.25">
      <c r="A139" s="26" t="s">
        <v>1328</v>
      </c>
    </row>
    <row r="140" spans="1:1" x14ac:dyDescent="0.25">
      <c r="A140" s="26" t="s">
        <v>1329</v>
      </c>
    </row>
    <row r="141" spans="1:1" x14ac:dyDescent="0.25">
      <c r="A141" s="26" t="s">
        <v>1330</v>
      </c>
    </row>
    <row r="142" spans="1:1" x14ac:dyDescent="0.25">
      <c r="A142" s="26" t="s">
        <v>1331</v>
      </c>
    </row>
    <row r="144" spans="1:1" x14ac:dyDescent="0.25">
      <c r="A144" s="26" t="s">
        <v>1332</v>
      </c>
    </row>
    <row r="145" spans="1:1" x14ac:dyDescent="0.25">
      <c r="A145" s="26" t="s">
        <v>1333</v>
      </c>
    </row>
    <row r="147" spans="1:1" x14ac:dyDescent="0.25">
      <c r="A147" s="26" t="s">
        <v>1334</v>
      </c>
    </row>
    <row r="148" spans="1:1" x14ac:dyDescent="0.25">
      <c r="A148" s="26" t="s">
        <v>1335</v>
      </c>
    </row>
    <row r="149" spans="1:1" x14ac:dyDescent="0.25">
      <c r="A149" s="26" t="s">
        <v>1336</v>
      </c>
    </row>
    <row r="151" spans="1:1" x14ac:dyDescent="0.25">
      <c r="A151" s="26" t="s">
        <v>1243</v>
      </c>
    </row>
    <row r="153" spans="1:1" x14ac:dyDescent="0.25">
      <c r="A153" s="26" t="s">
        <v>1337</v>
      </c>
    </row>
    <row r="154" spans="1:1" x14ac:dyDescent="0.25">
      <c r="A154" s="26" t="s">
        <v>1338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1339</v>
      </c>
    </row>
    <row r="157" spans="1:1" x14ac:dyDescent="0.25">
      <c r="A157" s="26" t="s">
        <v>1340</v>
      </c>
    </row>
    <row r="158" spans="1:1" x14ac:dyDescent="0.25">
      <c r="A158" s="26" t="s">
        <v>1341</v>
      </c>
    </row>
    <row r="159" spans="1:1" x14ac:dyDescent="0.25">
      <c r="A159" s="26" t="s">
        <v>1342</v>
      </c>
    </row>
    <row r="161" spans="1:1" x14ac:dyDescent="0.25">
      <c r="A161" s="26" t="s">
        <v>1343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1344</v>
      </c>
    </row>
    <row r="166" spans="1:1" x14ac:dyDescent="0.25">
      <c r="A166" s="26" t="s">
        <v>1243</v>
      </c>
    </row>
    <row r="168" spans="1:1" x14ac:dyDescent="0.25">
      <c r="A168" s="26" t="s">
        <v>1345</v>
      </c>
    </row>
    <row r="169" spans="1:1" x14ac:dyDescent="0.25">
      <c r="A169" s="26" t="s">
        <v>1346</v>
      </c>
    </row>
    <row r="170" spans="1:1" x14ac:dyDescent="0.25">
      <c r="A170" s="26" t="s">
        <v>1347</v>
      </c>
    </row>
    <row r="171" spans="1:1" x14ac:dyDescent="0.25">
      <c r="A171" s="26" t="s">
        <v>1348</v>
      </c>
    </row>
    <row r="172" spans="1:1" x14ac:dyDescent="0.25">
      <c r="A172" s="26" t="s">
        <v>1349</v>
      </c>
    </row>
    <row r="173" spans="1:1" x14ac:dyDescent="0.25">
      <c r="A173" s="26" t="s">
        <v>1350</v>
      </c>
    </row>
    <row r="174" spans="1:1" x14ac:dyDescent="0.25">
      <c r="A174" s="26" t="s">
        <v>1351</v>
      </c>
    </row>
    <row r="175" spans="1:1" x14ac:dyDescent="0.25">
      <c r="A175" s="26" t="s">
        <v>1352</v>
      </c>
    </row>
    <row r="176" spans="1:1" x14ac:dyDescent="0.25">
      <c r="A176" s="26" t="s">
        <v>1353</v>
      </c>
    </row>
    <row r="177" spans="1:1" ht="30" x14ac:dyDescent="0.25">
      <c r="A177" s="26" t="s">
        <v>1354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workbookViewId="0">
      <selection activeCell="D8" sqref="D8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1418</v>
      </c>
      <c r="E1" s="4" t="s">
        <v>1419</v>
      </c>
      <c r="F1" s="8" t="s">
        <v>63</v>
      </c>
      <c r="G1" s="8" t="s">
        <v>1395</v>
      </c>
      <c r="H1" s="8" t="s">
        <v>1420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15</v>
      </c>
      <c r="D6" t="str">
        <f>export_calendar!AP8</f>
        <v>Carnaval, Alaaf!!</v>
      </c>
      <c r="E6" s="1">
        <f>export_calendar!AO8</f>
        <v>117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16</v>
      </c>
      <c r="D7" t="str">
        <f>export_calendar!AP9</f>
        <v>RosenMoontach, Agge mar leut heht</v>
      </c>
      <c r="E7" s="1">
        <f>export_calendar!AO9</f>
        <v>98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171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21</v>
      </c>
      <c r="D12" t="str">
        <f>export_calendar!AP14</f>
        <v>Hartelijk gefeliciteerd,  Thomas</v>
      </c>
      <c r="E12" s="1">
        <f>export_calendar!AO14</f>
        <v>73</v>
      </c>
      <c r="F12">
        <f>MATCH(export_calendar!AL14,theme_boxes!C:C,0)-1</f>
        <v>15</v>
      </c>
      <c r="G12">
        <f>MATCH(export_calendar!AN14,light_patterns!B:B,0)-1</f>
        <v>3</v>
      </c>
      <c r="H12">
        <f>MATCH(export_calendar!AM14,light_colors!B:B,0)-1</f>
        <v>14</v>
      </c>
    </row>
    <row r="13" spans="1:9" x14ac:dyDescent="0.25">
      <c r="A13" s="1">
        <f>export_calendar!AI15</f>
        <v>2026</v>
      </c>
      <c r="B13" s="1">
        <f>export_calendar!AJ15</f>
        <v>4</v>
      </c>
      <c r="C13" s="1">
        <f>export_calendar!AK15</f>
        <v>1</v>
      </c>
      <c r="D13" t="str">
        <f>export_calendar!AP15</f>
        <v>Eerste van de maand april, een april, kikker in je bil!</v>
      </c>
      <c r="E13" s="1">
        <f>export_calendar!AO15</f>
        <v>265</v>
      </c>
      <c r="F13">
        <f>MATCH(export_calendar!AL15,theme_boxes!C:C,0)-1</f>
        <v>23</v>
      </c>
      <c r="G13">
        <f>MATCH(export_calendar!AN15,light_patterns!B:B,0)-1</f>
        <v>4</v>
      </c>
      <c r="H13">
        <f>MATCH(export_calendar!AM15,light_colors!B:B,0)-1</f>
        <v>7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3</v>
      </c>
      <c r="D14" t="str">
        <f>export_calendar!AP16</f>
        <v>Goede Vrijdag,  - bijna Pasen</v>
      </c>
      <c r="E14" s="1">
        <f>export_calendar!AO16</f>
        <v>245</v>
      </c>
      <c r="F14">
        <f>MATCH(export_calendar!AL16,theme_boxes!C:C,0)-1</f>
        <v>13</v>
      </c>
      <c r="G14">
        <f>MATCH(export_calendar!AN16,light_patterns!B:B,0)-1</f>
        <v>2</v>
      </c>
      <c r="H14">
        <f>MATCH(export_calendar!AM16,light_colors!B:B,0)-1</f>
        <v>13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5</v>
      </c>
      <c r="D15" t="str">
        <f>export_calendar!AP17</f>
        <v>Vrolijk Pasen</v>
      </c>
      <c r="E15" s="1">
        <f>export_calendar!AO17</f>
        <v>90</v>
      </c>
      <c r="F15">
        <f>MATCH(export_calendar!AL17,theme_boxes!C:C,0)-1</f>
        <v>17</v>
      </c>
      <c r="G15">
        <f>MATCH(export_calendar!AN17,light_patterns!B:B,0)-1</f>
        <v>9</v>
      </c>
      <c r="H15">
        <f>MATCH(export_calendar!AM17,light_colors!B:B,0)-1</f>
        <v>5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6</v>
      </c>
      <c r="D16" t="str">
        <f>export_calendar!AP18</f>
        <v>Tweede Paasdag</v>
      </c>
      <c r="E16" s="1">
        <f>export_calendar!AO18</f>
        <v>249</v>
      </c>
      <c r="F16">
        <f>MATCH(export_calendar!AL18,theme_boxes!C:C,0)-1</f>
        <v>17</v>
      </c>
      <c r="G16">
        <f>MATCH(export_calendar!AN18,light_patterns!B:B,0)-1</f>
        <v>13</v>
      </c>
      <c r="H16">
        <f>MATCH(export_calendar!AM18,light_colors!B:B,0)-1</f>
        <v>19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30</v>
      </c>
      <c r="D17" t="str">
        <f>export_calendar!AP19</f>
        <v>Hartelijk gefeliciteerd,  Paul</v>
      </c>
      <c r="E17" s="1">
        <f>export_calendar!AO19</f>
        <v>98</v>
      </c>
      <c r="F17">
        <f>MATCH(export_calendar!AL19,theme_boxes!C:C,0)-1</f>
        <v>15</v>
      </c>
      <c r="G17">
        <f>MATCH(export_calendar!AN19,light_patterns!B:B,0)-1</f>
        <v>3</v>
      </c>
      <c r="H17">
        <f>MATCH(export_calendar!AM19,light_colors!B:B,0)-1</f>
        <v>14</v>
      </c>
    </row>
    <row r="18" spans="1:8" x14ac:dyDescent="0.25">
      <c r="A18" s="1">
        <f>export_calendar!AI20</f>
        <v>2026</v>
      </c>
      <c r="B18" s="1">
        <f>export_calendar!AJ20</f>
        <v>5</v>
      </c>
      <c r="C18" s="1">
        <f>export_calendar!AK20</f>
        <v>1</v>
      </c>
      <c r="D18" t="str">
        <f>export_calendar!AP20</f>
        <v>Eerste van de maand mei- leggen alle vogeltjes een ei</v>
      </c>
      <c r="E18" s="1">
        <f>export_calendar!AO20</f>
        <v>202</v>
      </c>
      <c r="F18">
        <f>MATCH(export_calendar!AL20,theme_boxes!C:C,0)-1</f>
        <v>23</v>
      </c>
      <c r="G18">
        <f>MATCH(export_calendar!AN20,light_patterns!B:B,0)-1</f>
        <v>4</v>
      </c>
      <c r="H18">
        <f>MATCH(export_calendar!AM20,light_colors!B:B,0)-1</f>
        <v>7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4</v>
      </c>
      <c r="D19" t="str">
        <f>export_calendar!AP21</f>
        <v>Dodenherdenking</v>
      </c>
      <c r="E19" s="1">
        <f>export_calendar!AO21</f>
        <v>102</v>
      </c>
      <c r="F19">
        <f>MATCH(export_calendar!AL21,theme_boxes!C:C,0)-1</f>
        <v>21</v>
      </c>
      <c r="G19">
        <f>MATCH(export_calendar!AN21,light_patterns!B:B,0)-1</f>
        <v>2</v>
      </c>
      <c r="H19">
        <f>MATCH(export_calendar!AM21,light_colors!B:B,0)-1</f>
        <v>31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5</v>
      </c>
      <c r="D20" t="str">
        <f>export_calendar!AP22</f>
        <v>Bevrijdingsdag</v>
      </c>
      <c r="E20" s="1">
        <f>export_calendar!AO22</f>
        <v>64</v>
      </c>
      <c r="F20">
        <f>MATCH(export_calendar!AL22,theme_boxes!C:C,0)-1</f>
        <v>24</v>
      </c>
      <c r="G20">
        <f>MATCH(export_calendar!AN22,light_patterns!B:B,0)-1</f>
        <v>3</v>
      </c>
      <c r="H20">
        <f>MATCH(export_calendar!AM22,light_colors!B:B,0)-1</f>
        <v>3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10</v>
      </c>
      <c r="D21" t="str">
        <f>export_calendar!AP23</f>
        <v>Hartelijk gefeliciteerd,  Gaia</v>
      </c>
      <c r="E21" s="1">
        <f>export_calendar!AO23</f>
        <v>73</v>
      </c>
      <c r="F21">
        <f>MATCH(export_calendar!AL23,theme_boxes!C:C,0)-1</f>
        <v>15</v>
      </c>
      <c r="G21">
        <f>MATCH(export_calendar!AN23,light_patterns!B:B,0)-1</f>
        <v>3</v>
      </c>
      <c r="H21">
        <f>MATCH(export_calendar!AM23,light_colors!B:B,0)-1</f>
        <v>14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14</v>
      </c>
      <c r="D22" t="str">
        <f>export_calendar!AP24</f>
        <v>Hemelvaart</v>
      </c>
      <c r="E22" s="1">
        <f>export_calendar!AO24</f>
        <v>133</v>
      </c>
      <c r="F22">
        <f>MATCH(export_calendar!AL24,theme_boxes!C:C,0)-1</f>
        <v>11</v>
      </c>
      <c r="G22">
        <f>MATCH(export_calendar!AN24,light_patterns!B:B,0)-1</f>
        <v>2</v>
      </c>
      <c r="H22">
        <f>MATCH(export_calendar!AM24,light_colors!B:B,0)-1</f>
        <v>29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24</v>
      </c>
      <c r="D23" t="str">
        <f>export_calendar!AP25</f>
        <v>Pinksteren,  - wat is dat ook weer??</v>
      </c>
      <c r="E23" s="1">
        <f>export_calendar!AO25</f>
        <v>164</v>
      </c>
      <c r="F23">
        <f>MATCH(export_calendar!AL25,theme_boxes!C:C,0)-1</f>
        <v>4</v>
      </c>
      <c r="G23">
        <f>MATCH(export_calendar!AN25,light_patterns!B:B,0)-1</f>
        <v>4</v>
      </c>
      <c r="H23">
        <f>MATCH(export_calendar!AM25,light_colors!B:B,0)-1</f>
        <v>8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25</v>
      </c>
      <c r="D24" t="str">
        <f>export_calendar!AP26</f>
        <v>Nog steeds Pinksteren,  - wat is dat ook weer??</v>
      </c>
      <c r="E24" s="1">
        <f>export_calendar!AO26</f>
        <v>174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6</v>
      </c>
      <c r="C25" s="1">
        <f>export_calendar!AK27</f>
        <v>1</v>
      </c>
      <c r="D25" t="str">
        <f>export_calendar!AP27</f>
        <v>Eerste van de maand juni</v>
      </c>
      <c r="E25" s="1">
        <f>export_calendar!AO27</f>
        <v>157</v>
      </c>
      <c r="F25">
        <f>MATCH(export_calendar!AL27,theme_boxes!C:C,0)-1</f>
        <v>23</v>
      </c>
      <c r="G25">
        <f>MATCH(export_calendar!AN27,light_patterns!B:B,0)-1</f>
        <v>4</v>
      </c>
      <c r="H25">
        <f>MATCH(export_calendar!AM27,light_colors!B:B,0)-1</f>
        <v>7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24</v>
      </c>
      <c r="D26" t="str">
        <f>export_calendar!AP28</f>
        <v>SintJan</v>
      </c>
      <c r="E26" s="1">
        <f>export_calendar!AO28</f>
        <v>61</v>
      </c>
      <c r="F26">
        <f>MATCH(export_calendar!AL28,theme_boxes!C:C,0)-1</f>
        <v>24</v>
      </c>
      <c r="G26">
        <f>MATCH(export_calendar!AN28,light_patterns!B:B,0)-1</f>
        <v>27</v>
      </c>
      <c r="H26">
        <f>MATCH(export_calendar!AM28,light_colors!B:B,0)-1</f>
        <v>5</v>
      </c>
    </row>
    <row r="27" spans="1:8" x14ac:dyDescent="0.25">
      <c r="A27" s="1">
        <f>export_calendar!AI29</f>
        <v>2026</v>
      </c>
      <c r="B27" s="1">
        <f>export_calendar!AJ29</f>
        <v>7</v>
      </c>
      <c r="C27" s="1">
        <f>export_calendar!AK29</f>
        <v>1</v>
      </c>
      <c r="D27" t="str">
        <f>export_calendar!AP29</f>
        <v>Eerste van de maand juli</v>
      </c>
      <c r="E27" s="1">
        <f>export_calendar!AO29</f>
        <v>171</v>
      </c>
      <c r="F27">
        <f>MATCH(export_calendar!AL29,theme_boxes!C:C,0)-1</f>
        <v>23</v>
      </c>
      <c r="G27">
        <f>MATCH(export_calendar!AN29,light_patterns!B:B,0)-1</f>
        <v>4</v>
      </c>
      <c r="H27">
        <f>MATCH(export_calendar!AM29,light_colors!B:B,0)-1</f>
        <v>7</v>
      </c>
    </row>
    <row r="28" spans="1:8" x14ac:dyDescent="0.25">
      <c r="A28" s="1">
        <f>export_calendar!AI30</f>
        <v>2026</v>
      </c>
      <c r="B28" s="1">
        <f>export_calendar!AJ30</f>
        <v>8</v>
      </c>
      <c r="C28" s="1">
        <f>export_calendar!AK30</f>
        <v>1</v>
      </c>
      <c r="D28" t="str">
        <f>export_calendar!AP30</f>
        <v>Eerste van de maand augustus</v>
      </c>
      <c r="E28" s="1">
        <f>export_calendar!AO30</f>
        <v>231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9</v>
      </c>
      <c r="C29" s="1">
        <f>export_calendar!AK31</f>
        <v>1</v>
      </c>
      <c r="D29" t="str">
        <f>export_calendar!AP31</f>
        <v>Eerste van de maand september</v>
      </c>
      <c r="E29" s="1">
        <f>export_calendar!AO31</f>
        <v>282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10</v>
      </c>
      <c r="C30" s="1">
        <f>export_calendar!AK32</f>
        <v>1</v>
      </c>
      <c r="D30" t="str">
        <f>export_calendar!AP32</f>
        <v>Eerste van de maand oktober</v>
      </c>
      <c r="E30" s="1">
        <f>export_calendar!AO32</f>
        <v>277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8</v>
      </c>
      <c r="D31" t="str">
        <f>export_calendar!AP33</f>
        <v>Hartelijk gefeliciteerd,  Jan</v>
      </c>
      <c r="E31" s="1">
        <f>export_calendar!AO33</f>
        <v>105</v>
      </c>
      <c r="F31">
        <f>MATCH(export_calendar!AL33,theme_boxes!C:C,0)-1</f>
        <v>15</v>
      </c>
      <c r="G31">
        <f>MATCH(export_calendar!AN33,light_patterns!B:B,0)-1</f>
        <v>3</v>
      </c>
      <c r="H31">
        <f>MATCH(export_calendar!AM33,light_colors!B:B,0)-1</f>
        <v>14</v>
      </c>
    </row>
    <row r="32" spans="1:8" x14ac:dyDescent="0.25">
      <c r="A32" s="1">
        <f>export_calendar!AI34</f>
        <v>2026</v>
      </c>
      <c r="B32" s="1">
        <f>export_calendar!AJ34</f>
        <v>11</v>
      </c>
      <c r="C32" s="1">
        <f>export_calendar!AK34</f>
        <v>1</v>
      </c>
      <c r="D32" t="str">
        <f>export_calendar!AP34</f>
        <v>Eerste van de maand november</v>
      </c>
      <c r="E32" s="1">
        <f>export_calendar!AO34</f>
        <v>221</v>
      </c>
      <c r="F32">
        <f>MATCH(export_calendar!AL34,theme_boxes!C:C,0)-1</f>
        <v>23</v>
      </c>
      <c r="G32">
        <f>MATCH(export_calendar!AN34,light_patterns!B:B,0)-1</f>
        <v>4</v>
      </c>
      <c r="H32">
        <f>MATCH(export_calendar!AM34,light_colors!B:B,0)-1</f>
        <v>7</v>
      </c>
    </row>
    <row r="33" spans="1:8" x14ac:dyDescent="0.25">
      <c r="A33" s="1">
        <f>export_calendar!AI35</f>
        <v>2026</v>
      </c>
      <c r="B33" s="1">
        <f>export_calendar!AJ35</f>
        <v>12</v>
      </c>
      <c r="C33" s="1">
        <f>export_calendar!AK35</f>
        <v>1</v>
      </c>
      <c r="D33" t="str">
        <f>export_calendar!AP35</f>
        <v>Eerste van de maand december</v>
      </c>
      <c r="E33" s="1">
        <f>export_calendar!AO35</f>
        <v>165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5</v>
      </c>
      <c r="D34" t="str">
        <f>export_calendar!AP36</f>
        <v>Sinterklaas</v>
      </c>
      <c r="E34" s="1">
        <f>export_calendar!AO36</f>
        <v>113</v>
      </c>
      <c r="F34">
        <f>MATCH(export_calendar!AL36,theme_boxes!C:C,0)-1</f>
        <v>12</v>
      </c>
      <c r="G34">
        <f>MATCH(export_calendar!AN36,light_patterns!B:B,0)-1</f>
        <v>6</v>
      </c>
      <c r="H34">
        <f>MATCH(export_calendar!AM36,light_colors!B:B,0)-1</f>
        <v>28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13</v>
      </c>
      <c r="D35" t="str">
        <f>export_calendar!AP37</f>
        <v>Hartelijk gefeliciteerd,  lieve Marit</v>
      </c>
      <c r="E35" s="1">
        <f>export_calendar!AO37</f>
        <v>114</v>
      </c>
      <c r="F35">
        <f>MATCH(export_calendar!AL37,theme_boxes!C:C,0)-1</f>
        <v>15</v>
      </c>
      <c r="G35">
        <f>MATCH(export_calendar!AN37,light_patterns!B:B,0)-1</f>
        <v>3</v>
      </c>
      <c r="H35">
        <f>MATCH(export_calendar!AM37,light_colors!B:B,0)-1</f>
        <v>14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25</v>
      </c>
      <c r="D36" t="str">
        <f>export_calendar!AP38</f>
        <v>Vrolijk Kerstfeest</v>
      </c>
      <c r="E36" s="1">
        <f>export_calendar!AO38</f>
        <v>95</v>
      </c>
      <c r="F36">
        <f>MATCH(export_calendar!AL38,theme_boxes!C:C,0)-1</f>
        <v>8</v>
      </c>
      <c r="G36">
        <f>MATCH(export_calendar!AN38,light_patterns!B:B,0)-1</f>
        <v>26</v>
      </c>
      <c r="H36">
        <f>MATCH(export_calendar!AM38,light_colors!B:B,0)-1</f>
        <v>30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26</v>
      </c>
      <c r="D37" t="str">
        <f>export_calendar!AP39</f>
        <v>Tweede Kerstdag</v>
      </c>
      <c r="E37" s="1">
        <f>export_calendar!AO39</f>
        <v>108</v>
      </c>
      <c r="F37">
        <f>MATCH(export_calendar!AL39,theme_boxes!C:C,0)-1</f>
        <v>8</v>
      </c>
      <c r="G37">
        <f>MATCH(export_calendar!AN39,light_patterns!B:B,0)-1</f>
        <v>5</v>
      </c>
      <c r="H37">
        <f>MATCH(export_calendar!AM39,light_colors!B:B,0)-1</f>
        <v>20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28</v>
      </c>
      <c r="D38" t="str">
        <f>export_calendar!AP40</f>
        <v>Onnozele Kinderen</v>
      </c>
      <c r="E38" s="1">
        <f>export_calendar!AO40</f>
        <v>77</v>
      </c>
      <c r="F38">
        <f>MATCH(export_calendar!AL40,theme_boxes!C:C,0)-1</f>
        <v>10</v>
      </c>
      <c r="G38">
        <f>MATCH(export_calendar!AN40,light_patterns!B:B,0)-1</f>
        <v>26</v>
      </c>
      <c r="H38">
        <f>MATCH(export_calendar!AM40,light_colors!B:B,0)-1</f>
        <v>35</v>
      </c>
    </row>
    <row r="39" spans="1:8" x14ac:dyDescent="0.25">
      <c r="A39" s="1">
        <f>export_calendar!AI41</f>
        <v>2027</v>
      </c>
      <c r="B39" s="1">
        <f>export_calendar!AJ41</f>
        <v>1</v>
      </c>
      <c r="C39" s="1">
        <f>export_calendar!AK41</f>
        <v>1</v>
      </c>
      <c r="D39" t="str">
        <f>export_calendar!AP41</f>
        <v>Gelukkig Nieuwjaar</v>
      </c>
      <c r="E39" s="1">
        <f>export_calendar!AO41</f>
        <v>77</v>
      </c>
      <c r="F39">
        <f>MATCH(export_calendar!AL41,theme_boxes!C:C,0)-1</f>
        <v>24</v>
      </c>
      <c r="G39">
        <f>MATCH(export_calendar!AN41,light_patterns!B:B,0)-1</f>
        <v>2</v>
      </c>
      <c r="H39">
        <f>MATCH(export_calendar!AM41,light_colors!B:B,0)-1</f>
        <v>40</v>
      </c>
    </row>
    <row r="40" spans="1:8" x14ac:dyDescent="0.25">
      <c r="A40" s="1">
        <f>export_calendar!AI42</f>
        <v>2027</v>
      </c>
      <c r="B40" s="1">
        <f>export_calendar!AJ42</f>
        <v>2</v>
      </c>
      <c r="C40" s="1">
        <f>export_calendar!AK42</f>
        <v>1</v>
      </c>
      <c r="D40" t="str">
        <f>export_calendar!AP42</f>
        <v>Eerste van de maand februari</v>
      </c>
      <c r="E40" s="1">
        <f>export_calendar!AO42</f>
        <v>249</v>
      </c>
      <c r="F40">
        <f>MATCH(export_calendar!AL42,theme_boxes!C:C,0)-1</f>
        <v>23</v>
      </c>
      <c r="G40">
        <f>MATCH(export_calendar!AN42,light_patterns!B:B,0)-1</f>
        <v>4</v>
      </c>
      <c r="H40">
        <f>MATCH(export_calendar!AM42,light_colors!B:B,0)-1</f>
        <v>7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7</v>
      </c>
      <c r="D41" t="str">
        <f>export_calendar!AP43</f>
        <v>Carnaval, Keiebijters!!</v>
      </c>
      <c r="E41" s="1">
        <f>export_calendar!AO43</f>
        <v>115</v>
      </c>
      <c r="F41">
        <f>MATCH(export_calendar!AL43,theme_boxes!C:C,0)-1</f>
        <v>24</v>
      </c>
      <c r="G41">
        <f>MATCH(export_calendar!AN43,light_patterns!B:B,0)-1</f>
        <v>3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10</v>
      </c>
      <c r="D44" t="str">
        <f>export_calendar!AP46</f>
        <v>Aswoensdag ,  - en dan nu: vasten</v>
      </c>
      <c r="E44" s="1">
        <f>export_calendar!AO46</f>
        <v>227</v>
      </c>
      <c r="F44">
        <f>MATCH(export_calendar!AL46,theme_boxes!C:C,0)-1</f>
        <v>21</v>
      </c>
      <c r="G44">
        <f>MATCH(export_calendar!AN46,light_patterns!B:B,0)-1</f>
        <v>5</v>
      </c>
      <c r="H44">
        <f>MATCH(export_calendar!AM46,light_colors!B:B,0)-1</f>
        <v>21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14</v>
      </c>
      <c r="D45" t="str">
        <f>export_calendar!AP47</f>
        <v>Valentijns en verlovingsdag</v>
      </c>
      <c r="E45" s="1">
        <f>export_calendar!AO47</f>
        <v>70</v>
      </c>
      <c r="F45">
        <f>MATCH(export_calendar!AL47,theme_boxes!C:C,0)-1</f>
        <v>24</v>
      </c>
      <c r="G45">
        <f>MATCH(export_calendar!AN47,light_patterns!B:B,0)-1</f>
        <v>6</v>
      </c>
      <c r="H45">
        <f>MATCH(export_calendar!AM47,light_colors!B:B,0)-1</f>
        <v>42</v>
      </c>
    </row>
    <row r="46" spans="1:8" x14ac:dyDescent="0.25">
      <c r="A46" s="1">
        <f>export_calendar!AI48</f>
        <v>2027</v>
      </c>
      <c r="B46" s="1">
        <f>export_calendar!AJ48</f>
        <v>3</v>
      </c>
      <c r="C46" s="1">
        <f>export_calendar!AK48</f>
        <v>1</v>
      </c>
      <c r="D46" t="str">
        <f>export_calendar!AP48</f>
        <v>Eerste van de maand maart</v>
      </c>
      <c r="E46" s="1">
        <f>export_calendar!AO48</f>
        <v>287</v>
      </c>
      <c r="F46">
        <f>MATCH(export_calendar!AL48,theme_boxes!C:C,0)-1</f>
        <v>23</v>
      </c>
      <c r="G46">
        <f>MATCH(export_calendar!AN48,light_patterns!B:B,0)-1</f>
        <v>4</v>
      </c>
      <c r="H46">
        <f>MATCH(export_calendar!AM48,light_colors!B:B,0)-1</f>
        <v>7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9</v>
      </c>
      <c r="D47" t="str">
        <f>export_calendar!AP49</f>
        <v>Suikerfeest</v>
      </c>
      <c r="E47" s="1">
        <f>export_calendar!AO49</f>
        <v>201</v>
      </c>
      <c r="F47">
        <f>MATCH(export_calendar!AL49,theme_boxes!C:C,0)-1</f>
        <v>10</v>
      </c>
      <c r="G47">
        <f>MATCH(export_calendar!AN49,light_patterns!B:B,0)-1</f>
        <v>7</v>
      </c>
      <c r="H47">
        <f>MATCH(export_calendar!AM49,light_colors!B:B,0)-1</f>
        <v>1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14</v>
      </c>
      <c r="D48" t="str">
        <f>export_calendar!AP50</f>
        <v>piedag - drie komma een vier enzovoortsen nog meer decimalen</v>
      </c>
      <c r="E48" s="1">
        <f>export_calendar!AO50</f>
        <v>95</v>
      </c>
      <c r="F48">
        <f>MATCH(export_calendar!AL50,theme_boxes!C:C,0)-1</f>
        <v>9</v>
      </c>
      <c r="G48">
        <f>MATCH(export_calendar!AN50,light_patterns!B:B,0)-1</f>
        <v>28</v>
      </c>
      <c r="H48">
        <f>MATCH(export_calendar!AM50,light_colors!B:B,0)-1</f>
        <v>6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21</v>
      </c>
      <c r="D49" t="str">
        <f>export_calendar!AP51</f>
        <v>Hartelijk gefeliciteerd,  Thomas</v>
      </c>
      <c r="E49" s="1">
        <f>export_calendar!AO51</f>
        <v>73</v>
      </c>
      <c r="F49">
        <f>MATCH(export_calendar!AL51,theme_boxes!C:C,0)-1</f>
        <v>15</v>
      </c>
      <c r="G49">
        <f>MATCH(export_calendar!AN51,light_patterns!B:B,0)-1</f>
        <v>3</v>
      </c>
      <c r="H49">
        <f>MATCH(export_calendar!AM51,light_colors!B:B,0)-1</f>
        <v>14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26</v>
      </c>
      <c r="D50" t="str">
        <f>export_calendar!AP52</f>
        <v>Goede Vrijdag,  - geen vrije dag</v>
      </c>
      <c r="E50" s="1">
        <f>export_calendar!AO52</f>
        <v>202</v>
      </c>
      <c r="F50">
        <f>MATCH(export_calendar!AL52,theme_boxes!C:C,0)-1</f>
        <v>13</v>
      </c>
      <c r="G50">
        <f>MATCH(export_calendar!AN52,light_patterns!B:B,0)-1</f>
        <v>2</v>
      </c>
      <c r="H50">
        <f>MATCH(export_calendar!AM52,light_colors!B:B,0)-1</f>
        <v>13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28</v>
      </c>
      <c r="D51" t="str">
        <f>export_calendar!AP53</f>
        <v>Vrolijk Pasen, zoek de eitjes</v>
      </c>
      <c r="E51" s="1">
        <f>export_calendar!AO53</f>
        <v>95</v>
      </c>
      <c r="F51">
        <f>MATCH(export_calendar!AL53,theme_boxes!C:C,0)-1</f>
        <v>17</v>
      </c>
      <c r="G51">
        <f>MATCH(export_calendar!AN53,light_patterns!B:B,0)-1</f>
        <v>9</v>
      </c>
      <c r="H51">
        <f>MATCH(export_calendar!AM53,light_colors!B:B,0)-1</f>
        <v>5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29</v>
      </c>
      <c r="D52" t="str">
        <f>export_calendar!AP54</f>
        <v>Tweede Paasdag, zoek de eitjes</v>
      </c>
      <c r="E52" s="1">
        <f>export_calendar!AO54</f>
        <v>272</v>
      </c>
      <c r="F52">
        <f>MATCH(export_calendar!AL54,theme_boxes!C:C,0)-1</f>
        <v>17</v>
      </c>
      <c r="G52">
        <f>MATCH(export_calendar!AN54,light_patterns!B:B,0)-1</f>
        <v>13</v>
      </c>
      <c r="H52">
        <f>MATCH(export_calendar!AM54,light_colors!B:B,0)-1</f>
        <v>19</v>
      </c>
    </row>
    <row r="53" spans="1:8" x14ac:dyDescent="0.25">
      <c r="A53" s="1">
        <f>export_calendar!AI55</f>
        <v>2027</v>
      </c>
      <c r="B53" s="1">
        <f>export_calendar!AJ55</f>
        <v>4</v>
      </c>
      <c r="C53" s="1">
        <f>export_calendar!AK55</f>
        <v>1</v>
      </c>
      <c r="D53" t="str">
        <f>export_calendar!AP55</f>
        <v>Eerste van de maand april, een april, kikker in je bil!</v>
      </c>
      <c r="E53" s="1">
        <f>export_calendar!AO55</f>
        <v>265</v>
      </c>
      <c r="F53">
        <f>MATCH(export_calendar!AL55,theme_boxes!C:C,0)-1</f>
        <v>23</v>
      </c>
      <c r="G53">
        <f>MATCH(export_calendar!AN55,light_patterns!B:B,0)-1</f>
        <v>4</v>
      </c>
      <c r="H53">
        <f>MATCH(export_calendar!AM55,light_colors!B:B,0)-1</f>
        <v>7</v>
      </c>
    </row>
    <row r="54" spans="1:8" x14ac:dyDescent="0.25">
      <c r="A54" s="1">
        <f>export_calendar!AI56</f>
        <v>2027</v>
      </c>
      <c r="B54" s="1">
        <f>export_calendar!AJ56</f>
        <v>4</v>
      </c>
      <c r="C54" s="1">
        <f>export_calendar!AK56</f>
        <v>30</v>
      </c>
      <c r="D54" t="str">
        <f>export_calendar!AP56</f>
        <v>Hartelijk gefeliciteerd,  Paul</v>
      </c>
      <c r="E54" s="1">
        <f>export_calendar!AO56</f>
        <v>98</v>
      </c>
      <c r="F54">
        <f>MATCH(export_calendar!AL56,theme_boxes!C:C,0)-1</f>
        <v>15</v>
      </c>
      <c r="G54">
        <f>MATCH(export_calendar!AN56,light_patterns!B:B,0)-1</f>
        <v>3</v>
      </c>
      <c r="H54">
        <f>MATCH(export_calendar!AM56,light_colors!B:B,0)-1</f>
        <v>14</v>
      </c>
    </row>
    <row r="55" spans="1:8" x14ac:dyDescent="0.25">
      <c r="A55" s="1">
        <f>export_calendar!AI57</f>
        <v>2027</v>
      </c>
      <c r="B55" s="1">
        <f>export_calendar!AJ57</f>
        <v>5</v>
      </c>
      <c r="C55" s="1">
        <f>export_calendar!AK57</f>
        <v>1</v>
      </c>
      <c r="D55" t="str">
        <f>export_calendar!AP57</f>
        <v>Eerste van de maand mei- leggen alle vogeltjes een ei</v>
      </c>
      <c r="E55" s="1">
        <f>export_calendar!AO57</f>
        <v>202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5</v>
      </c>
      <c r="C56" s="1">
        <f>export_calendar!AK58</f>
        <v>4</v>
      </c>
      <c r="D56" t="str">
        <f>export_calendar!AP58</f>
        <v>Dodenherdenking</v>
      </c>
      <c r="E56" s="1">
        <f>export_calendar!AO58</f>
        <v>102</v>
      </c>
      <c r="F56">
        <f>MATCH(export_calendar!AL58,theme_boxes!C:C,0)-1</f>
        <v>21</v>
      </c>
      <c r="G56">
        <f>MATCH(export_calendar!AN58,light_patterns!B:B,0)-1</f>
        <v>2</v>
      </c>
      <c r="H56">
        <f>MATCH(export_calendar!AM58,light_colors!B:B,0)-1</f>
        <v>31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5</v>
      </c>
      <c r="D57" t="str">
        <f>export_calendar!AP59</f>
        <v>Bevrijdingsdag</v>
      </c>
      <c r="E57" s="1">
        <f>export_calendar!AO59</f>
        <v>64</v>
      </c>
      <c r="F57">
        <f>MATCH(export_calendar!AL59,theme_boxes!C:C,0)-1</f>
        <v>24</v>
      </c>
      <c r="G57">
        <f>MATCH(export_calendar!AN59,light_patterns!B:B,0)-1</f>
        <v>3</v>
      </c>
      <c r="H57">
        <f>MATCH(export_calendar!AM59,light_colors!B:B,0)-1</f>
        <v>3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6</v>
      </c>
      <c r="D58" t="str">
        <f>export_calendar!AP60</f>
        <v>Hemelvaart</v>
      </c>
      <c r="E58" s="1">
        <f>export_calendar!AO60</f>
        <v>122</v>
      </c>
      <c r="F58">
        <f>MATCH(export_calendar!AL60,theme_boxes!C:C,0)-1</f>
        <v>11</v>
      </c>
      <c r="G58">
        <f>MATCH(export_calendar!AN60,light_patterns!B:B,0)-1</f>
        <v>2</v>
      </c>
      <c r="H58">
        <f>MATCH(export_calendar!AM60,light_colors!B:B,0)-1</f>
        <v>29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10</v>
      </c>
      <c r="D59" t="str">
        <f>export_calendar!AP61</f>
        <v>Hartelijk gefeliciteerd,  Gaia</v>
      </c>
      <c r="E59" s="1">
        <f>export_calendar!AO61</f>
        <v>73</v>
      </c>
      <c r="F59">
        <f>MATCH(export_calendar!AL61,theme_boxes!C:C,0)-1</f>
        <v>15</v>
      </c>
      <c r="G59">
        <f>MATCH(export_calendar!AN61,light_patterns!B:B,0)-1</f>
        <v>3</v>
      </c>
      <c r="H59">
        <f>MATCH(export_calendar!AM61,light_colors!B:B,0)-1</f>
        <v>14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16</v>
      </c>
      <c r="D60" t="str">
        <f>export_calendar!AP62</f>
        <v>Pinksteren,  - iets met vurige tongen?</v>
      </c>
      <c r="E60" s="1">
        <f>export_calendar!AO62</f>
        <v>137</v>
      </c>
      <c r="F60">
        <f>MATCH(export_calendar!AL62,theme_boxes!C:C,0)-1</f>
        <v>4</v>
      </c>
      <c r="G60">
        <f>MATCH(export_calendar!AN62,light_patterns!B:B,0)-1</f>
        <v>4</v>
      </c>
      <c r="H60">
        <f>MATCH(export_calendar!AM62,light_colors!B:B,0)-1</f>
        <v>8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17</v>
      </c>
      <c r="D61" t="str">
        <f>export_calendar!AP63</f>
        <v>Nog steeds Pinksteren,  - iets met vurige tongen?</v>
      </c>
      <c r="E61" s="1">
        <f>export_calendar!AO63</f>
        <v>173</v>
      </c>
      <c r="F61">
        <f>MATCH(export_calendar!AL63,theme_boxes!C:C,0)-1</f>
        <v>4</v>
      </c>
      <c r="G61">
        <f>MATCH(export_calendar!AN63,light_patterns!B:B,0)-1</f>
        <v>4</v>
      </c>
      <c r="H61">
        <f>MATCH(export_calendar!AM63,light_colors!B:B,0)-1</f>
        <v>8</v>
      </c>
    </row>
    <row r="62" spans="1:8" x14ac:dyDescent="0.25">
      <c r="A62" s="1">
        <f>export_calendar!AI64</f>
        <v>2027</v>
      </c>
      <c r="B62" s="1">
        <f>export_calendar!AJ64</f>
        <v>6</v>
      </c>
      <c r="C62" s="1">
        <f>export_calendar!AK64</f>
        <v>1</v>
      </c>
      <c r="D62" t="str">
        <f>export_calendar!AP64</f>
        <v>Eerste van de maand juni</v>
      </c>
      <c r="E62" s="1">
        <f>export_calendar!AO64</f>
        <v>157</v>
      </c>
      <c r="F62">
        <f>MATCH(export_calendar!AL64,theme_boxes!C:C,0)-1</f>
        <v>23</v>
      </c>
      <c r="G62">
        <f>MATCH(export_calendar!AN64,light_patterns!B:B,0)-1</f>
        <v>4</v>
      </c>
      <c r="H62">
        <f>MATCH(export_calendar!AM64,light_colors!B:B,0)-1</f>
        <v>7</v>
      </c>
    </row>
    <row r="63" spans="1:8" x14ac:dyDescent="0.25">
      <c r="A63" s="1">
        <f>export_calendar!AI65</f>
        <v>2027</v>
      </c>
      <c r="B63" s="1">
        <f>export_calendar!AJ65</f>
        <v>6</v>
      </c>
      <c r="C63" s="1">
        <f>export_calendar!AK65</f>
        <v>24</v>
      </c>
      <c r="D63" t="str">
        <f>export_calendar!AP65</f>
        <v>SintJan</v>
      </c>
      <c r="E63" s="1">
        <f>export_calendar!AO65</f>
        <v>61</v>
      </c>
      <c r="F63">
        <f>MATCH(export_calendar!AL65,theme_boxes!C:C,0)-1</f>
        <v>24</v>
      </c>
      <c r="G63">
        <f>MATCH(export_calendar!AN65,light_patterns!B:B,0)-1</f>
        <v>27</v>
      </c>
      <c r="H63">
        <f>MATCH(export_calendar!AM65,light_colors!B:B,0)-1</f>
        <v>5</v>
      </c>
    </row>
    <row r="64" spans="1:8" x14ac:dyDescent="0.25">
      <c r="A64" s="1">
        <f>export_calendar!AI66</f>
        <v>2027</v>
      </c>
      <c r="B64" s="1">
        <f>export_calendar!AJ66</f>
        <v>7</v>
      </c>
      <c r="C64" s="1">
        <f>export_calendar!AK66</f>
        <v>1</v>
      </c>
      <c r="D64" t="str">
        <f>export_calendar!AP66</f>
        <v>Eerste van de maand juli</v>
      </c>
      <c r="E64" s="1">
        <f>export_calendar!AO66</f>
        <v>171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8</v>
      </c>
      <c r="C65" s="1">
        <f>export_calendar!AK67</f>
        <v>1</v>
      </c>
      <c r="D65" t="str">
        <f>export_calendar!AP67</f>
        <v>Eerste van de maand augustus</v>
      </c>
      <c r="E65" s="1">
        <f>export_calendar!AO67</f>
        <v>231</v>
      </c>
      <c r="F65">
        <f>MATCH(export_calendar!AL67,theme_boxes!C:C,0)-1</f>
        <v>23</v>
      </c>
      <c r="G65">
        <f>MATCH(export_calendar!AN67,light_patterns!B:B,0)-1</f>
        <v>4</v>
      </c>
      <c r="H65">
        <f>MATCH(export_calendar!AM67,light_colors!B:B,0)-1</f>
        <v>7</v>
      </c>
    </row>
    <row r="66" spans="1:8" x14ac:dyDescent="0.25">
      <c r="A66" s="1">
        <f>export_calendar!AI68</f>
        <v>2027</v>
      </c>
      <c r="B66" s="1">
        <f>export_calendar!AJ68</f>
        <v>9</v>
      </c>
      <c r="C66" s="1">
        <f>export_calendar!AK68</f>
        <v>1</v>
      </c>
      <c r="D66" t="str">
        <f>export_calendar!AP68</f>
        <v>Eerste van de maand september</v>
      </c>
      <c r="E66" s="1">
        <f>export_calendar!AO68</f>
        <v>282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10</v>
      </c>
      <c r="C67" s="1">
        <f>export_calendar!AK69</f>
        <v>1</v>
      </c>
      <c r="D67" t="str">
        <f>export_calendar!AP69</f>
        <v>Eerste van de maand oktober</v>
      </c>
      <c r="E67" s="1">
        <f>export_calendar!AO69</f>
        <v>277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10</v>
      </c>
      <c r="C68" s="1">
        <f>export_calendar!AK70</f>
        <v>8</v>
      </c>
      <c r="D68" t="str">
        <f>export_calendar!AP70</f>
        <v>Hartelijk gefeliciteerd,  Jan</v>
      </c>
      <c r="E68" s="1">
        <f>export_calendar!AO70</f>
        <v>105</v>
      </c>
      <c r="F68">
        <f>MATCH(export_calendar!AL70,theme_boxes!C:C,0)-1</f>
        <v>15</v>
      </c>
      <c r="G68">
        <f>MATCH(export_calendar!AN70,light_patterns!B:B,0)-1</f>
        <v>3</v>
      </c>
      <c r="H68">
        <f>MATCH(export_calendar!AM70,light_colors!B:B,0)-1</f>
        <v>14</v>
      </c>
    </row>
    <row r="69" spans="1:8" x14ac:dyDescent="0.25">
      <c r="A69" s="1">
        <f>export_calendar!AI71</f>
        <v>2027</v>
      </c>
      <c r="B69" s="1">
        <f>export_calendar!AJ71</f>
        <v>11</v>
      </c>
      <c r="C69" s="1">
        <f>export_calendar!AK71</f>
        <v>1</v>
      </c>
      <c r="D69" t="str">
        <f>export_calendar!AP71</f>
        <v>Eerste van de maand november</v>
      </c>
      <c r="E69" s="1">
        <f>export_calendar!AO71</f>
        <v>221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12</v>
      </c>
      <c r="C70" s="1">
        <f>export_calendar!AK72</f>
        <v>1</v>
      </c>
      <c r="D70" t="str">
        <f>export_calendar!AP72</f>
        <v>Eerste van de maand december</v>
      </c>
      <c r="E70" s="1">
        <f>export_calendar!AO72</f>
        <v>165</v>
      </c>
      <c r="F70">
        <f>MATCH(export_calendar!AL72,theme_boxes!C:C,0)-1</f>
        <v>23</v>
      </c>
      <c r="G70">
        <f>MATCH(export_calendar!AN72,light_patterns!B:B,0)-1</f>
        <v>4</v>
      </c>
      <c r="H70">
        <f>MATCH(export_calendar!AM72,light_colors!B:B,0)-1</f>
        <v>7</v>
      </c>
    </row>
    <row r="71" spans="1:8" x14ac:dyDescent="0.25">
      <c r="A71" s="1">
        <f>export_calendar!AI73</f>
        <v>2027</v>
      </c>
      <c r="B71" s="1">
        <f>export_calendar!AJ73</f>
        <v>12</v>
      </c>
      <c r="C71" s="1">
        <f>export_calendar!AK73</f>
        <v>5</v>
      </c>
      <c r="D71" t="str">
        <f>export_calendar!AP73</f>
        <v>Sinterklaas</v>
      </c>
      <c r="E71" s="1">
        <f>export_calendar!AO73</f>
        <v>113</v>
      </c>
      <c r="F71">
        <f>MATCH(export_calendar!AL73,theme_boxes!C:C,0)-1</f>
        <v>12</v>
      </c>
      <c r="G71">
        <f>MATCH(export_calendar!AN73,light_patterns!B:B,0)-1</f>
        <v>6</v>
      </c>
      <c r="H71">
        <f>MATCH(export_calendar!AM73,light_colors!B:B,0)-1</f>
        <v>28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13</v>
      </c>
      <c r="D72" t="str">
        <f>export_calendar!AP74</f>
        <v>Hartelijk gefeliciteerd,  lieve Marit</v>
      </c>
      <c r="E72" s="1">
        <f>export_calendar!AO74</f>
        <v>114</v>
      </c>
      <c r="F72">
        <f>MATCH(export_calendar!AL74,theme_boxes!C:C,0)-1</f>
        <v>15</v>
      </c>
      <c r="G72">
        <f>MATCH(export_calendar!AN74,light_patterns!B:B,0)-1</f>
        <v>3</v>
      </c>
      <c r="H72">
        <f>MATCH(export_calendar!AM74,light_colors!B:B,0)-1</f>
        <v>14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25</v>
      </c>
      <c r="D73" t="str">
        <f>export_calendar!AP75</f>
        <v>Vrolijk Kerstfeest</v>
      </c>
      <c r="E73" s="1">
        <f>export_calendar!AO75</f>
        <v>95</v>
      </c>
      <c r="F73">
        <f>MATCH(export_calendar!AL75,theme_boxes!C:C,0)-1</f>
        <v>8</v>
      </c>
      <c r="G73">
        <f>MATCH(export_calendar!AN75,light_patterns!B:B,0)-1</f>
        <v>26</v>
      </c>
      <c r="H73">
        <f>MATCH(export_calendar!AM75,light_colors!B:B,0)-1</f>
        <v>30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26</v>
      </c>
      <c r="D74" t="str">
        <f>export_calendar!AP76</f>
        <v>Tweede Kerstdag</v>
      </c>
      <c r="E74" s="1">
        <f>export_calendar!AO76</f>
        <v>108</v>
      </c>
      <c r="F74">
        <f>MATCH(export_calendar!AL76,theme_boxes!C:C,0)-1</f>
        <v>8</v>
      </c>
      <c r="G74">
        <f>MATCH(export_calendar!AN76,light_patterns!B:B,0)-1</f>
        <v>5</v>
      </c>
      <c r="H74">
        <f>MATCH(export_calendar!AM76,light_colors!B:B,0)-1</f>
        <v>20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28</v>
      </c>
      <c r="D75" t="str">
        <f>export_calendar!AP77</f>
        <v>Onnozele Kinderen</v>
      </c>
      <c r="E75" s="1">
        <f>export_calendar!AO77</f>
        <v>77</v>
      </c>
      <c r="F75">
        <f>MATCH(export_calendar!AL77,theme_boxes!C:C,0)-1</f>
        <v>10</v>
      </c>
      <c r="G75">
        <f>MATCH(export_calendar!AN77,light_patterns!B:B,0)-1</f>
        <v>26</v>
      </c>
      <c r="H75">
        <f>MATCH(export_calendar!AM77,light_colors!B:B,0)-1</f>
        <v>35</v>
      </c>
    </row>
    <row r="76" spans="1:8" x14ac:dyDescent="0.25">
      <c r="A76" s="1">
        <f>export_calendar!AI78</f>
        <v>2028</v>
      </c>
      <c r="B76" s="1">
        <f>export_calendar!AJ78</f>
        <v>1</v>
      </c>
      <c r="C76" s="1">
        <f>export_calendar!AK78</f>
        <v>1</v>
      </c>
      <c r="D76" t="str">
        <f>export_calendar!AP78</f>
        <v>Gelukkig Nieuwjaar</v>
      </c>
      <c r="E76" s="1">
        <f>export_calendar!AO78</f>
        <v>77</v>
      </c>
      <c r="F76">
        <f>MATCH(export_calendar!AL78,theme_boxes!C:C,0)-1</f>
        <v>24</v>
      </c>
      <c r="G76">
        <f>MATCH(export_calendar!AN78,light_patterns!B:B,0)-1</f>
        <v>2</v>
      </c>
      <c r="H76">
        <f>MATCH(export_calendar!AM78,light_colors!B:B,0)-1</f>
        <v>40</v>
      </c>
    </row>
    <row r="77" spans="1:8" x14ac:dyDescent="0.25">
      <c r="A77" s="1">
        <f>export_calendar!AI79</f>
        <v>2028</v>
      </c>
      <c r="B77" s="1">
        <f>export_calendar!AJ79</f>
        <v>2</v>
      </c>
      <c r="C77" s="1">
        <f>export_calendar!AK79</f>
        <v>1</v>
      </c>
      <c r="D77" t="str">
        <f>export_calendar!AP79</f>
        <v>Eerste van de maand februari</v>
      </c>
      <c r="E77" s="1">
        <f>export_calendar!AO79</f>
        <v>249</v>
      </c>
      <c r="F77">
        <f>MATCH(export_calendar!AL79,theme_boxes!C:C,0)-1</f>
        <v>23</v>
      </c>
      <c r="G77">
        <f>MATCH(export_calendar!AN79,light_patterns!B:B,0)-1</f>
        <v>4</v>
      </c>
      <c r="H77">
        <f>MATCH(export_calendar!AM79,light_colors!B:B,0)-1</f>
        <v>7</v>
      </c>
    </row>
    <row r="78" spans="1:8" x14ac:dyDescent="0.25">
      <c r="A78" s="1">
        <f>export_calendar!AI80</f>
        <v>2028</v>
      </c>
      <c r="B78" s="1">
        <f>export_calendar!AJ80</f>
        <v>2</v>
      </c>
      <c r="C78" s="1">
        <f>export_calendar!AK80</f>
        <v>14</v>
      </c>
      <c r="D78" t="str">
        <f>export_calendar!AP80</f>
        <v>Valentijns en verlovingsdag</v>
      </c>
      <c r="E78" s="1">
        <f>export_calendar!AO80</f>
        <v>70</v>
      </c>
      <c r="F78">
        <f>MATCH(export_calendar!AL80,theme_boxes!C:C,0)-1</f>
        <v>24</v>
      </c>
      <c r="G78">
        <f>MATCH(export_calendar!AN80,light_patterns!B:B,0)-1</f>
        <v>6</v>
      </c>
      <c r="H78">
        <f>MATCH(export_calendar!AM80,light_colors!B:B,0)-1</f>
        <v>42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26</v>
      </c>
      <c r="D79" t="str">
        <f>export_calendar!AP81</f>
        <v>Suikerfeest</v>
      </c>
      <c r="E79" s="1">
        <f>export_calendar!AO81</f>
        <v>240</v>
      </c>
      <c r="F79">
        <f>MATCH(export_calendar!AL81,theme_boxes!C:C,0)-1</f>
        <v>10</v>
      </c>
      <c r="G79">
        <f>MATCH(export_calendar!AN81,light_patterns!B:B,0)-1</f>
        <v>7</v>
      </c>
      <c r="H79">
        <f>MATCH(export_calendar!AM81,light_colors!B:B,0)-1</f>
        <v>1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27</v>
      </c>
      <c r="D80" t="str">
        <f>export_calendar!AP82</f>
        <v>Carnaval, En deh hittie naw gedonn umdettie Hellemonder is</v>
      </c>
      <c r="E80" s="1">
        <f>export_calendar!AO82</f>
        <v>98</v>
      </c>
      <c r="F80">
        <f>MATCH(export_calendar!AL82,theme_boxes!C:C,0)-1</f>
        <v>24</v>
      </c>
      <c r="G80">
        <f>MATCH(export_calendar!AN82,light_patterns!B:B,0)-1</f>
        <v>3</v>
      </c>
      <c r="H80">
        <f>MATCH(export_calendar!AM82,light_colors!B:B,0)-1</f>
        <v>7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27</v>
      </c>
      <c r="D81" t="str">
        <f>export_calendar!AP83</f>
        <v>Carnaval, Keiebijters!!</v>
      </c>
      <c r="E81" s="1">
        <f>export_calendar!AO83</f>
        <v>82</v>
      </c>
      <c r="F81">
        <f>MATCH(export_calendar!AL83,theme_boxes!C:C,0)-1</f>
        <v>24</v>
      </c>
      <c r="G81">
        <f>MATCH(export_calendar!AN83,light_patterns!B:B,0)-1</f>
        <v>3</v>
      </c>
      <c r="H81">
        <f>MATCH(export_calendar!AM83,light_colors!B:B,0)-1</f>
        <v>7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28</v>
      </c>
      <c r="D82" t="str">
        <f>export_calendar!AP84</f>
        <v>RosenMoontach, Alaaf!!</v>
      </c>
      <c r="E82" s="1">
        <f>export_calendar!AO84</f>
        <v>99</v>
      </c>
      <c r="F82">
        <f>MATCH(export_calendar!AL84,theme_boxes!C:C,0)-1</f>
        <v>24</v>
      </c>
      <c r="G82">
        <f>MATCH(export_calendar!AN84,light_patterns!B:B,0)-1</f>
        <v>3</v>
      </c>
      <c r="H82">
        <f>MATCH(export_calendar!AM84,light_colors!B:B,0)-1</f>
        <v>7</v>
      </c>
    </row>
    <row r="83" spans="1:8" x14ac:dyDescent="0.25">
      <c r="A83" s="1">
        <f>export_calendar!AI85</f>
        <v>2028</v>
      </c>
      <c r="B83" s="1">
        <f>export_calendar!AJ85</f>
        <v>3</v>
      </c>
      <c r="C83" s="1">
        <f>export_calendar!AK85</f>
        <v>1</v>
      </c>
      <c r="D83" t="str">
        <f>export_calendar!AP85</f>
        <v>Eerste van de maand maart</v>
      </c>
      <c r="E83" s="1">
        <f>export_calendar!AO85</f>
        <v>287</v>
      </c>
      <c r="F83">
        <f>MATCH(export_calendar!AL85,theme_boxes!C:C,0)-1</f>
        <v>23</v>
      </c>
      <c r="G83">
        <f>MATCH(export_calendar!AN85,light_patterns!B:B,0)-1</f>
        <v>4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3</v>
      </c>
      <c r="C84" s="1">
        <f>export_calendar!AK86</f>
        <v>1</v>
      </c>
      <c r="D84" t="str">
        <f>export_calendar!AP86</f>
        <v>Aswoensdag ,  - en nu begint de katholieke ramadan</v>
      </c>
      <c r="E84" s="1">
        <f>export_calendar!AO86</f>
        <v>187</v>
      </c>
      <c r="F84">
        <f>MATCH(export_calendar!AL86,theme_boxes!C:C,0)-1</f>
        <v>21</v>
      </c>
      <c r="G84">
        <f>MATCH(export_calendar!AN86,light_patterns!B:B,0)-1</f>
        <v>5</v>
      </c>
      <c r="H84">
        <f>MATCH(export_calendar!AM86,light_colors!B:B,0)-1</f>
        <v>21</v>
      </c>
    </row>
    <row r="85" spans="1:8" x14ac:dyDescent="0.25">
      <c r="A85" s="1">
        <f>export_calendar!AI87</f>
        <v>2028</v>
      </c>
      <c r="B85" s="1">
        <f>export_calendar!AJ87</f>
        <v>3</v>
      </c>
      <c r="C85" s="1">
        <f>export_calendar!AK87</f>
        <v>14</v>
      </c>
      <c r="D85" t="str">
        <f>export_calendar!AP87</f>
        <v>piedag - drie komma een vier enzovoortsen nog meer decimalen</v>
      </c>
      <c r="E85" s="1">
        <f>export_calendar!AO87</f>
        <v>95</v>
      </c>
      <c r="F85">
        <f>MATCH(export_calendar!AL87,theme_boxes!C:C,0)-1</f>
        <v>9</v>
      </c>
      <c r="G85">
        <f>MATCH(export_calendar!AN87,light_patterns!B:B,0)-1</f>
        <v>28</v>
      </c>
      <c r="H85">
        <f>MATCH(export_calendar!AM87,light_colors!B:B,0)-1</f>
        <v>6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21</v>
      </c>
      <c r="D86" t="str">
        <f>export_calendar!AP88</f>
        <v>Hartelijk gefeliciteerd,  Thomas</v>
      </c>
      <c r="E86" s="1">
        <f>export_calendar!AO88</f>
        <v>73</v>
      </c>
      <c r="F86">
        <f>MATCH(export_calendar!AL88,theme_boxes!C:C,0)-1</f>
        <v>15</v>
      </c>
      <c r="G86">
        <f>MATCH(export_calendar!AN88,light_patterns!B:B,0)-1</f>
        <v>3</v>
      </c>
      <c r="H86">
        <f>MATCH(export_calendar!AM88,light_colors!B:B,0)-1</f>
        <v>14</v>
      </c>
    </row>
    <row r="87" spans="1:8" x14ac:dyDescent="0.25">
      <c r="A87" s="1">
        <f>export_calendar!AI89</f>
        <v>2028</v>
      </c>
      <c r="B87" s="1">
        <f>export_calendar!AJ89</f>
        <v>4</v>
      </c>
      <c r="C87" s="1">
        <f>export_calendar!AK89</f>
        <v>1</v>
      </c>
      <c r="D87" t="str">
        <f>export_calendar!AP89</f>
        <v>Eerste van de maand april, een april, kikker in je bil!</v>
      </c>
      <c r="E87" s="1">
        <f>export_calendar!AO89</f>
        <v>265</v>
      </c>
      <c r="F87">
        <f>MATCH(export_calendar!AL89,theme_boxes!C:C,0)-1</f>
        <v>23</v>
      </c>
      <c r="G87">
        <f>MATCH(export_calendar!AN89,light_patterns!B:B,0)-1</f>
        <v>4</v>
      </c>
      <c r="H87">
        <f>MATCH(export_calendar!AM89,light_colors!B:B,0)-1</f>
        <v>7</v>
      </c>
    </row>
    <row r="88" spans="1:8" x14ac:dyDescent="0.25">
      <c r="A88" s="1">
        <f>export_calendar!AI90</f>
        <v>2028</v>
      </c>
      <c r="B88" s="1">
        <f>export_calendar!AJ90</f>
        <v>4</v>
      </c>
      <c r="C88" s="1">
        <f>export_calendar!AK90</f>
        <v>14</v>
      </c>
      <c r="D88" t="str">
        <f>export_calendar!AP90</f>
        <v>Goede Vrijdag</v>
      </c>
      <c r="E88" s="1">
        <f>export_calendar!AO90</f>
        <v>187</v>
      </c>
      <c r="F88">
        <f>MATCH(export_calendar!AL90,theme_boxes!C:C,0)-1</f>
        <v>13</v>
      </c>
      <c r="G88">
        <f>MATCH(export_calendar!AN90,light_patterns!B:B,0)-1</f>
        <v>2</v>
      </c>
      <c r="H88">
        <f>MATCH(export_calendar!AM90,light_colors!B:B,0)-1</f>
        <v>13</v>
      </c>
    </row>
    <row r="89" spans="1:8" x14ac:dyDescent="0.25">
      <c r="A89" s="1">
        <f>export_calendar!AI91</f>
        <v>2028</v>
      </c>
      <c r="B89" s="1">
        <f>export_calendar!AJ91</f>
        <v>4</v>
      </c>
      <c r="C89" s="1">
        <f>export_calendar!AK91</f>
        <v>16</v>
      </c>
      <c r="D89" t="str">
        <f>export_calendar!AP91</f>
        <v>Vrolijk Pasen</v>
      </c>
      <c r="E89" s="1">
        <f>export_calendar!AO91</f>
        <v>86</v>
      </c>
      <c r="F89">
        <f>MATCH(export_calendar!AL91,theme_boxes!C:C,0)-1</f>
        <v>17</v>
      </c>
      <c r="G89">
        <f>MATCH(export_calendar!AN91,light_patterns!B:B,0)-1</f>
        <v>9</v>
      </c>
      <c r="H89">
        <f>MATCH(export_calendar!AM91,light_colors!B:B,0)-1</f>
        <v>5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17</v>
      </c>
      <c r="D90" t="str">
        <f>export_calendar!AP92</f>
        <v>Tweede Paasdag</v>
      </c>
      <c r="E90" s="1">
        <f>export_calendar!AO92</f>
        <v>331</v>
      </c>
      <c r="F90">
        <f>MATCH(export_calendar!AL92,theme_boxes!C:C,0)-1</f>
        <v>17</v>
      </c>
      <c r="G90">
        <f>MATCH(export_calendar!AN92,light_patterns!B:B,0)-1</f>
        <v>13</v>
      </c>
      <c r="H90">
        <f>MATCH(export_calendar!AM92,light_colors!B:B,0)-1</f>
        <v>19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30</v>
      </c>
      <c r="D91" t="str">
        <f>export_calendar!AP93</f>
        <v>Hartelijk gefeliciteerd,  Paul</v>
      </c>
      <c r="E91" s="1">
        <f>export_calendar!AO93</f>
        <v>98</v>
      </c>
      <c r="F91">
        <f>MATCH(export_calendar!AL93,theme_boxes!C:C,0)-1</f>
        <v>15</v>
      </c>
      <c r="G91">
        <f>MATCH(export_calendar!AN93,light_patterns!B:B,0)-1</f>
        <v>3</v>
      </c>
      <c r="H91">
        <f>MATCH(export_calendar!AM93,light_colors!B:B,0)-1</f>
        <v>14</v>
      </c>
    </row>
    <row r="92" spans="1:8" x14ac:dyDescent="0.25">
      <c r="A92" s="1">
        <f>export_calendar!AI94</f>
        <v>2028</v>
      </c>
      <c r="B92" s="1">
        <f>export_calendar!AJ94</f>
        <v>5</v>
      </c>
      <c r="C92" s="1">
        <f>export_calendar!AK94</f>
        <v>1</v>
      </c>
      <c r="D92" t="str">
        <f>export_calendar!AP94</f>
        <v>Eerste van de maand mei- leggen alle vogeltjes een ei</v>
      </c>
      <c r="E92" s="1">
        <f>export_calendar!AO94</f>
        <v>202</v>
      </c>
      <c r="F92">
        <f>MATCH(export_calendar!AL94,theme_boxes!C:C,0)-1</f>
        <v>23</v>
      </c>
      <c r="G92">
        <f>MATCH(export_calendar!AN94,light_patterns!B:B,0)-1</f>
        <v>4</v>
      </c>
      <c r="H92">
        <f>MATCH(export_calendar!AM94,light_colors!B:B,0)-1</f>
        <v>7</v>
      </c>
    </row>
    <row r="93" spans="1:8" x14ac:dyDescent="0.25">
      <c r="A93" s="1">
        <f>export_calendar!AI95</f>
        <v>2028</v>
      </c>
      <c r="B93" s="1">
        <f>export_calendar!AJ95</f>
        <v>5</v>
      </c>
      <c r="C93" s="1">
        <f>export_calendar!AK95</f>
        <v>4</v>
      </c>
      <c r="D93" t="str">
        <f>export_calendar!AP95</f>
        <v>Dodenherdenking</v>
      </c>
      <c r="E93" s="1">
        <f>export_calendar!AO95</f>
        <v>102</v>
      </c>
      <c r="F93">
        <f>MATCH(export_calendar!AL95,theme_boxes!C:C,0)-1</f>
        <v>21</v>
      </c>
      <c r="G93">
        <f>MATCH(export_calendar!AN95,light_patterns!B:B,0)-1</f>
        <v>2</v>
      </c>
      <c r="H93">
        <f>MATCH(export_calendar!AM95,light_colors!B:B,0)-1</f>
        <v>31</v>
      </c>
    </row>
    <row r="94" spans="1:8" x14ac:dyDescent="0.25">
      <c r="A94" s="1">
        <f>export_calendar!AI96</f>
        <v>2028</v>
      </c>
      <c r="B94" s="1">
        <f>export_calendar!AJ96</f>
        <v>5</v>
      </c>
      <c r="C94" s="1">
        <f>export_calendar!AK96</f>
        <v>5</v>
      </c>
      <c r="D94" t="str">
        <f>export_calendar!AP96</f>
        <v>Bevrijdingsdag</v>
      </c>
      <c r="E94" s="1">
        <f>export_calendar!AO96</f>
        <v>64</v>
      </c>
      <c r="F94">
        <f>MATCH(export_calendar!AL96,theme_boxes!C:C,0)-1</f>
        <v>24</v>
      </c>
      <c r="G94">
        <f>MATCH(export_calendar!AN96,light_patterns!B:B,0)-1</f>
        <v>3</v>
      </c>
      <c r="H94">
        <f>MATCH(export_calendar!AM96,light_colors!B:B,0)-1</f>
        <v>3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10</v>
      </c>
      <c r="D95" t="str">
        <f>export_calendar!AP97</f>
        <v>Hartelijk gefeliciteerd,  Gaia</v>
      </c>
      <c r="E95" s="1">
        <f>export_calendar!AO97</f>
        <v>73</v>
      </c>
      <c r="F95">
        <f>MATCH(export_calendar!AL97,theme_boxes!C:C,0)-1</f>
        <v>15</v>
      </c>
      <c r="G95">
        <f>MATCH(export_calendar!AN97,light_patterns!B:B,0)-1</f>
        <v>3</v>
      </c>
      <c r="H95">
        <f>MATCH(export_calendar!AM97,light_colors!B:B,0)-1</f>
        <v>14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25</v>
      </c>
      <c r="D96" t="str">
        <f>export_calendar!AP98</f>
        <v>Hemelvaart</v>
      </c>
      <c r="E96" s="1">
        <f>export_calendar!AO98</f>
        <v>101</v>
      </c>
      <c r="F96">
        <f>MATCH(export_calendar!AL98,theme_boxes!C:C,0)-1</f>
        <v>11</v>
      </c>
      <c r="G96">
        <f>MATCH(export_calendar!AN98,light_patterns!B:B,0)-1</f>
        <v>2</v>
      </c>
      <c r="H96">
        <f>MATCH(export_calendar!AM98,light_colors!B:B,0)-1</f>
        <v>29</v>
      </c>
    </row>
    <row r="97" spans="1:8" x14ac:dyDescent="0.25">
      <c r="A97" s="1">
        <f>export_calendar!AI99</f>
        <v>2028</v>
      </c>
      <c r="B97" s="1">
        <f>export_calendar!AJ99</f>
        <v>6</v>
      </c>
      <c r="C97" s="1">
        <f>export_calendar!AK99</f>
        <v>1</v>
      </c>
      <c r="D97" t="str">
        <f>export_calendar!AP99</f>
        <v>Eerste van de maand juni</v>
      </c>
      <c r="E97" s="1">
        <f>export_calendar!AO99</f>
        <v>157</v>
      </c>
      <c r="F97">
        <f>MATCH(export_calendar!AL99,theme_boxes!C:C,0)-1</f>
        <v>23</v>
      </c>
      <c r="G97">
        <f>MATCH(export_calendar!AN99,light_patterns!B:B,0)-1</f>
        <v>4</v>
      </c>
      <c r="H97">
        <f>MATCH(export_calendar!AM99,light_colors!B:B,0)-1</f>
        <v>7</v>
      </c>
    </row>
    <row r="98" spans="1:8" x14ac:dyDescent="0.25">
      <c r="A98" s="1">
        <f>export_calendar!AI100</f>
        <v>2028</v>
      </c>
      <c r="B98" s="1">
        <f>export_calendar!AJ100</f>
        <v>6</v>
      </c>
      <c r="C98" s="1">
        <f>export_calendar!AK100</f>
        <v>4</v>
      </c>
      <c r="D98" t="str">
        <f>export_calendar!AP100</f>
        <v>Pinksteren,  - de Heilige Geest zien vliegen???</v>
      </c>
      <c r="E98" s="1">
        <f>export_calendar!AO100</f>
        <v>117</v>
      </c>
      <c r="F98">
        <f>MATCH(export_calendar!AL100,theme_boxes!C:C,0)-1</f>
        <v>4</v>
      </c>
      <c r="G98">
        <f>MATCH(export_calendar!AN100,light_patterns!B:B,0)-1</f>
        <v>4</v>
      </c>
      <c r="H98">
        <f>MATCH(export_calendar!AM100,light_colors!B:B,0)-1</f>
        <v>8</v>
      </c>
    </row>
    <row r="99" spans="1:8" x14ac:dyDescent="0.25">
      <c r="A99" s="1">
        <f>export_calendar!AI101</f>
        <v>2028</v>
      </c>
      <c r="B99" s="1">
        <f>export_calendar!AJ101</f>
        <v>6</v>
      </c>
      <c r="C99" s="1">
        <f>export_calendar!AK101</f>
        <v>5</v>
      </c>
      <c r="D99" t="str">
        <f>export_calendar!AP101</f>
        <v>Nog steeds Pinksteren,  - de Heilige Geest zien vliegen???</v>
      </c>
      <c r="E99" s="1">
        <f>export_calendar!AO101</f>
        <v>206</v>
      </c>
      <c r="F99">
        <f>MATCH(export_calendar!AL101,theme_boxes!C:C,0)-1</f>
        <v>4</v>
      </c>
      <c r="G99">
        <f>MATCH(export_calendar!AN101,light_patterns!B:B,0)-1</f>
        <v>4</v>
      </c>
      <c r="H99">
        <f>MATCH(export_calendar!AM101,light_colors!B:B,0)-1</f>
        <v>8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24</v>
      </c>
      <c r="D100" t="str">
        <f>export_calendar!AP102</f>
        <v>SintJan</v>
      </c>
      <c r="E100" s="1">
        <f>export_calendar!AO102</f>
        <v>61</v>
      </c>
      <c r="F100">
        <f>MATCH(export_calendar!AL102,theme_boxes!C:C,0)-1</f>
        <v>24</v>
      </c>
      <c r="G100">
        <f>MATCH(export_calendar!AN102,light_patterns!B:B,0)-1</f>
        <v>27</v>
      </c>
      <c r="H100">
        <f>MATCH(export_calendar!AM102,light_colors!B:B,0)-1</f>
        <v>5</v>
      </c>
    </row>
    <row r="101" spans="1:8" x14ac:dyDescent="0.25">
      <c r="A101" s="1">
        <f>export_calendar!AI103</f>
        <v>2028</v>
      </c>
      <c r="B101" s="1">
        <f>export_calendar!AJ103</f>
        <v>7</v>
      </c>
      <c r="C101" s="1">
        <f>export_calendar!AK103</f>
        <v>1</v>
      </c>
      <c r="D101" t="str">
        <f>export_calendar!AP103</f>
        <v>Eerste van de maand juli</v>
      </c>
      <c r="E101" s="1">
        <f>export_calendar!AO103</f>
        <v>171</v>
      </c>
      <c r="F101">
        <f>MATCH(export_calendar!AL103,theme_boxes!C:C,0)-1</f>
        <v>23</v>
      </c>
      <c r="G101">
        <f>MATCH(export_calendar!AN103,light_patterns!B:B,0)-1</f>
        <v>4</v>
      </c>
      <c r="H101">
        <f>MATCH(export_calendar!AM103,light_colors!B:B,0)-1</f>
        <v>7</v>
      </c>
    </row>
    <row r="102" spans="1:8" x14ac:dyDescent="0.25">
      <c r="A102" s="1">
        <f>export_calendar!AI104</f>
        <v>2028</v>
      </c>
      <c r="B102" s="1">
        <f>export_calendar!AJ104</f>
        <v>8</v>
      </c>
      <c r="C102" s="1">
        <f>export_calendar!AK104</f>
        <v>1</v>
      </c>
      <c r="D102" t="str">
        <f>export_calendar!AP104</f>
        <v>Eerste van de maand augustus</v>
      </c>
      <c r="E102" s="1">
        <f>export_calendar!AO104</f>
        <v>231</v>
      </c>
      <c r="F102">
        <f>MATCH(export_calendar!AL104,theme_boxes!C:C,0)-1</f>
        <v>23</v>
      </c>
      <c r="G102">
        <f>MATCH(export_calendar!AN104,light_patterns!B:B,0)-1</f>
        <v>4</v>
      </c>
      <c r="H102">
        <f>MATCH(export_calendar!AM104,light_colors!B:B,0)-1</f>
        <v>7</v>
      </c>
    </row>
    <row r="103" spans="1:8" x14ac:dyDescent="0.25">
      <c r="A103" s="1">
        <f>export_calendar!AI105</f>
        <v>2028</v>
      </c>
      <c r="B103" s="1">
        <f>export_calendar!AJ105</f>
        <v>9</v>
      </c>
      <c r="C103" s="1">
        <f>export_calendar!AK105</f>
        <v>1</v>
      </c>
      <c r="D103" t="str">
        <f>export_calendar!AP105</f>
        <v>Eerste van de maand september</v>
      </c>
      <c r="E103" s="1">
        <f>export_calendar!AO105</f>
        <v>282</v>
      </c>
      <c r="F103">
        <f>MATCH(export_calendar!AL105,theme_boxes!C:C,0)-1</f>
        <v>23</v>
      </c>
      <c r="G103">
        <f>MATCH(export_calendar!AN105,light_patterns!B:B,0)-1</f>
        <v>4</v>
      </c>
      <c r="H103">
        <f>MATCH(export_calendar!AM105,light_colors!B:B,0)-1</f>
        <v>7</v>
      </c>
    </row>
    <row r="104" spans="1:8" x14ac:dyDescent="0.25">
      <c r="A104" s="1">
        <f>export_calendar!AI106</f>
        <v>2028</v>
      </c>
      <c r="B104" s="1">
        <f>export_calendar!AJ106</f>
        <v>10</v>
      </c>
      <c r="C104" s="1">
        <f>export_calendar!AK106</f>
        <v>1</v>
      </c>
      <c r="D104" t="str">
        <f>export_calendar!AP106</f>
        <v>Eerste van de maand oktober</v>
      </c>
      <c r="E104" s="1">
        <f>export_calendar!AO106</f>
        <v>277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10</v>
      </c>
      <c r="C105" s="1">
        <f>export_calendar!AK107</f>
        <v>8</v>
      </c>
      <c r="D105" t="str">
        <f>export_calendar!AP107</f>
        <v>Hartelijk gefeliciteerd,  Jan</v>
      </c>
      <c r="E105" s="1">
        <f>export_calendar!AO107</f>
        <v>105</v>
      </c>
      <c r="F105">
        <f>MATCH(export_calendar!AL107,theme_boxes!C:C,0)-1</f>
        <v>15</v>
      </c>
      <c r="G105">
        <f>MATCH(export_calendar!AN107,light_patterns!B:B,0)-1</f>
        <v>3</v>
      </c>
      <c r="H105">
        <f>MATCH(export_calendar!AM107,light_colors!B:B,0)-1</f>
        <v>14</v>
      </c>
    </row>
    <row r="106" spans="1:8" x14ac:dyDescent="0.25">
      <c r="A106" s="1">
        <f>export_calendar!AI108</f>
        <v>2028</v>
      </c>
      <c r="B106" s="1">
        <f>export_calendar!AJ108</f>
        <v>11</v>
      </c>
      <c r="C106" s="1">
        <f>export_calendar!AK108</f>
        <v>1</v>
      </c>
      <c r="D106" t="str">
        <f>export_calendar!AP108</f>
        <v>Eerste van de maand november</v>
      </c>
      <c r="E106" s="1">
        <f>export_calendar!AO108</f>
        <v>221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12</v>
      </c>
      <c r="C107" s="1">
        <f>export_calendar!AK109</f>
        <v>1</v>
      </c>
      <c r="D107" t="str">
        <f>export_calendar!AP109</f>
        <v>Eerste van de maand december</v>
      </c>
      <c r="E107" s="1">
        <f>export_calendar!AO109</f>
        <v>165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12</v>
      </c>
      <c r="C108" s="1">
        <f>export_calendar!AK110</f>
        <v>5</v>
      </c>
      <c r="D108" t="str">
        <f>export_calendar!AP110</f>
        <v>Sinterklaas</v>
      </c>
      <c r="E108" s="1">
        <f>export_calendar!AO110</f>
        <v>113</v>
      </c>
      <c r="F108">
        <f>MATCH(export_calendar!AL110,theme_boxes!C:C,0)-1</f>
        <v>12</v>
      </c>
      <c r="G108">
        <f>MATCH(export_calendar!AN110,light_patterns!B:B,0)-1</f>
        <v>6</v>
      </c>
      <c r="H108">
        <f>MATCH(export_calendar!AM110,light_colors!B:B,0)-1</f>
        <v>28</v>
      </c>
    </row>
    <row r="109" spans="1:8" x14ac:dyDescent="0.25">
      <c r="A109" s="1">
        <f>export_calendar!AI111</f>
        <v>2028</v>
      </c>
      <c r="B109" s="1">
        <f>export_calendar!AJ111</f>
        <v>12</v>
      </c>
      <c r="C109" s="1">
        <f>export_calendar!AK111</f>
        <v>13</v>
      </c>
      <c r="D109" t="str">
        <f>export_calendar!AP111</f>
        <v>Hartelijk gefeliciteerd,  lieve Marit</v>
      </c>
      <c r="E109" s="1">
        <f>export_calendar!AO111</f>
        <v>114</v>
      </c>
      <c r="F109">
        <f>MATCH(export_calendar!AL111,theme_boxes!C:C,0)-1</f>
        <v>15</v>
      </c>
      <c r="G109">
        <f>MATCH(export_calendar!AN111,light_patterns!B:B,0)-1</f>
        <v>3</v>
      </c>
      <c r="H109">
        <f>MATCH(export_calendar!AM111,light_colors!B:B,0)-1</f>
        <v>14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25</v>
      </c>
      <c r="D110" t="str">
        <f>export_calendar!AP112</f>
        <v>Vrolijk Kerstfeest</v>
      </c>
      <c r="E110" s="1">
        <f>export_calendar!AO112</f>
        <v>95</v>
      </c>
      <c r="F110">
        <f>MATCH(export_calendar!AL112,theme_boxes!C:C,0)-1</f>
        <v>8</v>
      </c>
      <c r="G110">
        <f>MATCH(export_calendar!AN112,light_patterns!B:B,0)-1</f>
        <v>26</v>
      </c>
      <c r="H110">
        <f>MATCH(export_calendar!AM112,light_colors!B:B,0)-1</f>
        <v>30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26</v>
      </c>
      <c r="D111" t="str">
        <f>export_calendar!AP113</f>
        <v>Tweede Kerstdag</v>
      </c>
      <c r="E111" s="1">
        <f>export_calendar!AO113</f>
        <v>108</v>
      </c>
      <c r="F111">
        <f>MATCH(export_calendar!AL113,theme_boxes!C:C,0)-1</f>
        <v>8</v>
      </c>
      <c r="G111">
        <f>MATCH(export_calendar!AN113,light_patterns!B:B,0)-1</f>
        <v>5</v>
      </c>
      <c r="H111">
        <f>MATCH(export_calendar!AM113,light_colors!B:B,0)-1</f>
        <v>20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28</v>
      </c>
      <c r="D112" t="str">
        <f>export_calendar!AP114</f>
        <v>Onnozele Kinderen</v>
      </c>
      <c r="E112" s="1">
        <f>export_calendar!AO114</f>
        <v>77</v>
      </c>
      <c r="F112">
        <f>MATCH(export_calendar!AL114,theme_boxes!C:C,0)-1</f>
        <v>10</v>
      </c>
      <c r="G112">
        <f>MATCH(export_calendar!AN114,light_patterns!B:B,0)-1</f>
        <v>26</v>
      </c>
      <c r="H112">
        <f>MATCH(export_calendar!AM114,light_colors!B:B,0)-1</f>
        <v>35</v>
      </c>
    </row>
    <row r="113" spans="1:8" x14ac:dyDescent="0.25">
      <c r="A113" s="1">
        <f>export_calendar!AI115</f>
        <v>2029</v>
      </c>
      <c r="B113" s="1">
        <f>export_calendar!AJ115</f>
        <v>1</v>
      </c>
      <c r="C113" s="1">
        <f>export_calendar!AK115</f>
        <v>1</v>
      </c>
      <c r="D113" t="str">
        <f>export_calendar!AP115</f>
        <v>Gelukkig Nieuwjaar</v>
      </c>
      <c r="E113" s="1">
        <f>export_calendar!AO115</f>
        <v>77</v>
      </c>
      <c r="F113">
        <f>MATCH(export_calendar!AL115,theme_boxes!C:C,0)-1</f>
        <v>24</v>
      </c>
      <c r="G113">
        <f>MATCH(export_calendar!AN115,light_patterns!B:B,0)-1</f>
        <v>2</v>
      </c>
      <c r="H113">
        <f>MATCH(export_calendar!AM115,light_colors!B:B,0)-1</f>
        <v>40</v>
      </c>
    </row>
    <row r="114" spans="1:8" x14ac:dyDescent="0.25">
      <c r="A114" s="1">
        <f>export_calendar!AI116</f>
        <v>2029</v>
      </c>
      <c r="B114" s="1">
        <f>export_calendar!AJ116</f>
        <v>2</v>
      </c>
      <c r="C114" s="1">
        <f>export_calendar!AK116</f>
        <v>1</v>
      </c>
      <c r="D114" t="str">
        <f>export_calendar!AP116</f>
        <v>Eerste van de maand februari</v>
      </c>
      <c r="E114" s="1">
        <f>export_calendar!AO116</f>
        <v>249</v>
      </c>
      <c r="F114">
        <f>MATCH(export_calendar!AL116,theme_boxes!C:C,0)-1</f>
        <v>23</v>
      </c>
      <c r="G114">
        <f>MATCH(export_calendar!AN116,light_patterns!B:B,0)-1</f>
        <v>4</v>
      </c>
      <c r="H114">
        <f>MATCH(export_calendar!AM116,light_colors!B:B,0)-1</f>
        <v>7</v>
      </c>
    </row>
    <row r="115" spans="1:8" x14ac:dyDescent="0.25">
      <c r="A115" s="1">
        <f>export_calendar!AI117</f>
        <v>2029</v>
      </c>
      <c r="B115" s="1">
        <f>export_calendar!AJ117</f>
        <v>2</v>
      </c>
      <c r="C115" s="1">
        <f>export_calendar!AK117</f>
        <v>11</v>
      </c>
      <c r="D115" t="str">
        <f>export_calendar!AP117</f>
        <v>Carnaval, Agge mar leut heht</v>
      </c>
      <c r="E115" s="1">
        <f>export_calendar!AO117</f>
        <v>82</v>
      </c>
      <c r="F115">
        <f>MATCH(export_calendar!AL117,theme_boxes!C:C,0)-1</f>
        <v>24</v>
      </c>
      <c r="G115">
        <f>MATCH(export_calendar!AN117,light_patterns!B:B,0)-1</f>
        <v>3</v>
      </c>
      <c r="H115">
        <f>MATCH(export_calendar!AM117,light_colors!B:B,0)-1</f>
        <v>7</v>
      </c>
    </row>
    <row r="116" spans="1:8" x14ac:dyDescent="0.25">
      <c r="A116" s="1">
        <f>export_calendar!AI118</f>
        <v>2029</v>
      </c>
      <c r="B116" s="1">
        <f>export_calendar!AJ118</f>
        <v>2</v>
      </c>
      <c r="C116" s="1">
        <f>export_calendar!AK118</f>
        <v>11</v>
      </c>
      <c r="D116" t="str">
        <f>export_calendar!AP118</f>
        <v>Carnaval, En deh hittie naw gedonn umdettie Hellemonder is</v>
      </c>
      <c r="E116" s="1">
        <f>export_calendar!AO118</f>
        <v>99</v>
      </c>
      <c r="F116">
        <f>MATCH(export_calendar!AL118,theme_boxes!C:C,0)-1</f>
        <v>24</v>
      </c>
      <c r="G116">
        <f>MATCH(export_calendar!AN118,light_patterns!B:B,0)-1</f>
        <v>3</v>
      </c>
      <c r="H116">
        <f>MATCH(export_calendar!AM118,light_colors!B:B,0)-1</f>
        <v>7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12</v>
      </c>
      <c r="D117" t="str">
        <f>export_calendar!AP119</f>
        <v>RosenMoontach, Keiebijters!!</v>
      </c>
      <c r="E117" s="1">
        <f>export_calendar!AO119</f>
        <v>121</v>
      </c>
      <c r="F117">
        <f>MATCH(export_calendar!AL119,theme_boxes!C:C,0)-1</f>
        <v>24</v>
      </c>
      <c r="G117">
        <f>MATCH(export_calendar!AN119,light_patterns!B:B,0)-1</f>
        <v>3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14</v>
      </c>
      <c r="D118" t="str">
        <f>export_calendar!AP120</f>
        <v>Suikerfeest</v>
      </c>
      <c r="E118" s="1">
        <f>export_calendar!AO120</f>
        <v>252</v>
      </c>
      <c r="F118">
        <f>MATCH(export_calendar!AL120,theme_boxes!C:C,0)-1</f>
        <v>10</v>
      </c>
      <c r="G118">
        <f>MATCH(export_calendar!AN120,light_patterns!B:B,0)-1</f>
        <v>7</v>
      </c>
      <c r="H118">
        <f>MATCH(export_calendar!AM120,light_colors!B:B,0)-1</f>
        <v>1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14</v>
      </c>
      <c r="D119" t="str">
        <f>export_calendar!AP121</f>
        <v>Aswoensdag ,  - het is  uit met de carnavalspret</v>
      </c>
      <c r="E119" s="1">
        <f>export_calendar!AO121</f>
        <v>179</v>
      </c>
      <c r="F119">
        <f>MATCH(export_calendar!AL121,theme_boxes!C:C,0)-1</f>
        <v>21</v>
      </c>
      <c r="G119">
        <f>MATCH(export_calendar!AN121,light_patterns!B:B,0)-1</f>
        <v>5</v>
      </c>
      <c r="H119">
        <f>MATCH(export_calendar!AM121,light_colors!B:B,0)-1</f>
        <v>21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14</v>
      </c>
      <c r="D120" t="str">
        <f>export_calendar!AP122</f>
        <v>Valentijns en verlovingsdag</v>
      </c>
      <c r="E120" s="1">
        <f>export_calendar!AO122</f>
        <v>70</v>
      </c>
      <c r="F120">
        <f>MATCH(export_calendar!AL122,theme_boxes!C:C,0)-1</f>
        <v>24</v>
      </c>
      <c r="G120">
        <f>MATCH(export_calendar!AN122,light_patterns!B:B,0)-1</f>
        <v>6</v>
      </c>
      <c r="H120">
        <f>MATCH(export_calendar!AM122,light_colors!B:B,0)-1</f>
        <v>42</v>
      </c>
    </row>
    <row r="121" spans="1:8" x14ac:dyDescent="0.25">
      <c r="A121" s="1">
        <f>export_calendar!AI123</f>
        <v>2029</v>
      </c>
      <c r="B121" s="1">
        <f>export_calendar!AJ123</f>
        <v>3</v>
      </c>
      <c r="C121" s="1">
        <f>export_calendar!AK123</f>
        <v>1</v>
      </c>
      <c r="D121" t="str">
        <f>export_calendar!AP123</f>
        <v>Eerste van de maand maart</v>
      </c>
      <c r="E121" s="1">
        <f>export_calendar!AO123</f>
        <v>287</v>
      </c>
      <c r="F121">
        <f>MATCH(export_calendar!AL123,theme_boxes!C:C,0)-1</f>
        <v>23</v>
      </c>
      <c r="G121">
        <f>MATCH(export_calendar!AN123,light_patterns!B:B,0)-1</f>
        <v>4</v>
      </c>
      <c r="H121">
        <f>MATCH(export_calendar!AM123,light_colors!B:B,0)-1</f>
        <v>7</v>
      </c>
    </row>
    <row r="122" spans="1:8" x14ac:dyDescent="0.25">
      <c r="A122" s="1">
        <f>export_calendar!AI124</f>
        <v>2029</v>
      </c>
      <c r="B122" s="1">
        <f>export_calendar!AJ124</f>
        <v>3</v>
      </c>
      <c r="C122" s="1">
        <f>export_calendar!AK124</f>
        <v>14</v>
      </c>
      <c r="D122" t="str">
        <f>export_calendar!AP124</f>
        <v>piedag - drie komma een vier enzovoortsen nog meer decimalen</v>
      </c>
      <c r="E122" s="1">
        <f>export_calendar!AO124</f>
        <v>95</v>
      </c>
      <c r="F122">
        <f>MATCH(export_calendar!AL124,theme_boxes!C:C,0)-1</f>
        <v>9</v>
      </c>
      <c r="G122">
        <f>MATCH(export_calendar!AN124,light_patterns!B:B,0)-1</f>
        <v>28</v>
      </c>
      <c r="H122">
        <f>MATCH(export_calendar!AM124,light_colors!B:B,0)-1</f>
        <v>6</v>
      </c>
    </row>
    <row r="123" spans="1:8" x14ac:dyDescent="0.25">
      <c r="A123" s="1">
        <f>export_calendar!AI125</f>
        <v>2029</v>
      </c>
      <c r="B123" s="1">
        <f>export_calendar!AJ125</f>
        <v>3</v>
      </c>
      <c r="C123" s="1">
        <f>export_calendar!AK125</f>
        <v>21</v>
      </c>
      <c r="D123" t="str">
        <f>export_calendar!AP125</f>
        <v>Hartelijk gefeliciteerd,  Thomas</v>
      </c>
      <c r="E123" s="1">
        <f>export_calendar!AO125</f>
        <v>73</v>
      </c>
      <c r="F123">
        <f>MATCH(export_calendar!AL125,theme_boxes!C:C,0)-1</f>
        <v>15</v>
      </c>
      <c r="G123">
        <f>MATCH(export_calendar!AN125,light_patterns!B:B,0)-1</f>
        <v>3</v>
      </c>
      <c r="H123">
        <f>MATCH(export_calendar!AM125,light_colors!B:B,0)-1</f>
        <v>14</v>
      </c>
    </row>
    <row r="124" spans="1:8" x14ac:dyDescent="0.25">
      <c r="A124" s="1">
        <f>export_calendar!AI126</f>
        <v>2029</v>
      </c>
      <c r="B124" s="1">
        <f>export_calendar!AJ126</f>
        <v>3</v>
      </c>
      <c r="C124" s="1">
        <f>export_calendar!AK126</f>
        <v>30</v>
      </c>
      <c r="D124" t="str">
        <f>export_calendar!AP126</f>
        <v>Goede Vrijdag,  tja, Goede Vrijdag?</v>
      </c>
      <c r="E124" s="1">
        <f>export_calendar!AO126</f>
        <v>215</v>
      </c>
      <c r="F124">
        <f>MATCH(export_calendar!AL126,theme_boxes!C:C,0)-1</f>
        <v>13</v>
      </c>
      <c r="G124">
        <f>MATCH(export_calendar!AN126,light_patterns!B:B,0)-1</f>
        <v>2</v>
      </c>
      <c r="H124">
        <f>MATCH(export_calendar!AM126,light_colors!B:B,0)-1</f>
        <v>13</v>
      </c>
    </row>
    <row r="125" spans="1:8" x14ac:dyDescent="0.25">
      <c r="A125" s="1">
        <f>export_calendar!AI127</f>
        <v>2029</v>
      </c>
      <c r="B125" s="1">
        <f>export_calendar!AJ127</f>
        <v>4</v>
      </c>
      <c r="C125" s="1">
        <f>export_calendar!AK127</f>
        <v>1</v>
      </c>
      <c r="D125" t="str">
        <f>export_calendar!AP127</f>
        <v>Eerste van de maand april, een april, kikker in je bil!</v>
      </c>
      <c r="E125" s="1">
        <f>export_calendar!AO127</f>
        <v>265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4</v>
      </c>
      <c r="C126" s="1">
        <f>export_calendar!AK128</f>
        <v>1</v>
      </c>
      <c r="D126" t="str">
        <f>export_calendar!AP128</f>
        <v>Vrolijk Pasen</v>
      </c>
      <c r="E126" s="1">
        <f>export_calendar!AO128</f>
        <v>71</v>
      </c>
      <c r="F126">
        <f>MATCH(export_calendar!AL128,theme_boxes!C:C,0)-1</f>
        <v>17</v>
      </c>
      <c r="G126">
        <f>MATCH(export_calendar!AN128,light_patterns!B:B,0)-1</f>
        <v>9</v>
      </c>
      <c r="H126">
        <f>MATCH(export_calendar!AM128,light_colors!B:B,0)-1</f>
        <v>5</v>
      </c>
    </row>
    <row r="127" spans="1:8" x14ac:dyDescent="0.25">
      <c r="A127" s="1">
        <f>export_calendar!AI129</f>
        <v>2029</v>
      </c>
      <c r="B127" s="1">
        <f>export_calendar!AJ129</f>
        <v>4</v>
      </c>
      <c r="C127" s="1">
        <f>export_calendar!AK129</f>
        <v>2</v>
      </c>
      <c r="D127" t="str">
        <f>export_calendar!AP129</f>
        <v>Tweede Paasdag, zoek de eitjes</v>
      </c>
      <c r="E127" s="1">
        <f>export_calendar!AO129</f>
        <v>371</v>
      </c>
      <c r="F127">
        <f>MATCH(export_calendar!AL129,theme_boxes!C:C,0)-1</f>
        <v>17</v>
      </c>
      <c r="G127">
        <f>MATCH(export_calendar!AN129,light_patterns!B:B,0)-1</f>
        <v>13</v>
      </c>
      <c r="H127">
        <f>MATCH(export_calendar!AM129,light_colors!B:B,0)-1</f>
        <v>19</v>
      </c>
    </row>
    <row r="128" spans="1:8" x14ac:dyDescent="0.25">
      <c r="A128" s="1">
        <f>export_calendar!AI130</f>
        <v>2029</v>
      </c>
      <c r="B128" s="1">
        <f>export_calendar!AJ130</f>
        <v>4</v>
      </c>
      <c r="C128" s="1">
        <f>export_calendar!AK130</f>
        <v>30</v>
      </c>
      <c r="D128" t="str">
        <f>export_calendar!AP130</f>
        <v>Hartelijk gefeliciteerd,  Paul</v>
      </c>
      <c r="E128" s="1">
        <f>export_calendar!AO130</f>
        <v>98</v>
      </c>
      <c r="F128">
        <f>MATCH(export_calendar!AL130,theme_boxes!C:C,0)-1</f>
        <v>15</v>
      </c>
      <c r="G128">
        <f>MATCH(export_calendar!AN130,light_patterns!B:B,0)-1</f>
        <v>3</v>
      </c>
      <c r="H128">
        <f>MATCH(export_calendar!AM130,light_colors!B:B,0)-1</f>
        <v>14</v>
      </c>
    </row>
    <row r="129" spans="1:8" x14ac:dyDescent="0.25">
      <c r="A129" s="1">
        <f>export_calendar!AI131</f>
        <v>2029</v>
      </c>
      <c r="B129" s="1">
        <f>export_calendar!AJ131</f>
        <v>5</v>
      </c>
      <c r="C129" s="1">
        <f>export_calendar!AK131</f>
        <v>1</v>
      </c>
      <c r="D129" t="str">
        <f>export_calendar!AP131</f>
        <v>Eerste van de maand mei- leggen alle vogeltjes een ei</v>
      </c>
      <c r="E129" s="1">
        <f>export_calendar!AO131</f>
        <v>202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5</v>
      </c>
      <c r="C130" s="1">
        <f>export_calendar!AK132</f>
        <v>4</v>
      </c>
      <c r="D130" t="str">
        <f>export_calendar!AP132</f>
        <v>Dodenherdenking</v>
      </c>
      <c r="E130" s="1">
        <f>export_calendar!AO132</f>
        <v>102</v>
      </c>
      <c r="F130">
        <f>MATCH(export_calendar!AL132,theme_boxes!C:C,0)-1</f>
        <v>21</v>
      </c>
      <c r="G130">
        <f>MATCH(export_calendar!AN132,light_patterns!B:B,0)-1</f>
        <v>2</v>
      </c>
      <c r="H130">
        <f>MATCH(export_calendar!AM132,light_colors!B:B,0)-1</f>
        <v>31</v>
      </c>
    </row>
    <row r="131" spans="1:8" x14ac:dyDescent="0.25">
      <c r="A131" s="1">
        <f>export_calendar!AI133</f>
        <v>2029</v>
      </c>
      <c r="B131" s="1">
        <f>export_calendar!AJ133</f>
        <v>5</v>
      </c>
      <c r="C131" s="1">
        <f>export_calendar!AK133</f>
        <v>5</v>
      </c>
      <c r="D131" t="str">
        <f>export_calendar!AP133</f>
        <v>Bevrijdingsdag</v>
      </c>
      <c r="E131" s="1">
        <f>export_calendar!AO133</f>
        <v>64</v>
      </c>
      <c r="F131">
        <f>MATCH(export_calendar!AL133,theme_boxes!C:C,0)-1</f>
        <v>24</v>
      </c>
      <c r="G131">
        <f>MATCH(export_calendar!AN133,light_patterns!B:B,0)-1</f>
        <v>3</v>
      </c>
      <c r="H131">
        <f>MATCH(export_calendar!AM133,light_colors!B:B,0)-1</f>
        <v>3</v>
      </c>
    </row>
    <row r="132" spans="1:8" x14ac:dyDescent="0.25">
      <c r="A132" s="1">
        <f>export_calendar!AI134</f>
        <v>2029</v>
      </c>
      <c r="B132" s="1">
        <f>export_calendar!AJ134</f>
        <v>5</v>
      </c>
      <c r="C132" s="1">
        <f>export_calendar!AK134</f>
        <v>10</v>
      </c>
      <c r="D132" t="str">
        <f>export_calendar!AP134</f>
        <v>Hemelvaart</v>
      </c>
      <c r="E132" s="1">
        <f>export_calendar!AO134</f>
        <v>88</v>
      </c>
      <c r="F132">
        <f>MATCH(export_calendar!AL134,theme_boxes!C:C,0)-1</f>
        <v>11</v>
      </c>
      <c r="G132">
        <f>MATCH(export_calendar!AN134,light_patterns!B:B,0)-1</f>
        <v>2</v>
      </c>
      <c r="H132">
        <f>MATCH(export_calendar!AM134,light_colors!B:B,0)-1</f>
        <v>29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10</v>
      </c>
      <c r="D133" t="str">
        <f>export_calendar!AP135</f>
        <v>Hartelijk gefeliciteerd,  Gaia</v>
      </c>
      <c r="E133" s="1">
        <f>export_calendar!AO135</f>
        <v>73</v>
      </c>
      <c r="F133">
        <f>MATCH(export_calendar!AL135,theme_boxes!C:C,0)-1</f>
        <v>15</v>
      </c>
      <c r="G133">
        <f>MATCH(export_calendar!AN135,light_patterns!B:B,0)-1</f>
        <v>3</v>
      </c>
      <c r="H133">
        <f>MATCH(export_calendar!AM135,light_colors!B:B,0)-1</f>
        <v>14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20</v>
      </c>
      <c r="D134" t="str">
        <f>export_calendar!AP136</f>
        <v>Pinksteren</v>
      </c>
      <c r="E134" s="1">
        <f>export_calendar!AO136</f>
        <v>124</v>
      </c>
      <c r="F134">
        <f>MATCH(export_calendar!AL136,theme_boxes!C:C,0)-1</f>
        <v>4</v>
      </c>
      <c r="G134">
        <f>MATCH(export_calendar!AN136,light_patterns!B:B,0)-1</f>
        <v>4</v>
      </c>
      <c r="H134">
        <f>MATCH(export_calendar!AM136,light_colors!B:B,0)-1</f>
        <v>8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21</v>
      </c>
      <c r="D135" t="str">
        <f>export_calendar!AP137</f>
        <v>Nog steeds Pinksteren</v>
      </c>
      <c r="E135" s="1">
        <f>export_calendar!AO137</f>
        <v>244</v>
      </c>
      <c r="F135">
        <f>MATCH(export_calendar!AL137,theme_boxes!C:C,0)-1</f>
        <v>4</v>
      </c>
      <c r="G135">
        <f>MATCH(export_calendar!AN137,light_patterns!B:B,0)-1</f>
        <v>4</v>
      </c>
      <c r="H135">
        <f>MATCH(export_calendar!AM137,light_colors!B:B,0)-1</f>
        <v>8</v>
      </c>
    </row>
    <row r="136" spans="1:8" x14ac:dyDescent="0.25">
      <c r="A136" s="1">
        <f>export_calendar!AI138</f>
        <v>2029</v>
      </c>
      <c r="B136" s="1">
        <f>export_calendar!AJ138</f>
        <v>6</v>
      </c>
      <c r="C136" s="1">
        <f>export_calendar!AK138</f>
        <v>1</v>
      </c>
      <c r="D136" t="str">
        <f>export_calendar!AP138</f>
        <v>Eerste van de maand juni</v>
      </c>
      <c r="E136" s="1">
        <f>export_calendar!AO138</f>
        <v>157</v>
      </c>
      <c r="F136">
        <f>MATCH(export_calendar!AL138,theme_boxes!C:C,0)-1</f>
        <v>23</v>
      </c>
      <c r="G136">
        <f>MATCH(export_calendar!AN138,light_patterns!B:B,0)-1</f>
        <v>4</v>
      </c>
      <c r="H136">
        <f>MATCH(export_calendar!AM138,light_colors!B:B,0)-1</f>
        <v>7</v>
      </c>
    </row>
    <row r="137" spans="1:8" x14ac:dyDescent="0.25">
      <c r="A137" s="1">
        <f>export_calendar!AI139</f>
        <v>2029</v>
      </c>
      <c r="B137" s="1">
        <f>export_calendar!AJ139</f>
        <v>6</v>
      </c>
      <c r="C137" s="1">
        <f>export_calendar!AK139</f>
        <v>24</v>
      </c>
      <c r="D137" t="str">
        <f>export_calendar!AP139</f>
        <v>SintJan</v>
      </c>
      <c r="E137" s="1">
        <f>export_calendar!AO139</f>
        <v>61</v>
      </c>
      <c r="F137">
        <f>MATCH(export_calendar!AL139,theme_boxes!C:C,0)-1</f>
        <v>24</v>
      </c>
      <c r="G137">
        <f>MATCH(export_calendar!AN139,light_patterns!B:B,0)-1</f>
        <v>27</v>
      </c>
      <c r="H137">
        <f>MATCH(export_calendar!AM139,light_colors!B:B,0)-1</f>
        <v>5</v>
      </c>
    </row>
    <row r="138" spans="1:8" x14ac:dyDescent="0.25">
      <c r="A138" s="1">
        <f>export_calendar!AI140</f>
        <v>2029</v>
      </c>
      <c r="B138" s="1">
        <f>export_calendar!AJ140</f>
        <v>7</v>
      </c>
      <c r="C138" s="1">
        <f>export_calendar!AK140</f>
        <v>1</v>
      </c>
      <c r="D138" t="str">
        <f>export_calendar!AP140</f>
        <v>Eerste van de maand juli</v>
      </c>
      <c r="E138" s="1">
        <f>export_calendar!AO140</f>
        <v>171</v>
      </c>
      <c r="F138">
        <f>MATCH(export_calendar!AL140,theme_boxes!C:C,0)-1</f>
        <v>23</v>
      </c>
      <c r="G138">
        <f>MATCH(export_calendar!AN140,light_patterns!B:B,0)-1</f>
        <v>4</v>
      </c>
      <c r="H138">
        <f>MATCH(export_calendar!AM140,light_colors!B:B,0)-1</f>
        <v>7</v>
      </c>
    </row>
    <row r="139" spans="1:8" x14ac:dyDescent="0.25">
      <c r="A139" s="1">
        <f>export_calendar!AI141</f>
        <v>2029</v>
      </c>
      <c r="B139" s="1">
        <f>export_calendar!AJ141</f>
        <v>8</v>
      </c>
      <c r="C139" s="1">
        <f>export_calendar!AK141</f>
        <v>1</v>
      </c>
      <c r="D139" t="str">
        <f>export_calendar!AP141</f>
        <v>Eerste van de maand augustus</v>
      </c>
      <c r="E139" s="1">
        <f>export_calendar!AO141</f>
        <v>231</v>
      </c>
      <c r="F139">
        <f>MATCH(export_calendar!AL141,theme_boxes!C:C,0)-1</f>
        <v>23</v>
      </c>
      <c r="G139">
        <f>MATCH(export_calendar!AN141,light_patterns!B:B,0)-1</f>
        <v>4</v>
      </c>
      <c r="H139">
        <f>MATCH(export_calendar!AM141,light_colors!B:B,0)-1</f>
        <v>7</v>
      </c>
    </row>
    <row r="140" spans="1:8" x14ac:dyDescent="0.25">
      <c r="A140" s="1">
        <f>export_calendar!AI142</f>
        <v>2029</v>
      </c>
      <c r="B140" s="1">
        <f>export_calendar!AJ142</f>
        <v>9</v>
      </c>
      <c r="C140" s="1">
        <f>export_calendar!AK142</f>
        <v>1</v>
      </c>
      <c r="D140" t="str">
        <f>export_calendar!AP142</f>
        <v>Eerste van de maand september</v>
      </c>
      <c r="E140" s="1">
        <f>export_calendar!AO142</f>
        <v>282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10</v>
      </c>
      <c r="C141" s="1">
        <f>export_calendar!AK143</f>
        <v>1</v>
      </c>
      <c r="D141" t="str">
        <f>export_calendar!AP143</f>
        <v>Eerste van de maand oktober</v>
      </c>
      <c r="E141" s="1">
        <f>export_calendar!AO143</f>
        <v>277</v>
      </c>
      <c r="F141">
        <f>MATCH(export_calendar!AL143,theme_boxes!C:C,0)-1</f>
        <v>23</v>
      </c>
      <c r="G141">
        <f>MATCH(export_calendar!AN143,light_patterns!B:B,0)-1</f>
        <v>4</v>
      </c>
      <c r="H141">
        <f>MATCH(export_calendar!AM143,light_colors!B:B,0)-1</f>
        <v>7</v>
      </c>
    </row>
    <row r="142" spans="1:8" x14ac:dyDescent="0.25">
      <c r="A142" s="1">
        <f>export_calendar!AI144</f>
        <v>2029</v>
      </c>
      <c r="B142" s="1">
        <f>export_calendar!AJ144</f>
        <v>10</v>
      </c>
      <c r="C142" s="1">
        <f>export_calendar!AK144</f>
        <v>8</v>
      </c>
      <c r="D142" t="str">
        <f>export_calendar!AP144</f>
        <v>Hartelijk gefeliciteerd,  Jan</v>
      </c>
      <c r="E142" s="1">
        <f>export_calendar!AO144</f>
        <v>105</v>
      </c>
      <c r="F142">
        <f>MATCH(export_calendar!AL144,theme_boxes!C:C,0)-1</f>
        <v>15</v>
      </c>
      <c r="G142">
        <f>MATCH(export_calendar!AN144,light_patterns!B:B,0)-1</f>
        <v>3</v>
      </c>
      <c r="H142">
        <f>MATCH(export_calendar!AM144,light_colors!B:B,0)-1</f>
        <v>14</v>
      </c>
    </row>
    <row r="143" spans="1:8" x14ac:dyDescent="0.25">
      <c r="A143" s="1">
        <f>export_calendar!AI145</f>
        <v>2029</v>
      </c>
      <c r="B143" s="1">
        <f>export_calendar!AJ145</f>
        <v>11</v>
      </c>
      <c r="C143" s="1">
        <f>export_calendar!AK145</f>
        <v>1</v>
      </c>
      <c r="D143" t="str">
        <f>export_calendar!AP145</f>
        <v>Eerste van de maand november</v>
      </c>
      <c r="E143" s="1">
        <f>export_calendar!AO145</f>
        <v>221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12</v>
      </c>
      <c r="C144" s="1">
        <f>export_calendar!AK146</f>
        <v>1</v>
      </c>
      <c r="D144" t="str">
        <f>export_calendar!AP146</f>
        <v>Eerste van de maand december</v>
      </c>
      <c r="E144" s="1">
        <f>export_calendar!AO146</f>
        <v>165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12</v>
      </c>
      <c r="C145" s="1">
        <f>export_calendar!AK147</f>
        <v>5</v>
      </c>
      <c r="D145" t="str">
        <f>export_calendar!AP147</f>
        <v>Sinterklaas</v>
      </c>
      <c r="E145" s="1">
        <f>export_calendar!AO147</f>
        <v>113</v>
      </c>
      <c r="F145">
        <f>MATCH(export_calendar!AL147,theme_boxes!C:C,0)-1</f>
        <v>12</v>
      </c>
      <c r="G145">
        <f>MATCH(export_calendar!AN147,light_patterns!B:B,0)-1</f>
        <v>6</v>
      </c>
      <c r="H145">
        <f>MATCH(export_calendar!AM147,light_colors!B:B,0)-1</f>
        <v>28</v>
      </c>
    </row>
    <row r="146" spans="1:8" x14ac:dyDescent="0.25">
      <c r="A146" s="1">
        <f>export_calendar!AI148</f>
        <v>2029</v>
      </c>
      <c r="B146" s="1">
        <f>export_calendar!AJ148</f>
        <v>12</v>
      </c>
      <c r="C146" s="1">
        <f>export_calendar!AK148</f>
        <v>13</v>
      </c>
      <c r="D146" t="str">
        <f>export_calendar!AP148</f>
        <v>Hartelijk gefeliciteerd,  lieve Marit</v>
      </c>
      <c r="E146" s="1">
        <f>export_calendar!AO148</f>
        <v>114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12</v>
      </c>
      <c r="C147" s="1">
        <f>export_calendar!AK149</f>
        <v>25</v>
      </c>
      <c r="D147" t="str">
        <f>export_calendar!AP149</f>
        <v>Vrolijk Kerstfeest</v>
      </c>
      <c r="E147" s="1">
        <f>export_calendar!AO149</f>
        <v>95</v>
      </c>
      <c r="F147">
        <f>MATCH(export_calendar!AL149,theme_boxes!C:C,0)-1</f>
        <v>8</v>
      </c>
      <c r="G147">
        <f>MATCH(export_calendar!AN149,light_patterns!B:B,0)-1</f>
        <v>26</v>
      </c>
      <c r="H147">
        <f>MATCH(export_calendar!AM149,light_colors!B:B,0)-1</f>
        <v>30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26</v>
      </c>
      <c r="D148" t="str">
        <f>export_calendar!AP150</f>
        <v>Tweede Kerstdag</v>
      </c>
      <c r="E148" s="1">
        <f>export_calendar!AO150</f>
        <v>108</v>
      </c>
      <c r="F148">
        <f>MATCH(export_calendar!AL150,theme_boxes!C:C,0)-1</f>
        <v>8</v>
      </c>
      <c r="G148">
        <f>MATCH(export_calendar!AN150,light_patterns!B:B,0)-1</f>
        <v>5</v>
      </c>
      <c r="H148">
        <f>MATCH(export_calendar!AM150,light_colors!B:B,0)-1</f>
        <v>20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28</v>
      </c>
      <c r="D149" t="str">
        <f>export_calendar!AP151</f>
        <v>Onnozele Kinderen</v>
      </c>
      <c r="E149" s="1">
        <f>export_calendar!AO151</f>
        <v>77</v>
      </c>
      <c r="F149">
        <f>MATCH(export_calendar!AL151,theme_boxes!C:C,0)-1</f>
        <v>10</v>
      </c>
      <c r="G149">
        <f>MATCH(export_calendar!AN151,light_patterns!B:B,0)-1</f>
        <v>26</v>
      </c>
      <c r="H149">
        <f>MATCH(export_calendar!AM151,light_colors!B:B,0)-1</f>
        <v>35</v>
      </c>
    </row>
    <row r="150" spans="1:8" x14ac:dyDescent="0.25">
      <c r="A150" s="1">
        <f>export_calendar!AI152</f>
        <v>2030</v>
      </c>
      <c r="B150" s="1">
        <f>export_calendar!AJ152</f>
        <v>1</v>
      </c>
      <c r="C150" s="1">
        <f>export_calendar!AK152</f>
        <v>1</v>
      </c>
      <c r="D150" t="str">
        <f>export_calendar!AP152</f>
        <v>Gelukkig Nieuwjaar</v>
      </c>
      <c r="E150" s="1">
        <f>export_calendar!AO152</f>
        <v>77</v>
      </c>
      <c r="F150">
        <f>MATCH(export_calendar!AL152,theme_boxes!C:C,0)-1</f>
        <v>24</v>
      </c>
      <c r="G150">
        <f>MATCH(export_calendar!AN152,light_patterns!B:B,0)-1</f>
        <v>2</v>
      </c>
      <c r="H150">
        <f>MATCH(export_calendar!AM152,light_colors!B:B,0)-1</f>
        <v>40</v>
      </c>
    </row>
    <row r="151" spans="1:8" x14ac:dyDescent="0.25">
      <c r="A151" s="1">
        <f>export_calendar!AI153</f>
        <v>2030</v>
      </c>
      <c r="B151" s="1">
        <f>export_calendar!AJ153</f>
        <v>2</v>
      </c>
      <c r="C151" s="1">
        <f>export_calendar!AK153</f>
        <v>1</v>
      </c>
      <c r="D151" t="str">
        <f>export_calendar!AP153</f>
        <v>Eerste van de maand februari</v>
      </c>
      <c r="E151" s="1">
        <f>export_calendar!AO153</f>
        <v>249</v>
      </c>
      <c r="F151">
        <f>MATCH(export_calendar!AL153,theme_boxes!C:C,0)-1</f>
        <v>23</v>
      </c>
      <c r="G151">
        <f>MATCH(export_calendar!AN153,light_patterns!B:B,0)-1</f>
        <v>4</v>
      </c>
      <c r="H151">
        <f>MATCH(export_calendar!AM153,light_colors!B:B,0)-1</f>
        <v>7</v>
      </c>
    </row>
    <row r="152" spans="1:8" x14ac:dyDescent="0.25">
      <c r="A152" s="1">
        <f>export_calendar!AI154</f>
        <v>2030</v>
      </c>
      <c r="B152" s="1">
        <f>export_calendar!AJ154</f>
        <v>2</v>
      </c>
      <c r="C152" s="1">
        <f>export_calendar!AK154</f>
        <v>4</v>
      </c>
      <c r="D152" t="str">
        <f>export_calendar!AP154</f>
        <v>Suikerfeest</v>
      </c>
      <c r="E152" s="1">
        <f>export_calendar!AO154</f>
        <v>226</v>
      </c>
      <c r="F152">
        <f>MATCH(export_calendar!AL154,theme_boxes!C:C,0)-1</f>
        <v>10</v>
      </c>
      <c r="G152">
        <f>MATCH(export_calendar!AN154,light_patterns!B:B,0)-1</f>
        <v>7</v>
      </c>
      <c r="H152">
        <f>MATCH(export_calendar!AM154,light_colors!B:B,0)-1</f>
        <v>1</v>
      </c>
    </row>
    <row r="153" spans="1:8" x14ac:dyDescent="0.25">
      <c r="A153" s="1">
        <f>export_calendar!AI155</f>
        <v>2030</v>
      </c>
      <c r="B153" s="1">
        <f>export_calendar!AJ155</f>
        <v>2</v>
      </c>
      <c r="C153" s="1">
        <f>export_calendar!AK155</f>
        <v>14</v>
      </c>
      <c r="D153" t="str">
        <f>export_calendar!AP155</f>
        <v>Valentijns en verlovingsdag</v>
      </c>
      <c r="E153" s="1">
        <f>export_calendar!AO155</f>
        <v>70</v>
      </c>
      <c r="F153">
        <f>MATCH(export_calendar!AL155,theme_boxes!C:C,0)-1</f>
        <v>24</v>
      </c>
      <c r="G153">
        <f>MATCH(export_calendar!AN155,light_patterns!B:B,0)-1</f>
        <v>6</v>
      </c>
      <c r="H153">
        <f>MATCH(export_calendar!AM155,light_colors!B:B,0)-1</f>
        <v>42</v>
      </c>
    </row>
    <row r="154" spans="1:8" x14ac:dyDescent="0.25">
      <c r="A154" s="1">
        <f>export_calendar!AI156</f>
        <v>2030</v>
      </c>
      <c r="B154" s="1">
        <f>export_calendar!AJ156</f>
        <v>3</v>
      </c>
      <c r="C154" s="1">
        <f>export_calendar!AK156</f>
        <v>1</v>
      </c>
      <c r="D154" t="str">
        <f>export_calendar!AP156</f>
        <v>Eerste van de maand maart</v>
      </c>
      <c r="E154" s="1">
        <f>export_calendar!AO156</f>
        <v>287</v>
      </c>
      <c r="F154">
        <f>MATCH(export_calendar!AL156,theme_boxes!C:C,0)-1</f>
        <v>23</v>
      </c>
      <c r="G154">
        <f>MATCH(export_calendar!AN156,light_patterns!B:B,0)-1</f>
        <v>4</v>
      </c>
      <c r="H154">
        <f>MATCH(export_calendar!AM156,light_colors!B:B,0)-1</f>
        <v>7</v>
      </c>
    </row>
    <row r="155" spans="1:8" x14ac:dyDescent="0.25">
      <c r="A155" s="1">
        <f>export_calendar!AI157</f>
        <v>2030</v>
      </c>
      <c r="B155" s="1">
        <f>export_calendar!AJ157</f>
        <v>3</v>
      </c>
      <c r="C155" s="1">
        <f>export_calendar!AK157</f>
        <v>3</v>
      </c>
      <c r="D155" t="str">
        <f>export_calendar!AP157</f>
        <v>Carnaval, Agge mar leut heht</v>
      </c>
      <c r="E155" s="1">
        <f>export_calendar!AO157</f>
        <v>116</v>
      </c>
      <c r="F155">
        <f>MATCH(export_calendar!AL157,theme_boxes!C:C,0)-1</f>
        <v>24</v>
      </c>
      <c r="G155">
        <f>MATCH(export_calendar!AN157,light_patterns!B:B,0)-1</f>
        <v>3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3</v>
      </c>
      <c r="C156" s="1">
        <f>export_calendar!AK158</f>
        <v>3</v>
      </c>
      <c r="D156" t="str">
        <f>export_calendar!AP158</f>
        <v>Carnaval, Alaaf!!</v>
      </c>
      <c r="E156" s="1">
        <f>export_calendar!AO158</f>
        <v>81</v>
      </c>
      <c r="F156">
        <f>MATCH(export_calendar!AL158,theme_boxes!C:C,0)-1</f>
        <v>24</v>
      </c>
      <c r="G156">
        <f>MATCH(export_calendar!AN158,light_patterns!B:B,0)-1</f>
        <v>3</v>
      </c>
      <c r="H156">
        <f>MATCH(export_calendar!AM158,light_colors!B:B,0)-1</f>
        <v>7</v>
      </c>
    </row>
    <row r="157" spans="1:8" x14ac:dyDescent="0.25">
      <c r="A157" s="1">
        <f>export_calendar!AI159</f>
        <v>2030</v>
      </c>
      <c r="B157" s="1">
        <f>export_calendar!AJ159</f>
        <v>3</v>
      </c>
      <c r="C157" s="1">
        <f>export_calendar!AK159</f>
        <v>4</v>
      </c>
      <c r="D157" t="str">
        <f>export_calendar!AP159</f>
        <v>RosenMoontach, En deh hittie naw gedonn umdettie Hellemonder is</v>
      </c>
      <c r="E157" s="1">
        <f>export_calendar!AO159</f>
        <v>133</v>
      </c>
      <c r="F157">
        <f>MATCH(export_calendar!AL159,theme_boxes!C:C,0)-1</f>
        <v>24</v>
      </c>
      <c r="G157">
        <f>MATCH(export_calendar!AN159,light_patterns!B:B,0)-1</f>
        <v>3</v>
      </c>
      <c r="H157">
        <f>MATCH(export_calendar!AM159,light_colors!B:B,0)-1</f>
        <v>7</v>
      </c>
    </row>
    <row r="158" spans="1:8" x14ac:dyDescent="0.25">
      <c r="A158" s="1">
        <f>export_calendar!AI160</f>
        <v>2030</v>
      </c>
      <c r="B158" s="1">
        <f>export_calendar!AJ160</f>
        <v>3</v>
      </c>
      <c r="C158" s="1">
        <f>export_calendar!AK160</f>
        <v>6</v>
      </c>
      <c r="D158" t="str">
        <f>export_calendar!AP160</f>
        <v>Aswoensdag ,  - en dan nu: vasten</v>
      </c>
      <c r="E158" s="1">
        <f>export_calendar!AO160</f>
        <v>210</v>
      </c>
      <c r="F158">
        <f>MATCH(export_calendar!AL160,theme_boxes!C:C,0)-1</f>
        <v>21</v>
      </c>
      <c r="G158">
        <f>MATCH(export_calendar!AN160,light_patterns!B:B,0)-1</f>
        <v>5</v>
      </c>
      <c r="H158">
        <f>MATCH(export_calendar!AM160,light_colors!B:B,0)-1</f>
        <v>21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14</v>
      </c>
      <c r="D159" t="str">
        <f>export_calendar!AP161</f>
        <v>piedag - drie komma een vier enzovoortsen nog meer decimalen</v>
      </c>
      <c r="E159" s="1">
        <f>export_calendar!AO161</f>
        <v>95</v>
      </c>
      <c r="F159">
        <f>MATCH(export_calendar!AL161,theme_boxes!C:C,0)-1</f>
        <v>9</v>
      </c>
      <c r="G159">
        <f>MATCH(export_calendar!AN161,light_patterns!B:B,0)-1</f>
        <v>28</v>
      </c>
      <c r="H159">
        <f>MATCH(export_calendar!AM161,light_colors!B:B,0)-1</f>
        <v>6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21</v>
      </c>
      <c r="D160" t="str">
        <f>export_calendar!AP162</f>
        <v>Hartelijk gefeliciteerd,  Thomas</v>
      </c>
      <c r="E160" s="1">
        <f>export_calendar!AO162</f>
        <v>73</v>
      </c>
      <c r="F160">
        <f>MATCH(export_calendar!AL162,theme_boxes!C:C,0)-1</f>
        <v>15</v>
      </c>
      <c r="G160">
        <f>MATCH(export_calendar!AN162,light_patterns!B:B,0)-1</f>
        <v>3</v>
      </c>
      <c r="H160">
        <f>MATCH(export_calendar!AM162,light_colors!B:B,0)-1</f>
        <v>14</v>
      </c>
    </row>
    <row r="161" spans="1:8" x14ac:dyDescent="0.25">
      <c r="A161" s="1">
        <f>export_calendar!AI163</f>
        <v>2030</v>
      </c>
      <c r="B161" s="1">
        <f>export_calendar!AJ163</f>
        <v>4</v>
      </c>
      <c r="C161" s="1">
        <f>export_calendar!AK163</f>
        <v>1</v>
      </c>
      <c r="D161" t="str">
        <f>export_calendar!AP163</f>
        <v>Eerste van de maand april, een april, kikker in je bil!</v>
      </c>
      <c r="E161" s="1">
        <f>export_calendar!AO163</f>
        <v>265</v>
      </c>
      <c r="F161">
        <f>MATCH(export_calendar!AL163,theme_boxes!C:C,0)-1</f>
        <v>23</v>
      </c>
      <c r="G161">
        <f>MATCH(export_calendar!AN163,light_patterns!B:B,0)-1</f>
        <v>4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4</v>
      </c>
      <c r="C162" s="1">
        <f>export_calendar!AK164</f>
        <v>19</v>
      </c>
      <c r="D162" t="str">
        <f>export_calendar!AP164</f>
        <v>Goede Vrijdag</v>
      </c>
      <c r="E162" s="1">
        <f>export_calendar!AO164</f>
        <v>260</v>
      </c>
      <c r="F162">
        <f>MATCH(export_calendar!AL164,theme_boxes!C:C,0)-1</f>
        <v>13</v>
      </c>
      <c r="G162">
        <f>MATCH(export_calendar!AN164,light_patterns!B:B,0)-1</f>
        <v>2</v>
      </c>
      <c r="H162">
        <f>MATCH(export_calendar!AM164,light_colors!B:B,0)-1</f>
        <v>13</v>
      </c>
    </row>
    <row r="163" spans="1:8" x14ac:dyDescent="0.25">
      <c r="A163" s="1">
        <f>export_calendar!AI165</f>
        <v>2030</v>
      </c>
      <c r="B163" s="1">
        <f>export_calendar!AJ165</f>
        <v>4</v>
      </c>
      <c r="C163" s="1">
        <f>export_calendar!AK165</f>
        <v>21</v>
      </c>
      <c r="D163" t="str">
        <f>export_calendar!AP165</f>
        <v>Vrolijk Pasen, waar is de paashaas??</v>
      </c>
      <c r="E163" s="1">
        <f>export_calendar!AO165</f>
        <v>64</v>
      </c>
      <c r="F163">
        <f>MATCH(export_calendar!AL165,theme_boxes!C:C,0)-1</f>
        <v>17</v>
      </c>
      <c r="G163">
        <f>MATCH(export_calendar!AN165,light_patterns!B:B,0)-1</f>
        <v>9</v>
      </c>
      <c r="H163">
        <f>MATCH(export_calendar!AM165,light_colors!B:B,0)-1</f>
        <v>5</v>
      </c>
    </row>
    <row r="164" spans="1:8" x14ac:dyDescent="0.25">
      <c r="A164" s="1">
        <f>export_calendar!AI166</f>
        <v>2030</v>
      </c>
      <c r="B164" s="1">
        <f>export_calendar!AJ166</f>
        <v>4</v>
      </c>
      <c r="C164" s="1">
        <f>export_calendar!AK166</f>
        <v>22</v>
      </c>
      <c r="D164" t="str">
        <f>export_calendar!AP166</f>
        <v>Tweede Paasdag, waar is de paashaas??</v>
      </c>
      <c r="E164" s="1">
        <f>export_calendar!AO166</f>
        <v>355</v>
      </c>
      <c r="F164">
        <f>MATCH(export_calendar!AL166,theme_boxes!C:C,0)-1</f>
        <v>17</v>
      </c>
      <c r="G164">
        <f>MATCH(export_calendar!AN166,light_patterns!B:B,0)-1</f>
        <v>13</v>
      </c>
      <c r="H164">
        <f>MATCH(export_calendar!AM166,light_colors!B:B,0)-1</f>
        <v>19</v>
      </c>
    </row>
    <row r="165" spans="1:8" x14ac:dyDescent="0.25">
      <c r="A165" s="1">
        <f>export_calendar!AI167</f>
        <v>2030</v>
      </c>
      <c r="B165" s="1">
        <f>export_calendar!AJ167</f>
        <v>4</v>
      </c>
      <c r="C165" s="1">
        <f>export_calendar!AK167</f>
        <v>30</v>
      </c>
      <c r="D165" t="str">
        <f>export_calendar!AP167</f>
        <v>Hartelijk gefeliciteerd,  Paul</v>
      </c>
      <c r="E165" s="1">
        <f>export_calendar!AO167</f>
        <v>98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5</v>
      </c>
      <c r="C166" s="1">
        <f>export_calendar!AK168</f>
        <v>1</v>
      </c>
      <c r="D166" t="str">
        <f>export_calendar!AP168</f>
        <v>Eerste van de maand mei- leggen alle vogeltjes een ei</v>
      </c>
      <c r="E166" s="1">
        <f>export_calendar!AO168</f>
        <v>202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5</v>
      </c>
      <c r="C167" s="1">
        <f>export_calendar!AK169</f>
        <v>4</v>
      </c>
      <c r="D167" t="str">
        <f>export_calendar!AP169</f>
        <v>Dodenherdenking</v>
      </c>
      <c r="E167" s="1">
        <f>export_calendar!AO169</f>
        <v>102</v>
      </c>
      <c r="F167">
        <f>MATCH(export_calendar!AL169,theme_boxes!C:C,0)-1</f>
        <v>21</v>
      </c>
      <c r="G167">
        <f>MATCH(export_calendar!AN169,light_patterns!B:B,0)-1</f>
        <v>2</v>
      </c>
      <c r="H167">
        <f>MATCH(export_calendar!AM169,light_colors!B:B,0)-1</f>
        <v>31</v>
      </c>
    </row>
    <row r="168" spans="1:8" x14ac:dyDescent="0.25">
      <c r="A168" s="1">
        <f>export_calendar!AI170</f>
        <v>2030</v>
      </c>
      <c r="B168" s="1">
        <f>export_calendar!AJ170</f>
        <v>5</v>
      </c>
      <c r="C168" s="1">
        <f>export_calendar!AK170</f>
        <v>5</v>
      </c>
      <c r="D168" t="str">
        <f>export_calendar!AP170</f>
        <v>Bevrijdingsdag</v>
      </c>
      <c r="E168" s="1">
        <f>export_calendar!AO170</f>
        <v>64</v>
      </c>
      <c r="F168">
        <f>MATCH(export_calendar!AL170,theme_boxes!C:C,0)-1</f>
        <v>24</v>
      </c>
      <c r="G168">
        <f>MATCH(export_calendar!AN170,light_patterns!B:B,0)-1</f>
        <v>3</v>
      </c>
      <c r="H168">
        <f>MATCH(export_calendar!AM170,light_colors!B:B,0)-1</f>
        <v>3</v>
      </c>
    </row>
    <row r="169" spans="1:8" x14ac:dyDescent="0.25">
      <c r="A169" s="1">
        <f>export_calendar!AI171</f>
        <v>2030</v>
      </c>
      <c r="B169" s="1">
        <f>export_calendar!AJ171</f>
        <v>5</v>
      </c>
      <c r="C169" s="1">
        <f>export_calendar!AK171</f>
        <v>10</v>
      </c>
      <c r="D169" t="str">
        <f>export_calendar!AP171</f>
        <v>Hartelijk gefeliciteerd,  Gaia</v>
      </c>
      <c r="E169" s="1">
        <f>export_calendar!AO171</f>
        <v>73</v>
      </c>
      <c r="F169">
        <f>MATCH(export_calendar!AL171,theme_boxes!C:C,0)-1</f>
        <v>15</v>
      </c>
      <c r="G169">
        <f>MATCH(export_calendar!AN171,light_patterns!B:B,0)-1</f>
        <v>3</v>
      </c>
      <c r="H169">
        <f>MATCH(export_calendar!AM171,light_colors!B:B,0)-1</f>
        <v>14</v>
      </c>
    </row>
    <row r="170" spans="1:8" x14ac:dyDescent="0.25">
      <c r="A170" s="1">
        <f>export_calendar!AI172</f>
        <v>2030</v>
      </c>
      <c r="B170" s="1">
        <f>export_calendar!AJ172</f>
        <v>5</v>
      </c>
      <c r="C170" s="1">
        <f>export_calendar!AK172</f>
        <v>30</v>
      </c>
      <c r="D170" t="str">
        <f>export_calendar!AP172</f>
        <v>Hemelvaart</v>
      </c>
      <c r="E170" s="1">
        <f>export_calendar!AO172</f>
        <v>96</v>
      </c>
      <c r="F170">
        <f>MATCH(export_calendar!AL172,theme_boxes!C:C,0)-1</f>
        <v>11</v>
      </c>
      <c r="G170">
        <f>MATCH(export_calendar!AN172,light_patterns!B:B,0)-1</f>
        <v>2</v>
      </c>
      <c r="H170">
        <f>MATCH(export_calendar!AM172,light_colors!B:B,0)-1</f>
        <v>29</v>
      </c>
    </row>
    <row r="171" spans="1:8" x14ac:dyDescent="0.25">
      <c r="A171" s="1">
        <f>export_calendar!AI173</f>
        <v>2030</v>
      </c>
      <c r="B171" s="1">
        <f>export_calendar!AJ173</f>
        <v>6</v>
      </c>
      <c r="C171" s="1">
        <f>export_calendar!AK173</f>
        <v>1</v>
      </c>
      <c r="D171" t="str">
        <f>export_calendar!AP173</f>
        <v>Eerste van de maand juni</v>
      </c>
      <c r="E171" s="1">
        <f>export_calendar!AO173</f>
        <v>157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6</v>
      </c>
      <c r="C172" s="1">
        <f>export_calendar!AK174</f>
        <v>9</v>
      </c>
      <c r="D172" t="str">
        <f>export_calendar!AP174</f>
        <v>Pinksteren,  - wat is dat ook weer??</v>
      </c>
      <c r="E172" s="1">
        <f>export_calendar!AO174</f>
        <v>150</v>
      </c>
      <c r="F172">
        <f>MATCH(export_calendar!AL174,theme_boxes!C:C,0)-1</f>
        <v>4</v>
      </c>
      <c r="G172">
        <f>MATCH(export_calendar!AN174,light_patterns!B:B,0)-1</f>
        <v>4</v>
      </c>
      <c r="H172">
        <f>MATCH(export_calendar!AM174,light_colors!B:B,0)-1</f>
        <v>8</v>
      </c>
    </row>
    <row r="173" spans="1:8" x14ac:dyDescent="0.25">
      <c r="A173" s="1">
        <f>export_calendar!AI175</f>
        <v>2030</v>
      </c>
      <c r="B173" s="1">
        <f>export_calendar!AJ175</f>
        <v>6</v>
      </c>
      <c r="C173" s="1">
        <f>export_calendar!AK175</f>
        <v>10</v>
      </c>
      <c r="D173" t="str">
        <f>export_calendar!AP175</f>
        <v>Nog steeds Pinksteren,  - wat is dat ook weer??</v>
      </c>
      <c r="E173" s="1">
        <f>export_calendar!AO175</f>
        <v>250</v>
      </c>
      <c r="F173">
        <f>MATCH(export_calendar!AL175,theme_boxes!C:C,0)-1</f>
        <v>4</v>
      </c>
      <c r="G173">
        <f>MATCH(export_calendar!AN175,light_patterns!B:B,0)-1</f>
        <v>4</v>
      </c>
      <c r="H173">
        <f>MATCH(export_calendar!AM175,light_colors!B:B,0)-1</f>
        <v>8</v>
      </c>
    </row>
    <row r="174" spans="1:8" x14ac:dyDescent="0.25">
      <c r="A174" s="1">
        <f>export_calendar!AI176</f>
        <v>2030</v>
      </c>
      <c r="B174" s="1">
        <f>export_calendar!AJ176</f>
        <v>6</v>
      </c>
      <c r="C174" s="1">
        <f>export_calendar!AK176</f>
        <v>24</v>
      </c>
      <c r="D174" t="str">
        <f>export_calendar!AP176</f>
        <v>SintJan</v>
      </c>
      <c r="E174" s="1">
        <f>export_calendar!AO176</f>
        <v>61</v>
      </c>
      <c r="F174">
        <f>MATCH(export_calendar!AL176,theme_boxes!C:C,0)-1</f>
        <v>24</v>
      </c>
      <c r="G174">
        <f>MATCH(export_calendar!AN176,light_patterns!B:B,0)-1</f>
        <v>27</v>
      </c>
      <c r="H174">
        <f>MATCH(export_calendar!AM176,light_colors!B:B,0)-1</f>
        <v>5</v>
      </c>
    </row>
    <row r="175" spans="1:8" x14ac:dyDescent="0.25">
      <c r="A175" s="1">
        <f>export_calendar!AI177</f>
        <v>2030</v>
      </c>
      <c r="B175" s="1">
        <f>export_calendar!AJ177</f>
        <v>7</v>
      </c>
      <c r="C175" s="1">
        <f>export_calendar!AK177</f>
        <v>1</v>
      </c>
      <c r="D175" t="str">
        <f>export_calendar!AP177</f>
        <v>Eerste van de maand juli</v>
      </c>
      <c r="E175" s="1">
        <f>export_calendar!AO177</f>
        <v>171</v>
      </c>
      <c r="F175">
        <f>MATCH(export_calendar!AL177,theme_boxes!C:C,0)-1</f>
        <v>23</v>
      </c>
      <c r="G175">
        <f>MATCH(export_calendar!AN177,light_patterns!B:B,0)-1</f>
        <v>4</v>
      </c>
      <c r="H175">
        <f>MATCH(export_calendar!AM177,light_colors!B:B,0)-1</f>
        <v>7</v>
      </c>
    </row>
    <row r="176" spans="1:8" x14ac:dyDescent="0.25">
      <c r="A176" s="1">
        <f>export_calendar!AI178</f>
        <v>2030</v>
      </c>
      <c r="B176" s="1">
        <f>export_calendar!AJ178</f>
        <v>8</v>
      </c>
      <c r="C176" s="1">
        <f>export_calendar!AK178</f>
        <v>1</v>
      </c>
      <c r="D176" t="str">
        <f>export_calendar!AP178</f>
        <v>Eerste van de maand augustus</v>
      </c>
      <c r="E176" s="1">
        <f>export_calendar!AO178</f>
        <v>231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9</v>
      </c>
      <c r="C177" s="1">
        <f>export_calendar!AK179</f>
        <v>1</v>
      </c>
      <c r="D177" t="str">
        <f>export_calendar!AP179</f>
        <v>Eerste van de maand september</v>
      </c>
      <c r="E177" s="1">
        <f>export_calendar!AO179</f>
        <v>282</v>
      </c>
      <c r="F177">
        <f>MATCH(export_calendar!AL179,theme_boxes!C:C,0)-1</f>
        <v>23</v>
      </c>
      <c r="G177">
        <f>MATCH(export_calendar!AN179,light_patterns!B:B,0)-1</f>
        <v>4</v>
      </c>
      <c r="H177">
        <f>MATCH(export_calendar!AM179,light_colors!B:B,0)-1</f>
        <v>7</v>
      </c>
    </row>
    <row r="178" spans="1:8" x14ac:dyDescent="0.25">
      <c r="A178" s="1">
        <f>export_calendar!AI180</f>
        <v>2030</v>
      </c>
      <c r="B178" s="1">
        <f>export_calendar!AJ180</f>
        <v>10</v>
      </c>
      <c r="C178" s="1">
        <f>export_calendar!AK180</f>
        <v>1</v>
      </c>
      <c r="D178" t="str">
        <f>export_calendar!AP180</f>
        <v>Eerste van de maand oktober</v>
      </c>
      <c r="E178" s="1">
        <f>export_calendar!AO180</f>
        <v>277</v>
      </c>
      <c r="F178">
        <f>MATCH(export_calendar!AL180,theme_boxes!C:C,0)-1</f>
        <v>23</v>
      </c>
      <c r="G178">
        <f>MATCH(export_calendar!AN180,light_patterns!B:B,0)-1</f>
        <v>4</v>
      </c>
      <c r="H178">
        <f>MATCH(export_calendar!AM180,light_colors!B:B,0)-1</f>
        <v>7</v>
      </c>
    </row>
    <row r="179" spans="1:8" x14ac:dyDescent="0.25">
      <c r="A179" s="1">
        <f>export_calendar!AI181</f>
        <v>2030</v>
      </c>
      <c r="B179" s="1">
        <f>export_calendar!AJ181</f>
        <v>10</v>
      </c>
      <c r="C179" s="1">
        <f>export_calendar!AK181</f>
        <v>8</v>
      </c>
      <c r="D179" t="str">
        <f>export_calendar!AP181</f>
        <v>Hartelijk gefeliciteerd,  Jan</v>
      </c>
      <c r="E179" s="1">
        <f>export_calendar!AO181</f>
        <v>105</v>
      </c>
      <c r="F179">
        <f>MATCH(export_calendar!AL181,theme_boxes!C:C,0)-1</f>
        <v>15</v>
      </c>
      <c r="G179">
        <f>MATCH(export_calendar!AN181,light_patterns!B:B,0)-1</f>
        <v>3</v>
      </c>
      <c r="H179">
        <f>MATCH(export_calendar!AM181,light_colors!B:B,0)-1</f>
        <v>14</v>
      </c>
    </row>
    <row r="180" spans="1:8" x14ac:dyDescent="0.25">
      <c r="A180" s="1">
        <f>export_calendar!AI182</f>
        <v>2030</v>
      </c>
      <c r="B180" s="1">
        <f>export_calendar!AJ182</f>
        <v>11</v>
      </c>
      <c r="C180" s="1">
        <f>export_calendar!AK182</f>
        <v>1</v>
      </c>
      <c r="D180" t="str">
        <f>export_calendar!AP182</f>
        <v>Eerste van de maand november</v>
      </c>
      <c r="E180" s="1">
        <f>export_calendar!AO182</f>
        <v>221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12</v>
      </c>
      <c r="C181" s="1">
        <f>export_calendar!AK183</f>
        <v>1</v>
      </c>
      <c r="D181" t="str">
        <f>export_calendar!AP183</f>
        <v>Eerste van de maand december</v>
      </c>
      <c r="E181" s="1">
        <f>export_calendar!AO183</f>
        <v>165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12</v>
      </c>
      <c r="C182" s="1">
        <f>export_calendar!AK184</f>
        <v>5</v>
      </c>
      <c r="D182" t="str">
        <f>export_calendar!AP184</f>
        <v>Sinterklaas</v>
      </c>
      <c r="E182" s="1">
        <f>export_calendar!AO184</f>
        <v>113</v>
      </c>
      <c r="F182">
        <f>MATCH(export_calendar!AL184,theme_boxes!C:C,0)-1</f>
        <v>12</v>
      </c>
      <c r="G182">
        <f>MATCH(export_calendar!AN184,light_patterns!B:B,0)-1</f>
        <v>6</v>
      </c>
      <c r="H182">
        <f>MATCH(export_calendar!AM184,light_colors!B:B,0)-1</f>
        <v>28</v>
      </c>
    </row>
    <row r="183" spans="1:8" x14ac:dyDescent="0.25">
      <c r="A183" s="1">
        <f>export_calendar!AI185</f>
        <v>2030</v>
      </c>
      <c r="B183" s="1">
        <f>export_calendar!AJ185</f>
        <v>12</v>
      </c>
      <c r="C183" s="1">
        <f>export_calendar!AK185</f>
        <v>13</v>
      </c>
      <c r="D183" t="str">
        <f>export_calendar!AP185</f>
        <v>Hartelijk gefeliciteerd,  lieve Marit</v>
      </c>
      <c r="E183" s="1">
        <f>export_calendar!AO185</f>
        <v>114</v>
      </c>
      <c r="F183">
        <f>MATCH(export_calendar!AL185,theme_boxes!C:C,0)-1</f>
        <v>15</v>
      </c>
      <c r="G183">
        <f>MATCH(export_calendar!AN185,light_patterns!B:B,0)-1</f>
        <v>3</v>
      </c>
      <c r="H183">
        <f>MATCH(export_calendar!AM185,light_colors!B:B,0)-1</f>
        <v>14</v>
      </c>
    </row>
    <row r="184" spans="1:8" x14ac:dyDescent="0.25">
      <c r="A184" s="1">
        <f>export_calendar!AI186</f>
        <v>2030</v>
      </c>
      <c r="B184" s="1">
        <f>export_calendar!AJ186</f>
        <v>12</v>
      </c>
      <c r="C184" s="1">
        <f>export_calendar!AK186</f>
        <v>25</v>
      </c>
      <c r="D184" t="str">
        <f>export_calendar!AP186</f>
        <v>Vrolijk Kerstfeest</v>
      </c>
      <c r="E184" s="1">
        <f>export_calendar!AO186</f>
        <v>95</v>
      </c>
      <c r="F184">
        <f>MATCH(export_calendar!AL186,theme_boxes!C:C,0)-1</f>
        <v>8</v>
      </c>
      <c r="G184">
        <f>MATCH(export_calendar!AN186,light_patterns!B:B,0)-1</f>
        <v>26</v>
      </c>
      <c r="H184">
        <f>MATCH(export_calendar!AM186,light_colors!B:B,0)-1</f>
        <v>30</v>
      </c>
    </row>
    <row r="185" spans="1:8" x14ac:dyDescent="0.25">
      <c r="A185" s="1">
        <f>export_calendar!AI187</f>
        <v>2030</v>
      </c>
      <c r="B185" s="1">
        <f>export_calendar!AJ187</f>
        <v>12</v>
      </c>
      <c r="C185" s="1">
        <f>export_calendar!AK187</f>
        <v>26</v>
      </c>
      <c r="D185" t="str">
        <f>export_calendar!AP187</f>
        <v>Tweede Kerstdag</v>
      </c>
      <c r="E185" s="1">
        <f>export_calendar!AO187</f>
        <v>108</v>
      </c>
      <c r="F185">
        <f>MATCH(export_calendar!AL187,theme_boxes!C:C,0)-1</f>
        <v>8</v>
      </c>
      <c r="G185">
        <f>MATCH(export_calendar!AN187,light_patterns!B:B,0)-1</f>
        <v>5</v>
      </c>
      <c r="H185">
        <f>MATCH(export_calendar!AM187,light_colors!B:B,0)-1</f>
        <v>20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28</v>
      </c>
      <c r="D186" t="str">
        <f>export_calendar!AP188</f>
        <v>Onnozele Kinderen</v>
      </c>
      <c r="E186" s="1">
        <f>export_calendar!AO188</f>
        <v>77</v>
      </c>
      <c r="F186">
        <f>MATCH(export_calendar!AL188,theme_boxes!C:C,0)-1</f>
        <v>10</v>
      </c>
      <c r="G186">
        <f>MATCH(export_calendar!AN188,light_patterns!B:B,0)-1</f>
        <v>26</v>
      </c>
      <c r="H186">
        <f>MATCH(export_calendar!AM188,light_colors!B:B,0)-1</f>
        <v>35</v>
      </c>
    </row>
    <row r="187" spans="1:8" x14ac:dyDescent="0.25">
      <c r="A187" s="1">
        <f>export_calendar!AI189</f>
        <v>2031</v>
      </c>
      <c r="B187" s="1">
        <f>export_calendar!AJ189</f>
        <v>1</v>
      </c>
      <c r="C187" s="1">
        <f>export_calendar!AK189</f>
        <v>1</v>
      </c>
      <c r="D187" t="str">
        <f>export_calendar!AP189</f>
        <v>Gelukkig Nieuwjaar</v>
      </c>
      <c r="E187" s="1">
        <f>export_calendar!AO189</f>
        <v>77</v>
      </c>
      <c r="F187">
        <f>MATCH(export_calendar!AL189,theme_boxes!C:C,0)-1</f>
        <v>24</v>
      </c>
      <c r="G187">
        <f>MATCH(export_calendar!AN189,light_patterns!B:B,0)-1</f>
        <v>2</v>
      </c>
      <c r="H187">
        <f>MATCH(export_calendar!AM189,light_colors!B:B,0)-1</f>
        <v>40</v>
      </c>
    </row>
    <row r="188" spans="1:8" x14ac:dyDescent="0.25">
      <c r="A188" s="1">
        <f>export_calendar!AI190</f>
        <v>2031</v>
      </c>
      <c r="B188" s="1">
        <f>export_calendar!AJ190</f>
        <v>1</v>
      </c>
      <c r="C188" s="1">
        <f>export_calendar!AK190</f>
        <v>24</v>
      </c>
      <c r="D188" t="str">
        <f>export_calendar!AP190</f>
        <v>Suikerfeest</v>
      </c>
      <c r="E188" s="1">
        <f>export_calendar!AO190</f>
        <v>186</v>
      </c>
      <c r="F188">
        <f>MATCH(export_calendar!AL190,theme_boxes!C:C,0)-1</f>
        <v>10</v>
      </c>
      <c r="G188">
        <f>MATCH(export_calendar!AN190,light_patterns!B:B,0)-1</f>
        <v>7</v>
      </c>
      <c r="H188">
        <f>MATCH(export_calendar!AM190,light_colors!B:B,0)-1</f>
        <v>1</v>
      </c>
    </row>
    <row r="189" spans="1:8" x14ac:dyDescent="0.25">
      <c r="A189" s="1">
        <f>export_calendar!AI191</f>
        <v>2031</v>
      </c>
      <c r="B189" s="1">
        <f>export_calendar!AJ191</f>
        <v>2</v>
      </c>
      <c r="C189" s="1">
        <f>export_calendar!AK191</f>
        <v>1</v>
      </c>
      <c r="D189" t="str">
        <f>export_calendar!AP191</f>
        <v>Eerste van de maand februari</v>
      </c>
      <c r="E189" s="1">
        <f>export_calendar!AO191</f>
        <v>249</v>
      </c>
      <c r="F189">
        <f>MATCH(export_calendar!AL191,theme_boxes!C:C,0)-1</f>
        <v>23</v>
      </c>
      <c r="G189">
        <f>MATCH(export_calendar!AN191,light_patterns!B:B,0)-1</f>
        <v>4</v>
      </c>
      <c r="H189">
        <f>MATCH(export_calendar!AM191,light_colors!B:B,0)-1</f>
        <v>7</v>
      </c>
    </row>
    <row r="190" spans="1:8" x14ac:dyDescent="0.25">
      <c r="A190" s="1">
        <f>export_calendar!AI192</f>
        <v>2031</v>
      </c>
      <c r="B190" s="1">
        <f>export_calendar!AJ192</f>
        <v>2</v>
      </c>
      <c r="C190" s="1">
        <f>export_calendar!AK192</f>
        <v>14</v>
      </c>
      <c r="D190" t="str">
        <f>export_calendar!AP192</f>
        <v>Valentijns en verlovingsdag</v>
      </c>
      <c r="E190" s="1">
        <f>export_calendar!AO192</f>
        <v>70</v>
      </c>
      <c r="F190">
        <f>MATCH(export_calendar!AL192,theme_boxes!C:C,0)-1</f>
        <v>24</v>
      </c>
      <c r="G190">
        <f>MATCH(export_calendar!AN192,light_patterns!B:B,0)-1</f>
        <v>6</v>
      </c>
      <c r="H190">
        <f>MATCH(export_calendar!AM192,light_colors!B:B,0)-1</f>
        <v>42</v>
      </c>
    </row>
    <row r="191" spans="1:8" x14ac:dyDescent="0.25">
      <c r="A191" s="1">
        <f>export_calendar!AI193</f>
        <v>2031</v>
      </c>
      <c r="B191" s="1">
        <f>export_calendar!AJ193</f>
        <v>2</v>
      </c>
      <c r="C191" s="1">
        <f>export_calendar!AK193</f>
        <v>23</v>
      </c>
      <c r="D191" t="str">
        <f>export_calendar!AP193</f>
        <v>Carnaval, Keiebijters!!</v>
      </c>
      <c r="E191" s="1">
        <f>export_calendar!AO193</f>
        <v>96</v>
      </c>
      <c r="F191">
        <f>MATCH(export_calendar!AL193,theme_boxes!C:C,0)-1</f>
        <v>24</v>
      </c>
      <c r="G191">
        <f>MATCH(export_calendar!AN193,light_patterns!B:B,0)-1</f>
        <v>3</v>
      </c>
      <c r="H191">
        <f>MATCH(export_calendar!AM193,light_colors!B:B,0)-1</f>
        <v>7</v>
      </c>
    </row>
    <row r="192" spans="1:8" x14ac:dyDescent="0.25">
      <c r="A192" s="1">
        <f>export_calendar!AI194</f>
        <v>2031</v>
      </c>
      <c r="B192" s="1">
        <f>export_calendar!AJ194</f>
        <v>2</v>
      </c>
      <c r="C192" s="1">
        <f>export_calendar!AK194</f>
        <v>23</v>
      </c>
      <c r="D192" t="str">
        <f>export_calendar!AP194</f>
        <v>Carnaval, Alaaf!!</v>
      </c>
      <c r="E192" s="1">
        <f>export_calendar!AO194</f>
        <v>116</v>
      </c>
      <c r="F192">
        <f>MATCH(export_calendar!AL194,theme_boxes!C:C,0)-1</f>
        <v>24</v>
      </c>
      <c r="G192">
        <f>MATCH(export_calendar!AN194,light_patterns!B:B,0)-1</f>
        <v>3</v>
      </c>
      <c r="H192">
        <f>MATCH(export_calendar!AM194,light_colors!B:B,0)-1</f>
        <v>7</v>
      </c>
    </row>
    <row r="193" spans="1:8" x14ac:dyDescent="0.25">
      <c r="A193" s="1">
        <f>export_calendar!AI195</f>
        <v>2031</v>
      </c>
      <c r="B193" s="1">
        <f>export_calendar!AJ195</f>
        <v>2</v>
      </c>
      <c r="C193" s="1">
        <f>export_calendar!AK195</f>
        <v>24</v>
      </c>
      <c r="D193" t="str">
        <f>export_calendar!AP195</f>
        <v>RosenMoontach, Agge mar leut heht</v>
      </c>
      <c r="E193" s="1">
        <f>export_calendar!AO195</f>
        <v>124</v>
      </c>
      <c r="F193">
        <f>MATCH(export_calendar!AL195,theme_boxes!C:C,0)-1</f>
        <v>24</v>
      </c>
      <c r="G193">
        <f>MATCH(export_calendar!AN195,light_patterns!B:B,0)-1</f>
        <v>3</v>
      </c>
      <c r="H193">
        <f>MATCH(export_calendar!AM195,light_colors!B:B,0)-1</f>
        <v>7</v>
      </c>
    </row>
    <row r="194" spans="1:8" x14ac:dyDescent="0.25">
      <c r="A194" s="1">
        <f>export_calendar!AI196</f>
        <v>2031</v>
      </c>
      <c r="B194" s="1">
        <f>export_calendar!AJ196</f>
        <v>2</v>
      </c>
      <c r="C194" s="1">
        <f>export_calendar!AK196</f>
        <v>26</v>
      </c>
      <c r="D194" t="str">
        <f>export_calendar!AP196</f>
        <v>Aswoensdag ,  - en nu begint de katholieke ramadan</v>
      </c>
      <c r="E194" s="1">
        <f>export_calendar!AO196</f>
        <v>251</v>
      </c>
      <c r="F194">
        <f>MATCH(export_calendar!AL196,theme_boxes!C:C,0)-1</f>
        <v>21</v>
      </c>
      <c r="G194">
        <f>MATCH(export_calendar!AN196,light_patterns!B:B,0)-1</f>
        <v>5</v>
      </c>
      <c r="H194">
        <f>MATCH(export_calendar!AM196,light_colors!B:B,0)-1</f>
        <v>21</v>
      </c>
    </row>
    <row r="195" spans="1:8" x14ac:dyDescent="0.25">
      <c r="A195" s="1">
        <f>export_calendar!AI197</f>
        <v>2031</v>
      </c>
      <c r="B195" s="1">
        <f>export_calendar!AJ197</f>
        <v>3</v>
      </c>
      <c r="C195" s="1">
        <f>export_calendar!AK197</f>
        <v>1</v>
      </c>
      <c r="D195" t="str">
        <f>export_calendar!AP197</f>
        <v>Eerste van de maand maart</v>
      </c>
      <c r="E195" s="1">
        <f>export_calendar!AO197</f>
        <v>287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3</v>
      </c>
      <c r="C196" s="1">
        <f>export_calendar!AK198</f>
        <v>14</v>
      </c>
      <c r="D196" t="str">
        <f>export_calendar!AP198</f>
        <v>piedag - drie komma een vier enzovoortsen nog meer decimalen</v>
      </c>
      <c r="E196" s="1">
        <f>export_calendar!AO198</f>
        <v>95</v>
      </c>
      <c r="F196">
        <f>MATCH(export_calendar!AL198,theme_boxes!C:C,0)-1</f>
        <v>9</v>
      </c>
      <c r="G196">
        <f>MATCH(export_calendar!AN198,light_patterns!B:B,0)-1</f>
        <v>28</v>
      </c>
      <c r="H196">
        <f>MATCH(export_calendar!AM198,light_colors!B:B,0)-1</f>
        <v>6</v>
      </c>
    </row>
    <row r="197" spans="1:8" x14ac:dyDescent="0.25">
      <c r="A197" s="1">
        <f>export_calendar!AI199</f>
        <v>2031</v>
      </c>
      <c r="B197" s="1">
        <f>export_calendar!AJ199</f>
        <v>3</v>
      </c>
      <c r="C197" s="1">
        <f>export_calendar!AK199</f>
        <v>21</v>
      </c>
      <c r="D197" t="str">
        <f>export_calendar!AP199</f>
        <v>Hartelijk gefeliciteerd,  Thomas</v>
      </c>
      <c r="E197" s="1">
        <f>export_calendar!AO199</f>
        <v>73</v>
      </c>
      <c r="F197">
        <f>MATCH(export_calendar!AL199,theme_boxes!C:C,0)-1</f>
        <v>15</v>
      </c>
      <c r="G197">
        <f>MATCH(export_calendar!AN199,light_patterns!B:B,0)-1</f>
        <v>3</v>
      </c>
      <c r="H197">
        <f>MATCH(export_calendar!AM199,light_colors!B:B,0)-1</f>
        <v>14</v>
      </c>
    </row>
    <row r="198" spans="1:8" x14ac:dyDescent="0.25">
      <c r="A198" s="1">
        <f>export_calendar!AI200</f>
        <v>2031</v>
      </c>
      <c r="B198" s="1">
        <f>export_calendar!AJ200</f>
        <v>4</v>
      </c>
      <c r="C198" s="1">
        <f>export_calendar!AK200</f>
        <v>1</v>
      </c>
      <c r="D198" t="str">
        <f>export_calendar!AP200</f>
        <v>Eerste van de maand april, een april, kikker in je bil!</v>
      </c>
      <c r="E198" s="1">
        <f>export_calendar!AO200</f>
        <v>265</v>
      </c>
      <c r="F198">
        <f>MATCH(export_calendar!AL200,theme_boxes!C:C,0)-1</f>
        <v>23</v>
      </c>
      <c r="G198">
        <f>MATCH(export_calendar!AN200,light_patterns!B:B,0)-1</f>
        <v>4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4</v>
      </c>
      <c r="C199" s="1">
        <f>export_calendar!AK201</f>
        <v>11</v>
      </c>
      <c r="D199" t="str">
        <f>export_calendar!AP201</f>
        <v>Goede Vrijdag,  - ook zowat</v>
      </c>
      <c r="E199" s="1">
        <f>export_calendar!AO201</f>
        <v>280</v>
      </c>
      <c r="F199">
        <f>MATCH(export_calendar!AL201,theme_boxes!C:C,0)-1</f>
        <v>13</v>
      </c>
      <c r="G199">
        <f>MATCH(export_calendar!AN201,light_patterns!B:B,0)-1</f>
        <v>2</v>
      </c>
      <c r="H199">
        <f>MATCH(export_calendar!AM201,light_colors!B:B,0)-1</f>
        <v>13</v>
      </c>
    </row>
    <row r="200" spans="1:8" x14ac:dyDescent="0.25">
      <c r="A200" s="1">
        <f>export_calendar!AI202</f>
        <v>2031</v>
      </c>
      <c r="B200" s="1">
        <f>export_calendar!AJ202</f>
        <v>4</v>
      </c>
      <c r="C200" s="1">
        <f>export_calendar!AK202</f>
        <v>13</v>
      </c>
      <c r="D200" t="str">
        <f>export_calendar!AP202</f>
        <v>Vrolijk Pasen</v>
      </c>
      <c r="E200" s="1">
        <f>export_calendar!AO202</f>
        <v>71</v>
      </c>
      <c r="F200">
        <f>MATCH(export_calendar!AL202,theme_boxes!C:C,0)-1</f>
        <v>17</v>
      </c>
      <c r="G200">
        <f>MATCH(export_calendar!AN202,light_patterns!B:B,0)-1</f>
        <v>9</v>
      </c>
      <c r="H200">
        <f>MATCH(export_calendar!AM202,light_colors!B:B,0)-1</f>
        <v>5</v>
      </c>
    </row>
    <row r="201" spans="1:8" x14ac:dyDescent="0.25">
      <c r="A201" s="1">
        <f>export_calendar!AI203</f>
        <v>2031</v>
      </c>
      <c r="B201" s="1">
        <f>export_calendar!AJ203</f>
        <v>4</v>
      </c>
      <c r="C201" s="1">
        <f>export_calendar!AK203</f>
        <v>14</v>
      </c>
      <c r="D201" t="str">
        <f>export_calendar!AP203</f>
        <v>Tweede Paasdag</v>
      </c>
      <c r="E201" s="1">
        <f>export_calendar!AO203</f>
        <v>298</v>
      </c>
      <c r="F201">
        <f>MATCH(export_calendar!AL203,theme_boxes!C:C,0)-1</f>
        <v>17</v>
      </c>
      <c r="G201">
        <f>MATCH(export_calendar!AN203,light_patterns!B:B,0)-1</f>
        <v>13</v>
      </c>
      <c r="H201">
        <f>MATCH(export_calendar!AM203,light_colors!B:B,0)-1</f>
        <v>19</v>
      </c>
    </row>
    <row r="202" spans="1:8" x14ac:dyDescent="0.25">
      <c r="A202" s="1">
        <f>export_calendar!AI204</f>
        <v>2031</v>
      </c>
      <c r="B202" s="1">
        <f>export_calendar!AJ204</f>
        <v>4</v>
      </c>
      <c r="C202" s="1">
        <f>export_calendar!AK204</f>
        <v>30</v>
      </c>
      <c r="D202" t="str">
        <f>export_calendar!AP204</f>
        <v>Hartelijk gefeliciteerd,  Paul</v>
      </c>
      <c r="E202" s="1">
        <f>export_calendar!AO204</f>
        <v>98</v>
      </c>
      <c r="F202">
        <f>MATCH(export_calendar!AL204,theme_boxes!C:C,0)-1</f>
        <v>15</v>
      </c>
      <c r="G202">
        <f>MATCH(export_calendar!AN204,light_patterns!B:B,0)-1</f>
        <v>3</v>
      </c>
      <c r="H202">
        <f>MATCH(export_calendar!AM204,light_colors!B:B,0)-1</f>
        <v>14</v>
      </c>
    </row>
    <row r="203" spans="1:8" x14ac:dyDescent="0.25">
      <c r="A203" s="1">
        <f>export_calendar!AI205</f>
        <v>2031</v>
      </c>
      <c r="B203" s="1">
        <f>export_calendar!AJ205</f>
        <v>5</v>
      </c>
      <c r="C203" s="1">
        <f>export_calendar!AK205</f>
        <v>1</v>
      </c>
      <c r="D203" t="str">
        <f>export_calendar!AP205</f>
        <v>Eerste van de maand mei- leggen alle vogeltjes een ei</v>
      </c>
      <c r="E203" s="1">
        <f>export_calendar!AO205</f>
        <v>202</v>
      </c>
      <c r="F203">
        <f>MATCH(export_calendar!AL205,theme_boxes!C:C,0)-1</f>
        <v>23</v>
      </c>
      <c r="G203">
        <f>MATCH(export_calendar!AN205,light_patterns!B:B,0)-1</f>
        <v>4</v>
      </c>
      <c r="H203">
        <f>MATCH(export_calendar!AM205,light_colors!B:B,0)-1</f>
        <v>7</v>
      </c>
    </row>
    <row r="204" spans="1:8" x14ac:dyDescent="0.25">
      <c r="A204" s="1">
        <f>export_calendar!AI206</f>
        <v>2031</v>
      </c>
      <c r="B204" s="1">
        <f>export_calendar!AJ206</f>
        <v>5</v>
      </c>
      <c r="C204" s="1">
        <f>export_calendar!AK206</f>
        <v>4</v>
      </c>
      <c r="D204" t="str">
        <f>export_calendar!AP206</f>
        <v>Dodenherdenking</v>
      </c>
      <c r="E204" s="1">
        <f>export_calendar!AO206</f>
        <v>102</v>
      </c>
      <c r="F204">
        <f>MATCH(export_calendar!AL206,theme_boxes!C:C,0)-1</f>
        <v>21</v>
      </c>
      <c r="G204">
        <f>MATCH(export_calendar!AN206,light_patterns!B:B,0)-1</f>
        <v>2</v>
      </c>
      <c r="H204">
        <f>MATCH(export_calendar!AM206,light_colors!B:B,0)-1</f>
        <v>31</v>
      </c>
    </row>
    <row r="205" spans="1:8" x14ac:dyDescent="0.25">
      <c r="A205" s="1">
        <f>export_calendar!AI207</f>
        <v>2031</v>
      </c>
      <c r="B205" s="1">
        <f>export_calendar!AJ207</f>
        <v>5</v>
      </c>
      <c r="C205" s="1">
        <f>export_calendar!AK207</f>
        <v>5</v>
      </c>
      <c r="D205" t="str">
        <f>export_calendar!AP207</f>
        <v>Bevrijdingsdag</v>
      </c>
      <c r="E205" s="1">
        <f>export_calendar!AO207</f>
        <v>64</v>
      </c>
      <c r="F205">
        <f>MATCH(export_calendar!AL207,theme_boxes!C:C,0)-1</f>
        <v>24</v>
      </c>
      <c r="G205">
        <f>MATCH(export_calendar!AN207,light_patterns!B:B,0)-1</f>
        <v>3</v>
      </c>
      <c r="H205">
        <f>MATCH(export_calendar!AM207,light_colors!B:B,0)-1</f>
        <v>3</v>
      </c>
    </row>
    <row r="206" spans="1:8" x14ac:dyDescent="0.25">
      <c r="A206" s="1">
        <f>export_calendar!AI208</f>
        <v>2031</v>
      </c>
      <c r="B206" s="1">
        <f>export_calendar!AJ208</f>
        <v>5</v>
      </c>
      <c r="C206" s="1">
        <f>export_calendar!AK208</f>
        <v>10</v>
      </c>
      <c r="D206" t="str">
        <f>export_calendar!AP208</f>
        <v>Hartelijk gefeliciteerd,  Gaia</v>
      </c>
      <c r="E206" s="1">
        <f>export_calendar!AO208</f>
        <v>73</v>
      </c>
      <c r="F206">
        <f>MATCH(export_calendar!AL208,theme_boxes!C:C,0)-1</f>
        <v>15</v>
      </c>
      <c r="G206">
        <f>MATCH(export_calendar!AN208,light_patterns!B:B,0)-1</f>
        <v>3</v>
      </c>
      <c r="H206">
        <f>MATCH(export_calendar!AM208,light_colors!B:B,0)-1</f>
        <v>14</v>
      </c>
    </row>
    <row r="207" spans="1:8" x14ac:dyDescent="0.25">
      <c r="A207" s="1">
        <f>export_calendar!AI209</f>
        <v>2031</v>
      </c>
      <c r="B207" s="1">
        <f>export_calendar!AJ209</f>
        <v>5</v>
      </c>
      <c r="C207" s="1">
        <f>export_calendar!AK209</f>
        <v>22</v>
      </c>
      <c r="D207" t="str">
        <f>export_calendar!AP209</f>
        <v>Hemelvaart</v>
      </c>
      <c r="E207" s="1">
        <f>export_calendar!AO209</f>
        <v>117</v>
      </c>
      <c r="F207">
        <f>MATCH(export_calendar!AL209,theme_boxes!C:C,0)-1</f>
        <v>11</v>
      </c>
      <c r="G207">
        <f>MATCH(export_calendar!AN209,light_patterns!B:B,0)-1</f>
        <v>2</v>
      </c>
      <c r="H207">
        <f>MATCH(export_calendar!AM209,light_colors!B:B,0)-1</f>
        <v>29</v>
      </c>
    </row>
    <row r="208" spans="1:8" x14ac:dyDescent="0.25">
      <c r="A208" s="1">
        <f>export_calendar!AI210</f>
        <v>2031</v>
      </c>
      <c r="B208" s="1">
        <f>export_calendar!AJ210</f>
        <v>6</v>
      </c>
      <c r="C208" s="1">
        <f>export_calendar!AK210</f>
        <v>1</v>
      </c>
      <c r="D208" t="str">
        <f>export_calendar!AP210</f>
        <v>Eerste van de maand juni</v>
      </c>
      <c r="E208" s="1">
        <f>export_calendar!AO210</f>
        <v>157</v>
      </c>
      <c r="F208">
        <f>MATCH(export_calendar!AL210,theme_boxes!C:C,0)-1</f>
        <v>23</v>
      </c>
      <c r="G208">
        <f>MATCH(export_calendar!AN210,light_patterns!B:B,0)-1</f>
        <v>4</v>
      </c>
      <c r="H208">
        <f>MATCH(export_calendar!AM210,light_colors!B:B,0)-1</f>
        <v>7</v>
      </c>
    </row>
    <row r="209" spans="1:8" x14ac:dyDescent="0.25">
      <c r="A209" s="1">
        <f>export_calendar!AI211</f>
        <v>2031</v>
      </c>
      <c r="B209" s="1">
        <f>export_calendar!AJ211</f>
        <v>6</v>
      </c>
      <c r="C209" s="1">
        <f>export_calendar!AK211</f>
        <v>1</v>
      </c>
      <c r="D209" t="str">
        <f>export_calendar!AP211</f>
        <v>Pinksteren,  - iets met vurige tongen?</v>
      </c>
      <c r="E209" s="1">
        <f>export_calendar!AO211</f>
        <v>172</v>
      </c>
      <c r="F209">
        <f>MATCH(export_calendar!AL211,theme_boxes!C:C,0)-1</f>
        <v>4</v>
      </c>
      <c r="G209">
        <f>MATCH(export_calendar!AN211,light_patterns!B:B,0)-1</f>
        <v>4</v>
      </c>
      <c r="H209">
        <f>MATCH(export_calendar!AM211,light_colors!B:B,0)-1</f>
        <v>8</v>
      </c>
    </row>
    <row r="210" spans="1:8" x14ac:dyDescent="0.25">
      <c r="A210" s="1">
        <f>export_calendar!AI212</f>
        <v>2031</v>
      </c>
      <c r="B210" s="1">
        <f>export_calendar!AJ212</f>
        <v>6</v>
      </c>
      <c r="C210" s="1">
        <f>export_calendar!AK212</f>
        <v>2</v>
      </c>
      <c r="D210" t="str">
        <f>export_calendar!AP212</f>
        <v>Nog steeds Pinksteren,  - iets met vurige tongen?</v>
      </c>
      <c r="E210" s="1">
        <f>export_calendar!AO212</f>
        <v>220</v>
      </c>
      <c r="F210">
        <f>MATCH(export_calendar!AL212,theme_boxes!C:C,0)-1</f>
        <v>4</v>
      </c>
      <c r="G210">
        <f>MATCH(export_calendar!AN212,light_patterns!B:B,0)-1</f>
        <v>4</v>
      </c>
      <c r="H210">
        <f>MATCH(export_calendar!AM212,light_colors!B:B,0)-1</f>
        <v>8</v>
      </c>
    </row>
    <row r="211" spans="1:8" x14ac:dyDescent="0.25">
      <c r="A211" s="1">
        <f>export_calendar!AI213</f>
        <v>2031</v>
      </c>
      <c r="B211" s="1">
        <f>export_calendar!AJ213</f>
        <v>6</v>
      </c>
      <c r="C211" s="1">
        <f>export_calendar!AK213</f>
        <v>24</v>
      </c>
      <c r="D211" t="str">
        <f>export_calendar!AP213</f>
        <v>SintJan</v>
      </c>
      <c r="E211" s="1">
        <f>export_calendar!AO213</f>
        <v>61</v>
      </c>
      <c r="F211">
        <f>MATCH(export_calendar!AL213,theme_boxes!C:C,0)-1</f>
        <v>24</v>
      </c>
      <c r="G211">
        <f>MATCH(export_calendar!AN213,light_patterns!B:B,0)-1</f>
        <v>27</v>
      </c>
      <c r="H211">
        <f>MATCH(export_calendar!AM213,light_colors!B:B,0)-1</f>
        <v>5</v>
      </c>
    </row>
    <row r="212" spans="1:8" x14ac:dyDescent="0.25">
      <c r="A212" s="1">
        <f>export_calendar!AI214</f>
        <v>2031</v>
      </c>
      <c r="B212" s="1">
        <f>export_calendar!AJ214</f>
        <v>7</v>
      </c>
      <c r="C212" s="1">
        <f>export_calendar!AK214</f>
        <v>1</v>
      </c>
      <c r="D212" t="str">
        <f>export_calendar!AP214</f>
        <v>Eerste van de maand juli</v>
      </c>
      <c r="E212" s="1">
        <f>export_calendar!AO214</f>
        <v>171</v>
      </c>
      <c r="F212">
        <f>MATCH(export_calendar!AL214,theme_boxes!C:C,0)-1</f>
        <v>23</v>
      </c>
      <c r="G212">
        <f>MATCH(export_calendar!AN214,light_patterns!B:B,0)-1</f>
        <v>4</v>
      </c>
      <c r="H212">
        <f>MATCH(export_calendar!AM214,light_colors!B:B,0)-1</f>
        <v>7</v>
      </c>
    </row>
    <row r="213" spans="1:8" x14ac:dyDescent="0.25">
      <c r="A213" s="1">
        <f>export_calendar!AI215</f>
        <v>2031</v>
      </c>
      <c r="B213" s="1">
        <f>export_calendar!AJ215</f>
        <v>8</v>
      </c>
      <c r="C213" s="1">
        <f>export_calendar!AK215</f>
        <v>1</v>
      </c>
      <c r="D213" t="str">
        <f>export_calendar!AP215</f>
        <v>Eerste van de maand augustus</v>
      </c>
      <c r="E213" s="1">
        <f>export_calendar!AO215</f>
        <v>231</v>
      </c>
      <c r="F213">
        <f>MATCH(export_calendar!AL215,theme_boxes!C:C,0)-1</f>
        <v>23</v>
      </c>
      <c r="G213">
        <f>MATCH(export_calendar!AN215,light_patterns!B:B,0)-1</f>
        <v>4</v>
      </c>
      <c r="H213">
        <f>MATCH(export_calendar!AM215,light_colors!B:B,0)-1</f>
        <v>7</v>
      </c>
    </row>
    <row r="214" spans="1:8" x14ac:dyDescent="0.25">
      <c r="A214" s="1">
        <f>export_calendar!AI216</f>
        <v>2031</v>
      </c>
      <c r="B214" s="1">
        <f>export_calendar!AJ216</f>
        <v>9</v>
      </c>
      <c r="C214" s="1">
        <f>export_calendar!AK216</f>
        <v>1</v>
      </c>
      <c r="D214" t="str">
        <f>export_calendar!AP216</f>
        <v>Eerste van de maand september</v>
      </c>
      <c r="E214" s="1">
        <f>export_calendar!AO216</f>
        <v>282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10</v>
      </c>
      <c r="C215" s="1">
        <f>export_calendar!AK217</f>
        <v>1</v>
      </c>
      <c r="D215" t="str">
        <f>export_calendar!AP217</f>
        <v>Eerste van de maand oktober</v>
      </c>
      <c r="E215" s="1">
        <f>export_calendar!AO217</f>
        <v>277</v>
      </c>
      <c r="F215">
        <f>MATCH(export_calendar!AL217,theme_boxes!C:C,0)-1</f>
        <v>23</v>
      </c>
      <c r="G215">
        <f>MATCH(export_calendar!AN217,light_patterns!B:B,0)-1</f>
        <v>4</v>
      </c>
      <c r="H215">
        <f>MATCH(export_calendar!AM217,light_colors!B:B,0)-1</f>
        <v>7</v>
      </c>
    </row>
    <row r="216" spans="1:8" x14ac:dyDescent="0.25">
      <c r="A216" s="1">
        <f>export_calendar!AI218</f>
        <v>2031</v>
      </c>
      <c r="B216" s="1">
        <f>export_calendar!AJ218</f>
        <v>10</v>
      </c>
      <c r="C216" s="1">
        <f>export_calendar!AK218</f>
        <v>8</v>
      </c>
      <c r="D216" t="str">
        <f>export_calendar!AP218</f>
        <v>Hartelijk gefeliciteerd,  Jan</v>
      </c>
      <c r="E216" s="1">
        <f>export_calendar!AO218</f>
        <v>105</v>
      </c>
      <c r="F216">
        <f>MATCH(export_calendar!AL218,theme_boxes!C:C,0)-1</f>
        <v>15</v>
      </c>
      <c r="G216">
        <f>MATCH(export_calendar!AN218,light_patterns!B:B,0)-1</f>
        <v>3</v>
      </c>
      <c r="H216">
        <f>MATCH(export_calendar!AM218,light_colors!B:B,0)-1</f>
        <v>14</v>
      </c>
    </row>
    <row r="217" spans="1:8" x14ac:dyDescent="0.25">
      <c r="A217" s="1">
        <f>export_calendar!AI219</f>
        <v>2031</v>
      </c>
      <c r="B217" s="1">
        <f>export_calendar!AJ219</f>
        <v>11</v>
      </c>
      <c r="C217" s="1">
        <f>export_calendar!AK219</f>
        <v>1</v>
      </c>
      <c r="D217" t="str">
        <f>export_calendar!AP219</f>
        <v>Eerste van de maand november</v>
      </c>
      <c r="E217" s="1">
        <f>export_calendar!AO219</f>
        <v>221</v>
      </c>
      <c r="F217">
        <f>MATCH(export_calendar!AL219,theme_boxes!C:C,0)-1</f>
        <v>23</v>
      </c>
      <c r="G217">
        <f>MATCH(export_calendar!AN219,light_patterns!B:B,0)-1</f>
        <v>4</v>
      </c>
      <c r="H217">
        <f>MATCH(export_calendar!AM219,light_colors!B:B,0)-1</f>
        <v>7</v>
      </c>
    </row>
    <row r="218" spans="1:8" x14ac:dyDescent="0.25">
      <c r="A218" s="1">
        <f>export_calendar!AI220</f>
        <v>2031</v>
      </c>
      <c r="B218" s="1">
        <f>export_calendar!AJ220</f>
        <v>12</v>
      </c>
      <c r="C218" s="1">
        <f>export_calendar!AK220</f>
        <v>1</v>
      </c>
      <c r="D218" t="str">
        <f>export_calendar!AP220</f>
        <v>Eerste van de maand december</v>
      </c>
      <c r="E218" s="1">
        <f>export_calendar!AO220</f>
        <v>165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12</v>
      </c>
      <c r="C219" s="1">
        <f>export_calendar!AK221</f>
        <v>5</v>
      </c>
      <c r="D219" t="str">
        <f>export_calendar!AP221</f>
        <v>Sinterklaas</v>
      </c>
      <c r="E219" s="1">
        <f>export_calendar!AO221</f>
        <v>113</v>
      </c>
      <c r="F219">
        <f>MATCH(export_calendar!AL221,theme_boxes!C:C,0)-1</f>
        <v>12</v>
      </c>
      <c r="G219">
        <f>MATCH(export_calendar!AN221,light_patterns!B:B,0)-1</f>
        <v>6</v>
      </c>
      <c r="H219">
        <f>MATCH(export_calendar!AM221,light_colors!B:B,0)-1</f>
        <v>28</v>
      </c>
    </row>
    <row r="220" spans="1:8" x14ac:dyDescent="0.25">
      <c r="A220" s="1">
        <f>export_calendar!AI222</f>
        <v>2031</v>
      </c>
      <c r="B220" s="1">
        <f>export_calendar!AJ222</f>
        <v>12</v>
      </c>
      <c r="C220" s="1">
        <f>export_calendar!AK222</f>
        <v>13</v>
      </c>
      <c r="D220" t="str">
        <f>export_calendar!AP222</f>
        <v>Hartelijk gefeliciteerd,  lieve Marit</v>
      </c>
      <c r="E220" s="1">
        <f>export_calendar!AO222</f>
        <v>114</v>
      </c>
      <c r="F220">
        <f>MATCH(export_calendar!AL222,theme_boxes!C:C,0)-1</f>
        <v>15</v>
      </c>
      <c r="G220">
        <f>MATCH(export_calendar!AN222,light_patterns!B:B,0)-1</f>
        <v>3</v>
      </c>
      <c r="H220">
        <f>MATCH(export_calendar!AM222,light_colors!B:B,0)-1</f>
        <v>14</v>
      </c>
    </row>
    <row r="221" spans="1:8" x14ac:dyDescent="0.25">
      <c r="A221" s="1">
        <f>export_calendar!AI223</f>
        <v>2031</v>
      </c>
      <c r="B221" s="1">
        <f>export_calendar!AJ223</f>
        <v>12</v>
      </c>
      <c r="C221" s="1">
        <f>export_calendar!AK223</f>
        <v>25</v>
      </c>
      <c r="D221" t="str">
        <f>export_calendar!AP223</f>
        <v>Vrolijk Kerstfeest</v>
      </c>
      <c r="E221" s="1">
        <f>export_calendar!AO223</f>
        <v>95</v>
      </c>
      <c r="F221">
        <f>MATCH(export_calendar!AL223,theme_boxes!C:C,0)-1</f>
        <v>8</v>
      </c>
      <c r="G221">
        <f>MATCH(export_calendar!AN223,light_patterns!B:B,0)-1</f>
        <v>26</v>
      </c>
      <c r="H221">
        <f>MATCH(export_calendar!AM223,light_colors!B:B,0)-1</f>
        <v>30</v>
      </c>
    </row>
    <row r="222" spans="1:8" x14ac:dyDescent="0.25">
      <c r="A222" s="1">
        <f>export_calendar!AI224</f>
        <v>2031</v>
      </c>
      <c r="B222" s="1">
        <f>export_calendar!AJ224</f>
        <v>12</v>
      </c>
      <c r="C222" s="1">
        <f>export_calendar!AK224</f>
        <v>26</v>
      </c>
      <c r="D222" t="str">
        <f>export_calendar!AP224</f>
        <v>Tweede Kerstdag</v>
      </c>
      <c r="E222" s="1">
        <f>export_calendar!AO224</f>
        <v>108</v>
      </c>
      <c r="F222">
        <f>MATCH(export_calendar!AL224,theme_boxes!C:C,0)-1</f>
        <v>8</v>
      </c>
      <c r="G222">
        <f>MATCH(export_calendar!AN224,light_patterns!B:B,0)-1</f>
        <v>5</v>
      </c>
      <c r="H222">
        <f>MATCH(export_calendar!AM224,light_colors!B:B,0)-1</f>
        <v>20</v>
      </c>
    </row>
    <row r="223" spans="1:8" x14ac:dyDescent="0.25">
      <c r="A223" s="1">
        <f>export_calendar!AI225</f>
        <v>2031</v>
      </c>
      <c r="B223" s="1">
        <f>export_calendar!AJ225</f>
        <v>12</v>
      </c>
      <c r="C223" s="1">
        <f>export_calendar!AK225</f>
        <v>28</v>
      </c>
      <c r="D223" t="str">
        <f>export_calendar!AP225</f>
        <v>Onnozele Kinderen</v>
      </c>
      <c r="E223" s="1">
        <f>export_calendar!AO225</f>
        <v>77</v>
      </c>
      <c r="F223">
        <f>MATCH(export_calendar!AL225,theme_boxes!C:C,0)-1</f>
        <v>10</v>
      </c>
      <c r="G223">
        <f>MATCH(export_calendar!AN225,light_patterns!B:B,0)-1</f>
        <v>26</v>
      </c>
      <c r="H223">
        <f>MATCH(export_calendar!AM225,light_colors!B:B,0)-1</f>
        <v>35</v>
      </c>
    </row>
    <row r="224" spans="1:8" x14ac:dyDescent="0.25">
      <c r="A224" s="1">
        <f>export_calendar!AI226</f>
        <v>2032</v>
      </c>
      <c r="B224" s="1">
        <f>export_calendar!AJ226</f>
        <v>1</v>
      </c>
      <c r="C224" s="1">
        <f>export_calendar!AK226</f>
        <v>1</v>
      </c>
      <c r="D224" t="str">
        <f>export_calendar!AP226</f>
        <v>Gelukkig Nieuwjaar</v>
      </c>
      <c r="E224" s="1">
        <f>export_calendar!AO226</f>
        <v>77</v>
      </c>
      <c r="F224">
        <f>MATCH(export_calendar!AL226,theme_boxes!C:C,0)-1</f>
        <v>24</v>
      </c>
      <c r="G224">
        <f>MATCH(export_calendar!AN226,light_patterns!B:B,0)-1</f>
        <v>2</v>
      </c>
      <c r="H224">
        <f>MATCH(export_calendar!AM226,light_colors!B:B,0)-1</f>
        <v>40</v>
      </c>
    </row>
    <row r="225" spans="1:8" x14ac:dyDescent="0.25">
      <c r="A225" s="1">
        <f>export_calendar!AI227</f>
        <v>2032</v>
      </c>
      <c r="B225" s="1">
        <f>export_calendar!AJ227</f>
        <v>1</v>
      </c>
      <c r="C225" s="1">
        <f>export_calendar!AK227</f>
        <v>13</v>
      </c>
      <c r="D225" t="str">
        <f>export_calendar!AP227</f>
        <v>Suikerfeest</v>
      </c>
      <c r="E225" s="1">
        <f>export_calendar!AO227</f>
        <v>168</v>
      </c>
      <c r="F225">
        <f>MATCH(export_calendar!AL227,theme_boxes!C:C,0)-1</f>
        <v>10</v>
      </c>
      <c r="G225">
        <f>MATCH(export_calendar!AN227,light_patterns!B:B,0)-1</f>
        <v>7</v>
      </c>
      <c r="H225">
        <f>MATCH(export_calendar!AM227,light_colors!B:B,0)-1</f>
        <v>1</v>
      </c>
    </row>
    <row r="226" spans="1:8" x14ac:dyDescent="0.25">
      <c r="A226" s="1">
        <f>export_calendar!AI228</f>
        <v>2032</v>
      </c>
      <c r="B226" s="1">
        <f>export_calendar!AJ228</f>
        <v>2</v>
      </c>
      <c r="C226" s="1">
        <f>export_calendar!AK228</f>
        <v>1</v>
      </c>
      <c r="D226" t="str">
        <f>export_calendar!AP228</f>
        <v>Eerste van de maand februari</v>
      </c>
      <c r="E226" s="1">
        <f>export_calendar!AO228</f>
        <v>249</v>
      </c>
      <c r="F226">
        <f>MATCH(export_calendar!AL228,theme_boxes!C:C,0)-1</f>
        <v>23</v>
      </c>
      <c r="G226">
        <f>MATCH(export_calendar!AN228,light_patterns!B:B,0)-1</f>
        <v>4</v>
      </c>
      <c r="H226">
        <f>MATCH(export_calendar!AM228,light_colors!B:B,0)-1</f>
        <v>7</v>
      </c>
    </row>
    <row r="227" spans="1:8" x14ac:dyDescent="0.25">
      <c r="A227" s="1">
        <f>export_calendar!AI229</f>
        <v>2032</v>
      </c>
      <c r="B227" s="1">
        <f>export_calendar!AJ229</f>
        <v>2</v>
      </c>
      <c r="C227" s="1">
        <f>export_calendar!AK229</f>
        <v>8</v>
      </c>
      <c r="D227" t="str">
        <f>export_calendar!AP229</f>
        <v>Carnaval, Keiebijters!!</v>
      </c>
      <c r="E227" s="1">
        <f>export_calendar!AO229</f>
        <v>101</v>
      </c>
      <c r="F227">
        <f>MATCH(export_calendar!AL229,theme_boxes!C:C,0)-1</f>
        <v>24</v>
      </c>
      <c r="G227">
        <f>MATCH(export_calendar!AN229,light_patterns!B:B,0)-1</f>
        <v>3</v>
      </c>
      <c r="H227">
        <f>MATCH(export_calendar!AM229,light_colors!B:B,0)-1</f>
        <v>7</v>
      </c>
    </row>
    <row r="228" spans="1:8" x14ac:dyDescent="0.25">
      <c r="A228" s="1">
        <f>export_calendar!AI230</f>
        <v>2032</v>
      </c>
      <c r="B228" s="1">
        <f>export_calendar!AJ230</f>
        <v>2</v>
      </c>
      <c r="C228" s="1">
        <f>export_calendar!AK230</f>
        <v>8</v>
      </c>
      <c r="D228" t="str">
        <f>export_calendar!AP230</f>
        <v>Carnaval, En deh hittie naw gedonn umdettie Hellemonder is</v>
      </c>
      <c r="E228" s="1">
        <f>export_calendar!AO230</f>
        <v>114</v>
      </c>
      <c r="F228">
        <f>MATCH(export_calendar!AL230,theme_boxes!C:C,0)-1</f>
        <v>24</v>
      </c>
      <c r="G228">
        <f>MATCH(export_calendar!AN230,light_patterns!B:B,0)-1</f>
        <v>3</v>
      </c>
      <c r="H228">
        <f>MATCH(export_calendar!AM230,light_colors!B:B,0)-1</f>
        <v>7</v>
      </c>
    </row>
    <row r="229" spans="1:8" x14ac:dyDescent="0.25">
      <c r="A229" s="1">
        <f>export_calendar!AI231</f>
        <v>2032</v>
      </c>
      <c r="B229" s="1">
        <f>export_calendar!AJ231</f>
        <v>2</v>
      </c>
      <c r="C229" s="1">
        <f>export_calendar!AK231</f>
        <v>9</v>
      </c>
      <c r="D229" t="str">
        <f>export_calendar!AP231</f>
        <v>RosenMoontach, Alaaf!!</v>
      </c>
      <c r="E229" s="1">
        <f>export_calendar!AO231</f>
        <v>103</v>
      </c>
      <c r="F229">
        <f>MATCH(export_calendar!AL231,theme_boxes!C:C,0)-1</f>
        <v>24</v>
      </c>
      <c r="G229">
        <f>MATCH(export_calendar!AN231,light_patterns!B:B,0)-1</f>
        <v>3</v>
      </c>
      <c r="H229">
        <f>MATCH(export_calendar!AM231,light_colors!B:B,0)-1</f>
        <v>7</v>
      </c>
    </row>
    <row r="230" spans="1:8" x14ac:dyDescent="0.25">
      <c r="A230" s="1">
        <f>export_calendar!AI232</f>
        <v>2032</v>
      </c>
      <c r="B230" s="1">
        <f>export_calendar!AJ232</f>
        <v>2</v>
      </c>
      <c r="C230" s="1">
        <f>export_calendar!AK232</f>
        <v>11</v>
      </c>
      <c r="D230" t="str">
        <f>export_calendar!AP232</f>
        <v>Aswoensdag ,  - het is  uit met de carnavalspret</v>
      </c>
      <c r="E230" s="1">
        <f>export_calendar!AO232</f>
        <v>265</v>
      </c>
      <c r="F230">
        <f>MATCH(export_calendar!AL232,theme_boxes!C:C,0)-1</f>
        <v>21</v>
      </c>
      <c r="G230">
        <f>MATCH(export_calendar!AN232,light_patterns!B:B,0)-1</f>
        <v>5</v>
      </c>
      <c r="H230">
        <f>MATCH(export_calendar!AM232,light_colors!B:B,0)-1</f>
        <v>21</v>
      </c>
    </row>
    <row r="231" spans="1:8" x14ac:dyDescent="0.25">
      <c r="A231" s="1">
        <f>export_calendar!AI233</f>
        <v>2032</v>
      </c>
      <c r="B231" s="1">
        <f>export_calendar!AJ233</f>
        <v>2</v>
      </c>
      <c r="C231" s="1">
        <f>export_calendar!AK233</f>
        <v>14</v>
      </c>
      <c r="D231" t="str">
        <f>export_calendar!AP233</f>
        <v>Valentijns en verlovingsdag</v>
      </c>
      <c r="E231" s="1">
        <f>export_calendar!AO233</f>
        <v>70</v>
      </c>
      <c r="F231">
        <f>MATCH(export_calendar!AL233,theme_boxes!C:C,0)-1</f>
        <v>24</v>
      </c>
      <c r="G231">
        <f>MATCH(export_calendar!AN233,light_patterns!B:B,0)-1</f>
        <v>6</v>
      </c>
      <c r="H231">
        <f>MATCH(export_calendar!AM233,light_colors!B:B,0)-1</f>
        <v>42</v>
      </c>
    </row>
    <row r="232" spans="1:8" x14ac:dyDescent="0.25">
      <c r="A232" s="1">
        <f>export_calendar!AI234</f>
        <v>2032</v>
      </c>
      <c r="B232" s="1">
        <f>export_calendar!AJ234</f>
        <v>3</v>
      </c>
      <c r="C232" s="1">
        <f>export_calendar!AK234</f>
        <v>1</v>
      </c>
      <c r="D232" t="str">
        <f>export_calendar!AP234</f>
        <v>Eerste van de maand maart</v>
      </c>
      <c r="E232" s="1">
        <f>export_calendar!AO234</f>
        <v>287</v>
      </c>
      <c r="F232">
        <f>MATCH(export_calendar!AL234,theme_boxes!C:C,0)-1</f>
        <v>23</v>
      </c>
      <c r="G232">
        <f>MATCH(export_calendar!AN234,light_patterns!B:B,0)-1</f>
        <v>4</v>
      </c>
      <c r="H232">
        <f>MATCH(export_calendar!AM234,light_colors!B:B,0)-1</f>
        <v>7</v>
      </c>
    </row>
    <row r="233" spans="1:8" x14ac:dyDescent="0.25">
      <c r="A233" s="1">
        <f>export_calendar!AI235</f>
        <v>2032</v>
      </c>
      <c r="B233" s="1">
        <f>export_calendar!AJ235</f>
        <v>3</v>
      </c>
      <c r="C233" s="1">
        <f>export_calendar!AK235</f>
        <v>14</v>
      </c>
      <c r="D233" t="str">
        <f>export_calendar!AP235</f>
        <v>piedag - drie komma een vier enzovoortsen nog meer decimalen</v>
      </c>
      <c r="E233" s="1">
        <f>export_calendar!AO235</f>
        <v>95</v>
      </c>
      <c r="F233">
        <f>MATCH(export_calendar!AL235,theme_boxes!C:C,0)-1</f>
        <v>9</v>
      </c>
      <c r="G233">
        <f>MATCH(export_calendar!AN235,light_patterns!B:B,0)-1</f>
        <v>28</v>
      </c>
      <c r="H233">
        <f>MATCH(export_calendar!AM235,light_colors!B:B,0)-1</f>
        <v>6</v>
      </c>
    </row>
    <row r="234" spans="1:8" x14ac:dyDescent="0.25">
      <c r="A234" s="1">
        <f>export_calendar!AI236</f>
        <v>2032</v>
      </c>
      <c r="B234" s="1">
        <f>export_calendar!AJ236</f>
        <v>3</v>
      </c>
      <c r="C234" s="1">
        <f>export_calendar!AK236</f>
        <v>21</v>
      </c>
      <c r="D234" t="str">
        <f>export_calendar!AP236</f>
        <v>Hartelijk gefeliciteerd,  Thomas</v>
      </c>
      <c r="E234" s="1">
        <f>export_calendar!AO236</f>
        <v>73</v>
      </c>
      <c r="F234">
        <f>MATCH(export_calendar!AL236,theme_boxes!C:C,0)-1</f>
        <v>15</v>
      </c>
      <c r="G234">
        <f>MATCH(export_calendar!AN236,light_patterns!B:B,0)-1</f>
        <v>3</v>
      </c>
      <c r="H234">
        <f>MATCH(export_calendar!AM236,light_colors!B:B,0)-1</f>
        <v>14</v>
      </c>
    </row>
    <row r="235" spans="1:8" x14ac:dyDescent="0.25">
      <c r="A235" s="1">
        <f>export_calendar!AI237</f>
        <v>2032</v>
      </c>
      <c r="B235" s="1">
        <f>export_calendar!AJ237</f>
        <v>3</v>
      </c>
      <c r="C235" s="1">
        <f>export_calendar!AK237</f>
        <v>26</v>
      </c>
      <c r="D235" t="str">
        <f>export_calendar!AP237</f>
        <v>Goede Vrijdag</v>
      </c>
      <c r="E235" s="1">
        <f>export_calendar!AO237</f>
        <v>258</v>
      </c>
      <c r="F235">
        <f>MATCH(export_calendar!AL237,theme_boxes!C:C,0)-1</f>
        <v>13</v>
      </c>
      <c r="G235">
        <f>MATCH(export_calendar!AN237,light_patterns!B:B,0)-1</f>
        <v>2</v>
      </c>
      <c r="H235">
        <f>MATCH(export_calendar!AM237,light_colors!B:B,0)-1</f>
        <v>13</v>
      </c>
    </row>
    <row r="236" spans="1:8" x14ac:dyDescent="0.25">
      <c r="A236" s="1">
        <f>export_calendar!AI238</f>
        <v>2032</v>
      </c>
      <c r="B236" s="1">
        <f>export_calendar!AJ238</f>
        <v>3</v>
      </c>
      <c r="C236" s="1">
        <f>export_calendar!AK238</f>
        <v>28</v>
      </c>
      <c r="D236" t="str">
        <f>export_calendar!AP238</f>
        <v>Vrolijk Pasen</v>
      </c>
      <c r="E236" s="1">
        <f>export_calendar!AO238</f>
        <v>86</v>
      </c>
      <c r="F236">
        <f>MATCH(export_calendar!AL238,theme_boxes!C:C,0)-1</f>
        <v>17</v>
      </c>
      <c r="G236">
        <f>MATCH(export_calendar!AN238,light_patterns!B:B,0)-1</f>
        <v>9</v>
      </c>
      <c r="H236">
        <f>MATCH(export_calendar!AM238,light_colors!B:B,0)-1</f>
        <v>5</v>
      </c>
    </row>
    <row r="237" spans="1:8" x14ac:dyDescent="0.25">
      <c r="A237" s="1">
        <f>export_calendar!AI239</f>
        <v>2032</v>
      </c>
      <c r="B237" s="1">
        <f>export_calendar!AJ239</f>
        <v>3</v>
      </c>
      <c r="C237" s="1">
        <f>export_calendar!AK239</f>
        <v>29</v>
      </c>
      <c r="D237" t="str">
        <f>export_calendar!AP239</f>
        <v>Tweede Paasdag</v>
      </c>
      <c r="E237" s="1">
        <f>export_calendar!AO239</f>
        <v>253</v>
      </c>
      <c r="F237">
        <f>MATCH(export_calendar!AL239,theme_boxes!C:C,0)-1</f>
        <v>17</v>
      </c>
      <c r="G237">
        <f>MATCH(export_calendar!AN239,light_patterns!B:B,0)-1</f>
        <v>13</v>
      </c>
      <c r="H237">
        <f>MATCH(export_calendar!AM239,light_colors!B:B,0)-1</f>
        <v>19</v>
      </c>
    </row>
    <row r="238" spans="1:8" x14ac:dyDescent="0.25">
      <c r="A238" s="1">
        <f>export_calendar!AI240</f>
        <v>2032</v>
      </c>
      <c r="B238" s="1">
        <f>export_calendar!AJ240</f>
        <v>4</v>
      </c>
      <c r="C238" s="1">
        <f>export_calendar!AK240</f>
        <v>1</v>
      </c>
      <c r="D238" t="str">
        <f>export_calendar!AP240</f>
        <v>Eerste van de maand april, een april, kikker in je bil!</v>
      </c>
      <c r="E238" s="1">
        <f>export_calendar!AO240</f>
        <v>265</v>
      </c>
      <c r="F238">
        <f>MATCH(export_calendar!AL240,theme_boxes!C:C,0)-1</f>
        <v>23</v>
      </c>
      <c r="G238">
        <f>MATCH(export_calendar!AN240,light_patterns!B:B,0)-1</f>
        <v>4</v>
      </c>
      <c r="H238">
        <f>MATCH(export_calendar!AM240,light_colors!B:B,0)-1</f>
        <v>7</v>
      </c>
    </row>
    <row r="239" spans="1:8" x14ac:dyDescent="0.25">
      <c r="A239" s="1">
        <f>export_calendar!AI241</f>
        <v>2032</v>
      </c>
      <c r="B239" s="1">
        <f>export_calendar!AJ241</f>
        <v>4</v>
      </c>
      <c r="C239" s="1">
        <f>export_calendar!AK241</f>
        <v>30</v>
      </c>
      <c r="D239" t="str">
        <f>export_calendar!AP241</f>
        <v>Hartelijk gefeliciteerd,  Paul</v>
      </c>
      <c r="E239" s="1">
        <f>export_calendar!AO241</f>
        <v>98</v>
      </c>
      <c r="F239">
        <f>MATCH(export_calendar!AL241,theme_boxes!C:C,0)-1</f>
        <v>15</v>
      </c>
      <c r="G239">
        <f>MATCH(export_calendar!AN241,light_patterns!B:B,0)-1</f>
        <v>3</v>
      </c>
      <c r="H239">
        <f>MATCH(export_calendar!AM241,light_colors!B:B,0)-1</f>
        <v>14</v>
      </c>
    </row>
    <row r="240" spans="1:8" x14ac:dyDescent="0.25">
      <c r="A240" s="1">
        <f>export_calendar!AI242</f>
        <v>2032</v>
      </c>
      <c r="B240" s="1">
        <f>export_calendar!AJ242</f>
        <v>5</v>
      </c>
      <c r="C240" s="1">
        <f>export_calendar!AK242</f>
        <v>1</v>
      </c>
      <c r="D240" t="str">
        <f>export_calendar!AP242</f>
        <v>Eerste van de maand mei- leggen alle vogeltjes een ei</v>
      </c>
      <c r="E240" s="1">
        <f>export_calendar!AO242</f>
        <v>202</v>
      </c>
      <c r="F240">
        <f>MATCH(export_calendar!AL242,theme_boxes!C:C,0)-1</f>
        <v>23</v>
      </c>
      <c r="G240">
        <f>MATCH(export_calendar!AN242,light_patterns!B:B,0)-1</f>
        <v>4</v>
      </c>
      <c r="H240">
        <f>MATCH(export_calendar!AM242,light_colors!B:B,0)-1</f>
        <v>7</v>
      </c>
    </row>
    <row r="241" spans="1:8" x14ac:dyDescent="0.25">
      <c r="A241" s="1">
        <f>export_calendar!AI243</f>
        <v>2032</v>
      </c>
      <c r="B241" s="1">
        <f>export_calendar!AJ243</f>
        <v>5</v>
      </c>
      <c r="C241" s="1">
        <f>export_calendar!AK243</f>
        <v>4</v>
      </c>
      <c r="D241" t="str">
        <f>export_calendar!AP243</f>
        <v>Dodenherdenking</v>
      </c>
      <c r="E241" s="1">
        <f>export_calendar!AO243</f>
        <v>102</v>
      </c>
      <c r="F241">
        <f>MATCH(export_calendar!AL243,theme_boxes!C:C,0)-1</f>
        <v>21</v>
      </c>
      <c r="G241">
        <f>MATCH(export_calendar!AN243,light_patterns!B:B,0)-1</f>
        <v>2</v>
      </c>
      <c r="H241">
        <f>MATCH(export_calendar!AM243,light_colors!B:B,0)-1</f>
        <v>31</v>
      </c>
    </row>
    <row r="242" spans="1:8" x14ac:dyDescent="0.25">
      <c r="A242" s="1">
        <f>export_calendar!AI244</f>
        <v>2032</v>
      </c>
      <c r="B242" s="1">
        <f>export_calendar!AJ244</f>
        <v>5</v>
      </c>
      <c r="C242" s="1">
        <f>export_calendar!AK244</f>
        <v>5</v>
      </c>
      <c r="D242" t="str">
        <f>export_calendar!AP244</f>
        <v>Bevrijdingsdag</v>
      </c>
      <c r="E242" s="1">
        <f>export_calendar!AO244</f>
        <v>64</v>
      </c>
      <c r="F242">
        <f>MATCH(export_calendar!AL244,theme_boxes!C:C,0)-1</f>
        <v>24</v>
      </c>
      <c r="G242">
        <f>MATCH(export_calendar!AN244,light_patterns!B:B,0)-1</f>
        <v>3</v>
      </c>
      <c r="H242">
        <f>MATCH(export_calendar!AM244,light_colors!B:B,0)-1</f>
        <v>3</v>
      </c>
    </row>
    <row r="243" spans="1:8" x14ac:dyDescent="0.25">
      <c r="A243" s="1">
        <f>export_calendar!AI245</f>
        <v>2032</v>
      </c>
      <c r="B243" s="1">
        <f>export_calendar!AJ245</f>
        <v>5</v>
      </c>
      <c r="C243" s="1">
        <f>export_calendar!AK245</f>
        <v>6</v>
      </c>
      <c r="D243" t="str">
        <f>export_calendar!AP245</f>
        <v>Hemelvaart</v>
      </c>
      <c r="E243" s="1">
        <f>export_calendar!AO245</f>
        <v>132</v>
      </c>
      <c r="F243">
        <f>MATCH(export_calendar!AL245,theme_boxes!C:C,0)-1</f>
        <v>11</v>
      </c>
      <c r="G243">
        <f>MATCH(export_calendar!AN245,light_patterns!B:B,0)-1</f>
        <v>2</v>
      </c>
      <c r="H243">
        <f>MATCH(export_calendar!AM245,light_colors!B:B,0)-1</f>
        <v>29</v>
      </c>
    </row>
    <row r="244" spans="1:8" x14ac:dyDescent="0.25">
      <c r="A244" s="1">
        <f>export_calendar!AI246</f>
        <v>2032</v>
      </c>
      <c r="B244" s="1">
        <f>export_calendar!AJ246</f>
        <v>5</v>
      </c>
      <c r="C244" s="1">
        <f>export_calendar!AK246</f>
        <v>10</v>
      </c>
      <c r="D244" t="str">
        <f>export_calendar!AP246</f>
        <v>Hartelijk gefeliciteerd,  Gaia</v>
      </c>
      <c r="E244" s="1">
        <f>export_calendar!AO246</f>
        <v>73</v>
      </c>
      <c r="F244">
        <f>MATCH(export_calendar!AL246,theme_boxes!C:C,0)-1</f>
        <v>15</v>
      </c>
      <c r="G244">
        <f>MATCH(export_calendar!AN246,light_patterns!B:B,0)-1</f>
        <v>3</v>
      </c>
      <c r="H244">
        <f>MATCH(export_calendar!AM246,light_colors!B:B,0)-1</f>
        <v>14</v>
      </c>
    </row>
    <row r="245" spans="1:8" x14ac:dyDescent="0.25">
      <c r="A245" s="1">
        <f>export_calendar!AI247</f>
        <v>2032</v>
      </c>
      <c r="B245" s="1">
        <f>export_calendar!AJ247</f>
        <v>5</v>
      </c>
      <c r="C245" s="1">
        <f>export_calendar!AK247</f>
        <v>16</v>
      </c>
      <c r="D245" t="str">
        <f>export_calendar!AP247</f>
        <v>Pinksteren,  - de Heilige Geest zien vliegen???</v>
      </c>
      <c r="E245" s="1">
        <f>export_calendar!AO247</f>
        <v>170</v>
      </c>
      <c r="F245">
        <f>MATCH(export_calendar!AL247,theme_boxes!C:C,0)-1</f>
        <v>4</v>
      </c>
      <c r="G245">
        <f>MATCH(export_calendar!AN247,light_patterns!B:B,0)-1</f>
        <v>4</v>
      </c>
      <c r="H245">
        <f>MATCH(export_calendar!AM247,light_colors!B:B,0)-1</f>
        <v>8</v>
      </c>
    </row>
    <row r="246" spans="1:8" x14ac:dyDescent="0.25">
      <c r="A246" s="1">
        <f>export_calendar!AI248</f>
        <v>2032</v>
      </c>
      <c r="B246" s="1">
        <f>export_calendar!AJ248</f>
        <v>5</v>
      </c>
      <c r="C246" s="1">
        <f>export_calendar!AK248</f>
        <v>17</v>
      </c>
      <c r="D246" t="str">
        <f>export_calendar!AP248</f>
        <v>Nog steeds Pinksteren,  - de Heilige Geest zien vliegen???</v>
      </c>
      <c r="E246" s="1">
        <f>export_calendar!AO248</f>
        <v>181</v>
      </c>
      <c r="F246">
        <f>MATCH(export_calendar!AL248,theme_boxes!C:C,0)-1</f>
        <v>4</v>
      </c>
      <c r="G246">
        <f>MATCH(export_calendar!AN248,light_patterns!B:B,0)-1</f>
        <v>4</v>
      </c>
      <c r="H246">
        <f>MATCH(export_calendar!AM248,light_colors!B:B,0)-1</f>
        <v>8</v>
      </c>
    </row>
    <row r="247" spans="1:8" x14ac:dyDescent="0.25">
      <c r="A247" s="1">
        <f>export_calendar!AI249</f>
        <v>2032</v>
      </c>
      <c r="B247" s="1">
        <f>export_calendar!AJ249</f>
        <v>6</v>
      </c>
      <c r="C247" s="1">
        <f>export_calendar!AK249</f>
        <v>1</v>
      </c>
      <c r="D247" t="str">
        <f>export_calendar!AP249</f>
        <v>Eerste van de maand juni</v>
      </c>
      <c r="E247" s="1">
        <f>export_calendar!AO249</f>
        <v>157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6</v>
      </c>
      <c r="C248" s="1">
        <f>export_calendar!AK250</f>
        <v>24</v>
      </c>
      <c r="D248" t="str">
        <f>export_calendar!AP250</f>
        <v>SintJan</v>
      </c>
      <c r="E248" s="1">
        <f>export_calendar!AO250</f>
        <v>61</v>
      </c>
      <c r="F248">
        <f>MATCH(export_calendar!AL250,theme_boxes!C:C,0)-1</f>
        <v>24</v>
      </c>
      <c r="G248">
        <f>MATCH(export_calendar!AN250,light_patterns!B:B,0)-1</f>
        <v>27</v>
      </c>
      <c r="H248">
        <f>MATCH(export_calendar!AM250,light_colors!B:B,0)-1</f>
        <v>5</v>
      </c>
    </row>
    <row r="249" spans="1:8" x14ac:dyDescent="0.25">
      <c r="A249" s="1">
        <f>export_calendar!AI251</f>
        <v>2032</v>
      </c>
      <c r="B249" s="1">
        <f>export_calendar!AJ251</f>
        <v>7</v>
      </c>
      <c r="C249" s="1">
        <f>export_calendar!AK251</f>
        <v>1</v>
      </c>
      <c r="D249" t="str">
        <f>export_calendar!AP251</f>
        <v>Eerste van de maand juli</v>
      </c>
      <c r="E249" s="1">
        <f>export_calendar!AO251</f>
        <v>171</v>
      </c>
      <c r="F249">
        <f>MATCH(export_calendar!AL251,theme_boxes!C:C,0)-1</f>
        <v>23</v>
      </c>
      <c r="G249">
        <f>MATCH(export_calendar!AN251,light_patterns!B:B,0)-1</f>
        <v>4</v>
      </c>
      <c r="H249">
        <f>MATCH(export_calendar!AM251,light_colors!B:B,0)-1</f>
        <v>7</v>
      </c>
    </row>
    <row r="250" spans="1:8" x14ac:dyDescent="0.25">
      <c r="A250" s="1">
        <f>export_calendar!AI252</f>
        <v>2032</v>
      </c>
      <c r="B250" s="1">
        <f>export_calendar!AJ252</f>
        <v>8</v>
      </c>
      <c r="C250" s="1">
        <f>export_calendar!AK252</f>
        <v>1</v>
      </c>
      <c r="D250" t="str">
        <f>export_calendar!AP252</f>
        <v>Eerste van de maand augustus</v>
      </c>
      <c r="E250" s="1">
        <f>export_calendar!AO252</f>
        <v>231</v>
      </c>
      <c r="F250">
        <f>MATCH(export_calendar!AL252,theme_boxes!C:C,0)-1</f>
        <v>23</v>
      </c>
      <c r="G250">
        <f>MATCH(export_calendar!AN252,light_patterns!B:B,0)-1</f>
        <v>4</v>
      </c>
      <c r="H250">
        <f>MATCH(export_calendar!AM252,light_colors!B:B,0)-1</f>
        <v>7</v>
      </c>
    </row>
    <row r="251" spans="1:8" x14ac:dyDescent="0.25">
      <c r="A251" s="1">
        <f>export_calendar!AI253</f>
        <v>2032</v>
      </c>
      <c r="B251" s="1">
        <f>export_calendar!AJ253</f>
        <v>9</v>
      </c>
      <c r="C251" s="1">
        <f>export_calendar!AK253</f>
        <v>1</v>
      </c>
      <c r="D251" t="str">
        <f>export_calendar!AP253</f>
        <v>Eerste van de maand september</v>
      </c>
      <c r="E251" s="1">
        <f>export_calendar!AO253</f>
        <v>282</v>
      </c>
      <c r="F251">
        <f>MATCH(export_calendar!AL253,theme_boxes!C:C,0)-1</f>
        <v>23</v>
      </c>
      <c r="G251">
        <f>MATCH(export_calendar!AN253,light_patterns!B:B,0)-1</f>
        <v>4</v>
      </c>
      <c r="H251">
        <f>MATCH(export_calendar!AM253,light_colors!B:B,0)-1</f>
        <v>7</v>
      </c>
    </row>
    <row r="252" spans="1:8" x14ac:dyDescent="0.25">
      <c r="A252" s="1">
        <f>export_calendar!AI254</f>
        <v>2032</v>
      </c>
      <c r="B252" s="1">
        <f>export_calendar!AJ254</f>
        <v>10</v>
      </c>
      <c r="C252" s="1">
        <f>export_calendar!AK254</f>
        <v>1</v>
      </c>
      <c r="D252" t="str">
        <f>export_calendar!AP254</f>
        <v>Eerste van de maand oktober</v>
      </c>
      <c r="E252" s="1">
        <f>export_calendar!AO254</f>
        <v>277</v>
      </c>
      <c r="F252">
        <f>MATCH(export_calendar!AL254,theme_boxes!C:C,0)-1</f>
        <v>23</v>
      </c>
      <c r="G252">
        <f>MATCH(export_calendar!AN254,light_patterns!B:B,0)-1</f>
        <v>4</v>
      </c>
      <c r="H252">
        <f>MATCH(export_calendar!AM254,light_colors!B:B,0)-1</f>
        <v>7</v>
      </c>
    </row>
    <row r="253" spans="1:8" x14ac:dyDescent="0.25">
      <c r="A253" s="1">
        <f>export_calendar!AI255</f>
        <v>2032</v>
      </c>
      <c r="B253" s="1">
        <f>export_calendar!AJ255</f>
        <v>10</v>
      </c>
      <c r="C253" s="1">
        <f>export_calendar!AK255</f>
        <v>8</v>
      </c>
      <c r="D253" t="str">
        <f>export_calendar!AP255</f>
        <v>Hartelijk gefeliciteerd,  Jan</v>
      </c>
      <c r="E253" s="1">
        <f>export_calendar!AO255</f>
        <v>105</v>
      </c>
      <c r="F253">
        <f>MATCH(export_calendar!AL255,theme_boxes!C:C,0)-1</f>
        <v>15</v>
      </c>
      <c r="G253">
        <f>MATCH(export_calendar!AN255,light_patterns!B:B,0)-1</f>
        <v>3</v>
      </c>
      <c r="H253">
        <f>MATCH(export_calendar!AM255,light_colors!B:B,0)-1</f>
        <v>14</v>
      </c>
    </row>
    <row r="254" spans="1:8" x14ac:dyDescent="0.25">
      <c r="A254" s="1">
        <f>export_calendar!AI256</f>
        <v>2032</v>
      </c>
      <c r="B254" s="1">
        <f>export_calendar!AJ256</f>
        <v>11</v>
      </c>
      <c r="C254" s="1">
        <f>export_calendar!AK256</f>
        <v>1</v>
      </c>
      <c r="D254" t="str">
        <f>export_calendar!AP256</f>
        <v>Eerste van de maand november</v>
      </c>
      <c r="E254" s="1">
        <f>export_calendar!AO256</f>
        <v>221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12</v>
      </c>
      <c r="C255" s="1">
        <f>export_calendar!AK257</f>
        <v>1</v>
      </c>
      <c r="D255" t="str">
        <f>export_calendar!AP257</f>
        <v>Eerste van de maand december</v>
      </c>
      <c r="E255" s="1">
        <f>export_calendar!AO257</f>
        <v>165</v>
      </c>
      <c r="F255">
        <f>MATCH(export_calendar!AL257,theme_boxes!C:C,0)-1</f>
        <v>23</v>
      </c>
      <c r="G255">
        <f>MATCH(export_calendar!AN257,light_patterns!B:B,0)-1</f>
        <v>4</v>
      </c>
      <c r="H255">
        <f>MATCH(export_calendar!AM257,light_colors!B:B,0)-1</f>
        <v>7</v>
      </c>
    </row>
    <row r="256" spans="1:8" x14ac:dyDescent="0.25">
      <c r="A256" s="1">
        <f>export_calendar!AI258</f>
        <v>2032</v>
      </c>
      <c r="B256" s="1">
        <f>export_calendar!AJ258</f>
        <v>12</v>
      </c>
      <c r="C256" s="1">
        <f>export_calendar!AK258</f>
        <v>5</v>
      </c>
      <c r="D256" t="str">
        <f>export_calendar!AP258</f>
        <v>Sinterklaas</v>
      </c>
      <c r="E256" s="1">
        <f>export_calendar!AO258</f>
        <v>113</v>
      </c>
      <c r="F256">
        <f>MATCH(export_calendar!AL258,theme_boxes!C:C,0)-1</f>
        <v>12</v>
      </c>
      <c r="G256">
        <f>MATCH(export_calendar!AN258,light_patterns!B:B,0)-1</f>
        <v>6</v>
      </c>
      <c r="H256">
        <f>MATCH(export_calendar!AM258,light_colors!B:B,0)-1</f>
        <v>28</v>
      </c>
    </row>
    <row r="257" spans="1:8" x14ac:dyDescent="0.25">
      <c r="A257" s="1">
        <f>export_calendar!AI259</f>
        <v>2032</v>
      </c>
      <c r="B257" s="1">
        <f>export_calendar!AJ259</f>
        <v>12</v>
      </c>
      <c r="C257" s="1">
        <f>export_calendar!AK259</f>
        <v>13</v>
      </c>
      <c r="D257" t="str">
        <f>export_calendar!AP259</f>
        <v>Hartelijk gefeliciteerd,  lieve Marit</v>
      </c>
      <c r="E257" s="1">
        <f>export_calendar!AO259</f>
        <v>114</v>
      </c>
      <c r="F257">
        <f>MATCH(export_calendar!AL259,theme_boxes!C:C,0)-1</f>
        <v>15</v>
      </c>
      <c r="G257">
        <f>MATCH(export_calendar!AN259,light_patterns!B:B,0)-1</f>
        <v>3</v>
      </c>
      <c r="H257">
        <f>MATCH(export_calendar!AM259,light_colors!B:B,0)-1</f>
        <v>14</v>
      </c>
    </row>
    <row r="258" spans="1:8" x14ac:dyDescent="0.25">
      <c r="A258" s="1">
        <f>export_calendar!AI260</f>
        <v>2032</v>
      </c>
      <c r="B258" s="1">
        <f>export_calendar!AJ260</f>
        <v>12</v>
      </c>
      <c r="C258" s="1">
        <f>export_calendar!AK260</f>
        <v>25</v>
      </c>
      <c r="D258" t="str">
        <f>export_calendar!AP260</f>
        <v>Vrolijk Kerstfeest</v>
      </c>
      <c r="E258" s="1">
        <f>export_calendar!AO260</f>
        <v>95</v>
      </c>
      <c r="F258">
        <f>MATCH(export_calendar!AL260,theme_boxes!C:C,0)-1</f>
        <v>8</v>
      </c>
      <c r="G258">
        <f>MATCH(export_calendar!AN260,light_patterns!B:B,0)-1</f>
        <v>26</v>
      </c>
      <c r="H258">
        <f>MATCH(export_calendar!AM260,light_colors!B:B,0)-1</f>
        <v>30</v>
      </c>
    </row>
    <row r="259" spans="1:8" x14ac:dyDescent="0.25">
      <c r="A259" s="1">
        <f>export_calendar!AI261</f>
        <v>2032</v>
      </c>
      <c r="B259" s="1">
        <f>export_calendar!AJ261</f>
        <v>12</v>
      </c>
      <c r="C259" s="1">
        <f>export_calendar!AK261</f>
        <v>26</v>
      </c>
      <c r="D259" t="str">
        <f>export_calendar!AP261</f>
        <v>Tweede Kerstdag</v>
      </c>
      <c r="E259" s="1">
        <f>export_calendar!AO261</f>
        <v>108</v>
      </c>
      <c r="F259">
        <f>MATCH(export_calendar!AL261,theme_boxes!C:C,0)-1</f>
        <v>8</v>
      </c>
      <c r="G259">
        <f>MATCH(export_calendar!AN261,light_patterns!B:B,0)-1</f>
        <v>5</v>
      </c>
      <c r="H259">
        <f>MATCH(export_calendar!AM261,light_colors!B:B,0)-1</f>
        <v>20</v>
      </c>
    </row>
    <row r="260" spans="1:8" x14ac:dyDescent="0.25">
      <c r="A260" s="1">
        <f>export_calendar!AI262</f>
        <v>2032</v>
      </c>
      <c r="B260" s="1">
        <f>export_calendar!AJ262</f>
        <v>12</v>
      </c>
      <c r="C260" s="1">
        <f>export_calendar!AK262</f>
        <v>28</v>
      </c>
      <c r="D260" t="str">
        <f>export_calendar!AP262</f>
        <v>Onnozele Kinderen</v>
      </c>
      <c r="E260" s="1">
        <f>export_calendar!AO262</f>
        <v>77</v>
      </c>
      <c r="F260">
        <f>MATCH(export_calendar!AL262,theme_boxes!C:C,0)-1</f>
        <v>10</v>
      </c>
      <c r="G260">
        <f>MATCH(export_calendar!AN262,light_patterns!B:B,0)-1</f>
        <v>26</v>
      </c>
      <c r="H260">
        <f>MATCH(export_calendar!AM262,light_colors!B:B,0)-1</f>
        <v>35</v>
      </c>
    </row>
    <row r="261" spans="1:8" x14ac:dyDescent="0.25">
      <c r="A261" s="1">
        <f>export_calendar!AI263</f>
        <v>2033</v>
      </c>
      <c r="B261" s="1">
        <f>export_calendar!AJ263</f>
        <v>1</v>
      </c>
      <c r="C261" s="1">
        <f>export_calendar!AK263</f>
        <v>1</v>
      </c>
      <c r="D261" t="str">
        <f>export_calendar!AP263</f>
        <v>Gelukkig Nieuwjaar</v>
      </c>
      <c r="E261" s="1">
        <f>export_calendar!AO263</f>
        <v>77</v>
      </c>
      <c r="F261">
        <f>MATCH(export_calendar!AL263,theme_boxes!C:C,0)-1</f>
        <v>24</v>
      </c>
      <c r="G261">
        <f>MATCH(export_calendar!AN263,light_patterns!B:B,0)-1</f>
        <v>2</v>
      </c>
      <c r="H261">
        <f>MATCH(export_calendar!AM263,light_colors!B:B,0)-1</f>
        <v>40</v>
      </c>
    </row>
    <row r="262" spans="1:8" x14ac:dyDescent="0.25">
      <c r="A262" s="1">
        <f>export_calendar!AI264</f>
        <v>2033</v>
      </c>
      <c r="B262" s="1">
        <f>export_calendar!AJ264</f>
        <v>2</v>
      </c>
      <c r="C262" s="1">
        <f>export_calendar!AK264</f>
        <v>1</v>
      </c>
      <c r="D262" t="str">
        <f>export_calendar!AP264</f>
        <v>Eerste van de maand februari</v>
      </c>
      <c r="E262" s="1">
        <f>export_calendar!AO264</f>
        <v>249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2033</v>
      </c>
      <c r="B263" s="1">
        <f>export_calendar!AJ265</f>
        <v>2</v>
      </c>
      <c r="C263" s="1">
        <f>export_calendar!AK265</f>
        <v>14</v>
      </c>
      <c r="D263" t="str">
        <f>export_calendar!AP265</f>
        <v>Valentijns en verlovingsdag</v>
      </c>
      <c r="E263" s="1">
        <f>export_calendar!AO265</f>
        <v>70</v>
      </c>
      <c r="F263">
        <f>MATCH(export_calendar!AL265,theme_boxes!C:C,0)-1</f>
        <v>24</v>
      </c>
      <c r="G263">
        <f>MATCH(export_calendar!AN265,light_patterns!B:B,0)-1</f>
        <v>6</v>
      </c>
      <c r="H263">
        <f>MATCH(export_calendar!AM265,light_colors!B:B,0)-1</f>
        <v>42</v>
      </c>
    </row>
    <row r="264" spans="1:8" x14ac:dyDescent="0.25">
      <c r="A264" s="1">
        <f>export_calendar!AI266</f>
        <v>2033</v>
      </c>
      <c r="B264" s="1">
        <f>export_calendar!AJ266</f>
        <v>2</v>
      </c>
      <c r="C264" s="1">
        <f>export_calendar!AK266</f>
        <v>27</v>
      </c>
      <c r="D264" t="str">
        <f>export_calendar!AP266</f>
        <v>Carnaval, En deh hittie naw gedonn umdettie Hellemonder is</v>
      </c>
      <c r="E264" s="1">
        <f>export_calendar!AO266</f>
        <v>83</v>
      </c>
      <c r="F264">
        <f>MATCH(export_calendar!AL266,theme_boxes!C:C,0)-1</f>
        <v>24</v>
      </c>
      <c r="G264">
        <f>MATCH(export_calendar!AN266,light_patterns!B:B,0)-1</f>
        <v>3</v>
      </c>
      <c r="H264">
        <f>MATCH(export_calendar!AM266,light_colors!B:B,0)-1</f>
        <v>7</v>
      </c>
    </row>
    <row r="265" spans="1:8" x14ac:dyDescent="0.25">
      <c r="A265" s="1">
        <f>export_calendar!AI267</f>
        <v>2033</v>
      </c>
      <c r="B265" s="1">
        <f>export_calendar!AJ267</f>
        <v>2</v>
      </c>
      <c r="C265" s="1">
        <f>export_calendar!AK267</f>
        <v>27</v>
      </c>
      <c r="D265" t="str">
        <f>export_calendar!AP267</f>
        <v>Carnaval, Agge mar leut heht</v>
      </c>
      <c r="E265" s="1">
        <f>export_calendar!AO267</f>
        <v>117</v>
      </c>
      <c r="F265">
        <f>MATCH(export_calendar!AL267,theme_boxes!C:C,0)-1</f>
        <v>24</v>
      </c>
      <c r="G265">
        <f>MATCH(export_calendar!AN267,light_patterns!B:B,0)-1</f>
        <v>3</v>
      </c>
      <c r="H265">
        <f>MATCH(export_calendar!AM267,light_colors!B:B,0)-1</f>
        <v>7</v>
      </c>
    </row>
    <row r="266" spans="1:8" x14ac:dyDescent="0.25">
      <c r="A266" s="1">
        <f>export_calendar!AI268</f>
        <v>2033</v>
      </c>
      <c r="B266" s="1">
        <f>export_calendar!AJ268</f>
        <v>2</v>
      </c>
      <c r="C266" s="1">
        <f>export_calendar!AK268</f>
        <v>28</v>
      </c>
      <c r="D266" t="str">
        <f>export_calendar!AP268</f>
        <v>RosenMoontach, Keiebijters!!</v>
      </c>
      <c r="E266" s="1">
        <f>export_calendar!AO268</f>
        <v>89</v>
      </c>
      <c r="F266">
        <f>MATCH(export_calendar!AL268,theme_boxes!C:C,0)-1</f>
        <v>24</v>
      </c>
      <c r="G266">
        <f>MATCH(export_calendar!AN268,light_patterns!B:B,0)-1</f>
        <v>3</v>
      </c>
      <c r="H266">
        <f>MATCH(export_calendar!AM268,light_colors!B:B,0)-1</f>
        <v>7</v>
      </c>
    </row>
    <row r="267" spans="1:8" x14ac:dyDescent="0.25">
      <c r="A267" s="1">
        <f>export_calendar!AI269</f>
        <v>2033</v>
      </c>
      <c r="B267" s="1">
        <f>export_calendar!AJ269</f>
        <v>3</v>
      </c>
      <c r="C267" s="1">
        <f>export_calendar!AK269</f>
        <v>1</v>
      </c>
      <c r="D267" t="str">
        <f>export_calendar!AP269</f>
        <v>Eerste van de maand maart</v>
      </c>
      <c r="E267" s="1">
        <f>export_calendar!AO269</f>
        <v>287</v>
      </c>
      <c r="F267">
        <f>MATCH(export_calendar!AL269,theme_boxes!C:C,0)-1</f>
        <v>23</v>
      </c>
      <c r="G267">
        <f>MATCH(export_calendar!AN269,light_patterns!B:B,0)-1</f>
        <v>4</v>
      </c>
      <c r="H267">
        <f>MATCH(export_calendar!AM269,light_colors!B:B,0)-1</f>
        <v>7</v>
      </c>
    </row>
    <row r="268" spans="1:8" x14ac:dyDescent="0.25">
      <c r="A268" s="1">
        <f>export_calendar!AI270</f>
        <v>2033</v>
      </c>
      <c r="B268" s="1">
        <f>export_calendar!AJ270</f>
        <v>3</v>
      </c>
      <c r="C268" s="1">
        <f>export_calendar!AK270</f>
        <v>2</v>
      </c>
      <c r="D268" t="str">
        <f>export_calendar!AP270</f>
        <v>Aswoensdag ,  - en dan nu: vasten</v>
      </c>
      <c r="E268" s="1">
        <f>export_calendar!AO270</f>
        <v>239</v>
      </c>
      <c r="F268">
        <f>MATCH(export_calendar!AL270,theme_boxes!C:C,0)-1</f>
        <v>21</v>
      </c>
      <c r="G268">
        <f>MATCH(export_calendar!AN270,light_patterns!B:B,0)-1</f>
        <v>5</v>
      </c>
      <c r="H268">
        <f>MATCH(export_calendar!AM270,light_colors!B:B,0)-1</f>
        <v>21</v>
      </c>
    </row>
    <row r="269" spans="1:8" x14ac:dyDescent="0.25">
      <c r="A269" s="1">
        <f>export_calendar!AI271</f>
        <v>2033</v>
      </c>
      <c r="B269" s="1">
        <f>export_calendar!AJ271</f>
        <v>3</v>
      </c>
      <c r="C269" s="1">
        <f>export_calendar!AK271</f>
        <v>14</v>
      </c>
      <c r="D269" t="str">
        <f>export_calendar!AP271</f>
        <v>piedag - drie komma een vier enzovoortsen nog meer decimalen</v>
      </c>
      <c r="E269" s="1">
        <f>export_calendar!AO271</f>
        <v>95</v>
      </c>
      <c r="F269">
        <f>MATCH(export_calendar!AL271,theme_boxes!C:C,0)-1</f>
        <v>9</v>
      </c>
      <c r="G269">
        <f>MATCH(export_calendar!AN271,light_patterns!B:B,0)-1</f>
        <v>28</v>
      </c>
      <c r="H269">
        <f>MATCH(export_calendar!AM271,light_colors!B:B,0)-1</f>
        <v>6</v>
      </c>
    </row>
    <row r="270" spans="1:8" x14ac:dyDescent="0.25">
      <c r="A270" s="1">
        <f>export_calendar!AI272</f>
        <v>2033</v>
      </c>
      <c r="B270" s="1">
        <f>export_calendar!AJ272</f>
        <v>3</v>
      </c>
      <c r="C270" s="1">
        <f>export_calendar!AK272</f>
        <v>21</v>
      </c>
      <c r="D270" t="str">
        <f>export_calendar!AP272</f>
        <v>Hartelijk gefeliciteerd,  Thomas</v>
      </c>
      <c r="E270" s="1">
        <f>export_calendar!AO272</f>
        <v>73</v>
      </c>
      <c r="F270">
        <f>MATCH(export_calendar!AL272,theme_boxes!C:C,0)-1</f>
        <v>15</v>
      </c>
      <c r="G270">
        <f>MATCH(export_calendar!AN272,light_patterns!B:B,0)-1</f>
        <v>3</v>
      </c>
      <c r="H270">
        <f>MATCH(export_calendar!AM272,light_colors!B:B,0)-1</f>
        <v>14</v>
      </c>
    </row>
    <row r="271" spans="1:8" x14ac:dyDescent="0.25">
      <c r="A271" s="1">
        <f>export_calendar!AI273</f>
        <v>2033</v>
      </c>
      <c r="B271" s="1">
        <f>export_calendar!AJ273</f>
        <v>4</v>
      </c>
      <c r="C271" s="1">
        <f>export_calendar!AK273</f>
        <v>1</v>
      </c>
      <c r="D271" t="str">
        <f>export_calendar!AP273</f>
        <v>Eerste van de maand april, een april, kikker in je bil!</v>
      </c>
      <c r="E271" s="1">
        <f>export_calendar!AO273</f>
        <v>265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4</v>
      </c>
      <c r="C272" s="1">
        <f>export_calendar!AK274</f>
        <v>15</v>
      </c>
      <c r="D272" t="str">
        <f>export_calendar!AP274</f>
        <v>Goede Vrijdag, holadiejee</v>
      </c>
      <c r="E272" s="1">
        <f>export_calendar!AO274</f>
        <v>213</v>
      </c>
      <c r="F272">
        <f>MATCH(export_calendar!AL274,theme_boxes!C:C,0)-1</f>
        <v>13</v>
      </c>
      <c r="G272">
        <f>MATCH(export_calendar!AN274,light_patterns!B:B,0)-1</f>
        <v>2</v>
      </c>
      <c r="H272">
        <f>MATCH(export_calendar!AM274,light_colors!B:B,0)-1</f>
        <v>13</v>
      </c>
    </row>
    <row r="273" spans="1:8" x14ac:dyDescent="0.25">
      <c r="A273" s="1">
        <f>export_calendar!AI275</f>
        <v>2033</v>
      </c>
      <c r="B273" s="1">
        <f>export_calendar!AJ275</f>
        <v>4</v>
      </c>
      <c r="C273" s="1">
        <f>export_calendar!AK275</f>
        <v>17</v>
      </c>
      <c r="D273" t="str">
        <f>export_calendar!AP275</f>
        <v>Vrolijk Pasen</v>
      </c>
      <c r="E273" s="1">
        <f>export_calendar!AO275</f>
        <v>95</v>
      </c>
      <c r="F273">
        <f>MATCH(export_calendar!AL275,theme_boxes!C:C,0)-1</f>
        <v>17</v>
      </c>
      <c r="G273">
        <f>MATCH(export_calendar!AN275,light_patterns!B:B,0)-1</f>
        <v>9</v>
      </c>
      <c r="H273">
        <f>MATCH(export_calendar!AM275,light_colors!B:B,0)-1</f>
        <v>5</v>
      </c>
    </row>
    <row r="274" spans="1:8" x14ac:dyDescent="0.25">
      <c r="A274" s="1">
        <f>export_calendar!AI276</f>
        <v>2033</v>
      </c>
      <c r="B274" s="1">
        <f>export_calendar!AJ276</f>
        <v>4</v>
      </c>
      <c r="C274" s="1">
        <f>export_calendar!AK276</f>
        <v>18</v>
      </c>
      <c r="D274" t="str">
        <f>export_calendar!AP276</f>
        <v>Tweede Paasdag, waar is de paashaas??</v>
      </c>
      <c r="E274" s="1">
        <f>export_calendar!AO276</f>
        <v>260</v>
      </c>
      <c r="F274">
        <f>MATCH(export_calendar!AL276,theme_boxes!C:C,0)-1</f>
        <v>17</v>
      </c>
      <c r="G274">
        <f>MATCH(export_calendar!AN276,light_patterns!B:B,0)-1</f>
        <v>13</v>
      </c>
      <c r="H274">
        <f>MATCH(export_calendar!AM276,light_colors!B:B,0)-1</f>
        <v>19</v>
      </c>
    </row>
    <row r="275" spans="1:8" x14ac:dyDescent="0.25">
      <c r="A275" s="1">
        <f>export_calendar!AI277</f>
        <v>2033</v>
      </c>
      <c r="B275" s="1">
        <f>export_calendar!AJ277</f>
        <v>4</v>
      </c>
      <c r="C275" s="1">
        <f>export_calendar!AK277</f>
        <v>30</v>
      </c>
      <c r="D275" t="str">
        <f>export_calendar!AP277</f>
        <v>Hartelijk gefeliciteerd,  Paul</v>
      </c>
      <c r="E275" s="1">
        <f>export_calendar!AO277</f>
        <v>98</v>
      </c>
      <c r="F275">
        <f>MATCH(export_calendar!AL277,theme_boxes!C:C,0)-1</f>
        <v>15</v>
      </c>
      <c r="G275">
        <f>MATCH(export_calendar!AN277,light_patterns!B:B,0)-1</f>
        <v>3</v>
      </c>
      <c r="H275">
        <f>MATCH(export_calendar!AM277,light_colors!B:B,0)-1</f>
        <v>14</v>
      </c>
    </row>
    <row r="276" spans="1:8" x14ac:dyDescent="0.25">
      <c r="A276" s="1">
        <f>export_calendar!AI278</f>
        <v>2033</v>
      </c>
      <c r="B276" s="1">
        <f>export_calendar!AJ278</f>
        <v>5</v>
      </c>
      <c r="C276" s="1">
        <f>export_calendar!AK278</f>
        <v>1</v>
      </c>
      <c r="D276" t="str">
        <f>export_calendar!AP278</f>
        <v>Eerste van de maand mei- leggen alle vogeltjes een ei</v>
      </c>
      <c r="E276" s="1">
        <f>export_calendar!AO278</f>
        <v>202</v>
      </c>
      <c r="F276">
        <f>MATCH(export_calendar!AL278,theme_boxes!C:C,0)-1</f>
        <v>23</v>
      </c>
      <c r="G276">
        <f>MATCH(export_calendar!AN278,light_patterns!B:B,0)-1</f>
        <v>4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5</v>
      </c>
      <c r="C277" s="1">
        <f>export_calendar!AK279</f>
        <v>4</v>
      </c>
      <c r="D277" t="str">
        <f>export_calendar!AP279</f>
        <v>Dodenherdenking</v>
      </c>
      <c r="E277" s="1">
        <f>export_calendar!AO279</f>
        <v>102</v>
      </c>
      <c r="F277">
        <f>MATCH(export_calendar!AL279,theme_boxes!C:C,0)-1</f>
        <v>21</v>
      </c>
      <c r="G277">
        <f>MATCH(export_calendar!AN279,light_patterns!B:B,0)-1</f>
        <v>2</v>
      </c>
      <c r="H277">
        <f>MATCH(export_calendar!AM279,light_colors!B:B,0)-1</f>
        <v>31</v>
      </c>
    </row>
    <row r="278" spans="1:8" x14ac:dyDescent="0.25">
      <c r="A278" s="1">
        <f>export_calendar!AI280</f>
        <v>2033</v>
      </c>
      <c r="B278" s="1">
        <f>export_calendar!AJ280</f>
        <v>5</v>
      </c>
      <c r="C278" s="1">
        <f>export_calendar!AK280</f>
        <v>5</v>
      </c>
      <c r="D278" t="str">
        <f>export_calendar!AP280</f>
        <v>Bevrijdingsdag</v>
      </c>
      <c r="E278" s="1">
        <f>export_calendar!AO280</f>
        <v>64</v>
      </c>
      <c r="F278">
        <f>MATCH(export_calendar!AL280,theme_boxes!C:C,0)-1</f>
        <v>24</v>
      </c>
      <c r="G278">
        <f>MATCH(export_calendar!AN280,light_patterns!B:B,0)-1</f>
        <v>3</v>
      </c>
      <c r="H278">
        <f>MATCH(export_calendar!AM280,light_colors!B:B,0)-1</f>
        <v>3</v>
      </c>
    </row>
    <row r="279" spans="1:8" x14ac:dyDescent="0.25">
      <c r="A279" s="1">
        <f>export_calendar!AI281</f>
        <v>2033</v>
      </c>
      <c r="B279" s="1">
        <f>export_calendar!AJ281</f>
        <v>5</v>
      </c>
      <c r="C279" s="1">
        <f>export_calendar!AK281</f>
        <v>10</v>
      </c>
      <c r="D279" t="str">
        <f>export_calendar!AP281</f>
        <v>Hartelijk gefeliciteerd,  Gaia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5</v>
      </c>
      <c r="C280" s="1">
        <f>export_calendar!AK282</f>
        <v>26</v>
      </c>
      <c r="D280" t="str">
        <f>export_calendar!AP282</f>
        <v>Hemelvaart</v>
      </c>
      <c r="E280" s="1">
        <f>export_calendar!AO282</f>
        <v>127</v>
      </c>
      <c r="F280">
        <f>MATCH(export_calendar!AL282,theme_boxes!C:C,0)-1</f>
        <v>11</v>
      </c>
      <c r="G280">
        <f>MATCH(export_calendar!AN282,light_patterns!B:B,0)-1</f>
        <v>2</v>
      </c>
      <c r="H280">
        <f>MATCH(export_calendar!AM282,light_colors!B:B,0)-1</f>
        <v>29</v>
      </c>
    </row>
    <row r="281" spans="1:8" x14ac:dyDescent="0.25">
      <c r="A281" s="1">
        <f>export_calendar!AI283</f>
        <v>2033</v>
      </c>
      <c r="B281" s="1">
        <f>export_calendar!AJ283</f>
        <v>6</v>
      </c>
      <c r="C281" s="1">
        <f>export_calendar!AK283</f>
        <v>1</v>
      </c>
      <c r="D281" t="str">
        <f>export_calendar!AP283</f>
        <v>Eerste van de maand juni</v>
      </c>
      <c r="E281" s="1">
        <f>export_calendar!AO283</f>
        <v>157</v>
      </c>
      <c r="F281">
        <f>MATCH(export_calendar!AL283,theme_boxes!C:C,0)-1</f>
        <v>23</v>
      </c>
      <c r="G281">
        <f>MATCH(export_calendar!AN283,light_patterns!B:B,0)-1</f>
        <v>4</v>
      </c>
      <c r="H281">
        <f>MATCH(export_calendar!AM283,light_colors!B:B,0)-1</f>
        <v>7</v>
      </c>
    </row>
    <row r="282" spans="1:8" x14ac:dyDescent="0.25">
      <c r="A282" s="1">
        <f>export_calendar!AI284</f>
        <v>2033</v>
      </c>
      <c r="B282" s="1">
        <f>export_calendar!AJ284</f>
        <v>6</v>
      </c>
      <c r="C282" s="1">
        <f>export_calendar!AK284</f>
        <v>5</v>
      </c>
      <c r="D282" t="str">
        <f>export_calendar!AP284</f>
        <v>Pinksteren</v>
      </c>
      <c r="E282" s="1">
        <f>export_calendar!AO284</f>
        <v>145</v>
      </c>
      <c r="F282">
        <f>MATCH(export_calendar!AL284,theme_boxes!C:C,0)-1</f>
        <v>4</v>
      </c>
      <c r="G282">
        <f>MATCH(export_calendar!AN284,light_patterns!B:B,0)-1</f>
        <v>4</v>
      </c>
      <c r="H282">
        <f>MATCH(export_calendar!AM284,light_colors!B:B,0)-1</f>
        <v>8</v>
      </c>
    </row>
    <row r="283" spans="1:8" x14ac:dyDescent="0.25">
      <c r="A283" s="1">
        <f>export_calendar!AI285</f>
        <v>2033</v>
      </c>
      <c r="B283" s="1">
        <f>export_calendar!AJ285</f>
        <v>6</v>
      </c>
      <c r="C283" s="1">
        <f>export_calendar!AK285</f>
        <v>6</v>
      </c>
      <c r="D283" t="str">
        <f>export_calendar!AP285</f>
        <v>Nog steeds Pinksteren</v>
      </c>
      <c r="E283" s="1">
        <f>export_calendar!AO285</f>
        <v>169</v>
      </c>
      <c r="F283">
        <f>MATCH(export_calendar!AL285,theme_boxes!C:C,0)-1</f>
        <v>4</v>
      </c>
      <c r="G283">
        <f>MATCH(export_calendar!AN285,light_patterns!B:B,0)-1</f>
        <v>4</v>
      </c>
      <c r="H283">
        <f>MATCH(export_calendar!AM285,light_colors!B:B,0)-1</f>
        <v>8</v>
      </c>
    </row>
    <row r="284" spans="1:8" x14ac:dyDescent="0.25">
      <c r="A284" s="1">
        <f>export_calendar!AI286</f>
        <v>2033</v>
      </c>
      <c r="B284" s="1">
        <f>export_calendar!AJ286</f>
        <v>6</v>
      </c>
      <c r="C284" s="1">
        <f>export_calendar!AK286</f>
        <v>24</v>
      </c>
      <c r="D284" t="str">
        <f>export_calendar!AP286</f>
        <v>SintJan</v>
      </c>
      <c r="E284" s="1">
        <f>export_calendar!AO286</f>
        <v>61</v>
      </c>
      <c r="F284">
        <f>MATCH(export_calendar!AL286,theme_boxes!C:C,0)-1</f>
        <v>24</v>
      </c>
      <c r="G284">
        <f>MATCH(export_calendar!AN286,light_patterns!B:B,0)-1</f>
        <v>27</v>
      </c>
      <c r="H284">
        <f>MATCH(export_calendar!AM286,light_colors!B:B,0)-1</f>
        <v>5</v>
      </c>
    </row>
    <row r="285" spans="1:8" x14ac:dyDescent="0.25">
      <c r="A285" s="1">
        <f>export_calendar!AI287</f>
        <v>2033</v>
      </c>
      <c r="B285" s="1">
        <f>export_calendar!AJ287</f>
        <v>7</v>
      </c>
      <c r="C285" s="1">
        <f>export_calendar!AK287</f>
        <v>1</v>
      </c>
      <c r="D285" t="str">
        <f>export_calendar!AP287</f>
        <v>Eerste van de maand juli</v>
      </c>
      <c r="E285" s="1">
        <f>export_calendar!AO287</f>
        <v>171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8</v>
      </c>
      <c r="C286" s="1">
        <f>export_calendar!AK288</f>
        <v>1</v>
      </c>
      <c r="D286" t="str">
        <f>export_calendar!AP288</f>
        <v>Eerste van de maand augustus</v>
      </c>
      <c r="E286" s="1">
        <f>export_calendar!AO288</f>
        <v>231</v>
      </c>
      <c r="F286">
        <f>MATCH(export_calendar!AL288,theme_boxes!C:C,0)-1</f>
        <v>23</v>
      </c>
      <c r="G286">
        <f>MATCH(export_calendar!AN288,light_patterns!B:B,0)-1</f>
        <v>4</v>
      </c>
      <c r="H286">
        <f>MATCH(export_calendar!AM288,light_colors!B:B,0)-1</f>
        <v>7</v>
      </c>
    </row>
    <row r="287" spans="1:8" x14ac:dyDescent="0.25">
      <c r="A287" s="1">
        <f>export_calendar!AI289</f>
        <v>2033</v>
      </c>
      <c r="B287" s="1">
        <f>export_calendar!AJ289</f>
        <v>9</v>
      </c>
      <c r="C287" s="1">
        <f>export_calendar!AK289</f>
        <v>1</v>
      </c>
      <c r="D287" t="str">
        <f>export_calendar!AP289</f>
        <v>Eerste van de maand september</v>
      </c>
      <c r="E287" s="1">
        <f>export_calendar!AO289</f>
        <v>282</v>
      </c>
      <c r="F287">
        <f>MATCH(export_calendar!AL289,theme_boxes!C:C,0)-1</f>
        <v>23</v>
      </c>
      <c r="G287">
        <f>MATCH(export_calendar!AN289,light_patterns!B:B,0)-1</f>
        <v>4</v>
      </c>
      <c r="H287">
        <f>MATCH(export_calendar!AM289,light_colors!B:B,0)-1</f>
        <v>7</v>
      </c>
    </row>
    <row r="288" spans="1:8" x14ac:dyDescent="0.25">
      <c r="A288" s="1">
        <f>export_calendar!AI290</f>
        <v>2033</v>
      </c>
      <c r="B288" s="1">
        <f>export_calendar!AJ290</f>
        <v>10</v>
      </c>
      <c r="C288" s="1">
        <f>export_calendar!AK290</f>
        <v>1</v>
      </c>
      <c r="D288" t="str">
        <f>export_calendar!AP290</f>
        <v>Eerste van de maand oktober</v>
      </c>
      <c r="E288" s="1">
        <f>export_calendar!AO290</f>
        <v>277</v>
      </c>
      <c r="F288">
        <f>MATCH(export_calendar!AL290,theme_boxes!C:C,0)-1</f>
        <v>23</v>
      </c>
      <c r="G288">
        <f>MATCH(export_calendar!AN290,light_patterns!B:B,0)-1</f>
        <v>4</v>
      </c>
      <c r="H288">
        <f>MATCH(export_calendar!AM290,light_colors!B:B,0)-1</f>
        <v>7</v>
      </c>
    </row>
    <row r="289" spans="1:8" x14ac:dyDescent="0.25">
      <c r="A289" s="1">
        <f>export_calendar!AI291</f>
        <v>2033</v>
      </c>
      <c r="B289" s="1">
        <f>export_calendar!AJ291</f>
        <v>10</v>
      </c>
      <c r="C289" s="1">
        <f>export_calendar!AK291</f>
        <v>8</v>
      </c>
      <c r="D289" t="str">
        <f>export_calendar!AP291</f>
        <v>Hartelijk gefeliciteerd,  Jan</v>
      </c>
      <c r="E289" s="1">
        <f>export_calendar!AO291</f>
        <v>105</v>
      </c>
      <c r="F289">
        <f>MATCH(export_calendar!AL291,theme_boxes!C:C,0)-1</f>
        <v>15</v>
      </c>
      <c r="G289">
        <f>MATCH(export_calendar!AN291,light_patterns!B:B,0)-1</f>
        <v>3</v>
      </c>
      <c r="H289">
        <f>MATCH(export_calendar!AM291,light_colors!B:B,0)-1</f>
        <v>14</v>
      </c>
    </row>
    <row r="290" spans="1:8" x14ac:dyDescent="0.25">
      <c r="A290" s="1">
        <f>export_calendar!AI292</f>
        <v>2033</v>
      </c>
      <c r="B290" s="1">
        <f>export_calendar!AJ292</f>
        <v>11</v>
      </c>
      <c r="C290" s="1">
        <f>export_calendar!AK292</f>
        <v>1</v>
      </c>
      <c r="D290" t="str">
        <f>export_calendar!AP292</f>
        <v>Eerste van de maand november</v>
      </c>
      <c r="E290" s="1">
        <f>export_calendar!AO292</f>
        <v>221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12</v>
      </c>
      <c r="C291" s="1">
        <f>export_calendar!AK293</f>
        <v>1</v>
      </c>
      <c r="D291" t="str">
        <f>export_calendar!AP293</f>
        <v>Eerste van de maand december</v>
      </c>
      <c r="E291" s="1">
        <f>export_calendar!AO293</f>
        <v>165</v>
      </c>
      <c r="F291">
        <f>MATCH(export_calendar!AL293,theme_boxes!C:C,0)-1</f>
        <v>23</v>
      </c>
      <c r="G291">
        <f>MATCH(export_calendar!AN293,light_patterns!B:B,0)-1</f>
        <v>4</v>
      </c>
      <c r="H291">
        <f>MATCH(export_calendar!AM293,light_colors!B:B,0)-1</f>
        <v>7</v>
      </c>
    </row>
    <row r="292" spans="1:8" x14ac:dyDescent="0.25">
      <c r="A292" s="1">
        <f>export_calendar!AI294</f>
        <v>2033</v>
      </c>
      <c r="B292" s="1">
        <f>export_calendar!AJ294</f>
        <v>12</v>
      </c>
      <c r="C292" s="1">
        <f>export_calendar!AK294</f>
        <v>5</v>
      </c>
      <c r="D292" t="str">
        <f>export_calendar!AP294</f>
        <v>Sinterklaas</v>
      </c>
      <c r="E292" s="1">
        <f>export_calendar!AO294</f>
        <v>113</v>
      </c>
      <c r="F292">
        <f>MATCH(export_calendar!AL294,theme_boxes!C:C,0)-1</f>
        <v>12</v>
      </c>
      <c r="G292">
        <f>MATCH(export_calendar!AN294,light_patterns!B:B,0)-1</f>
        <v>6</v>
      </c>
      <c r="H292">
        <f>MATCH(export_calendar!AM294,light_colors!B:B,0)-1</f>
        <v>28</v>
      </c>
    </row>
    <row r="293" spans="1:8" x14ac:dyDescent="0.25">
      <c r="A293" s="1">
        <f>export_calendar!AI295</f>
        <v>2033</v>
      </c>
      <c r="B293" s="1">
        <f>export_calendar!AJ295</f>
        <v>12</v>
      </c>
      <c r="C293" s="1">
        <f>export_calendar!AK295</f>
        <v>13</v>
      </c>
      <c r="D293" t="str">
        <f>export_calendar!AP295</f>
        <v>Hartelijk gefeliciteerd,  lieve Marit</v>
      </c>
      <c r="E293" s="1">
        <f>export_calendar!AO295</f>
        <v>114</v>
      </c>
      <c r="F293">
        <f>MATCH(export_calendar!AL295,theme_boxes!C:C,0)-1</f>
        <v>15</v>
      </c>
      <c r="G293">
        <f>MATCH(export_calendar!AN295,light_patterns!B:B,0)-1</f>
        <v>3</v>
      </c>
      <c r="H293">
        <f>MATCH(export_calendar!AM295,light_colors!B:B,0)-1</f>
        <v>14</v>
      </c>
    </row>
    <row r="294" spans="1:8" x14ac:dyDescent="0.25">
      <c r="A294" s="1">
        <f>export_calendar!AI296</f>
        <v>2033</v>
      </c>
      <c r="B294" s="1">
        <f>export_calendar!AJ296</f>
        <v>12</v>
      </c>
      <c r="C294" s="1">
        <f>export_calendar!AK296</f>
        <v>25</v>
      </c>
      <c r="D294" t="str">
        <f>export_calendar!AP296</f>
        <v>Vrolijk Kerstfeest</v>
      </c>
      <c r="E294" s="1">
        <f>export_calendar!AO296</f>
        <v>95</v>
      </c>
      <c r="F294">
        <f>MATCH(export_calendar!AL296,theme_boxes!C:C,0)-1</f>
        <v>8</v>
      </c>
      <c r="G294">
        <f>MATCH(export_calendar!AN296,light_patterns!B:B,0)-1</f>
        <v>26</v>
      </c>
      <c r="H294">
        <f>MATCH(export_calendar!AM296,light_colors!B:B,0)-1</f>
        <v>30</v>
      </c>
    </row>
    <row r="295" spans="1:8" x14ac:dyDescent="0.25">
      <c r="A295" s="1">
        <f>export_calendar!AI297</f>
        <v>2033</v>
      </c>
      <c r="B295" s="1">
        <f>export_calendar!AJ297</f>
        <v>12</v>
      </c>
      <c r="C295" s="1">
        <f>export_calendar!AK297</f>
        <v>26</v>
      </c>
      <c r="D295" t="str">
        <f>export_calendar!AP297</f>
        <v>Tweede Kerstdag</v>
      </c>
      <c r="E295" s="1">
        <f>export_calendar!AO297</f>
        <v>108</v>
      </c>
      <c r="F295">
        <f>MATCH(export_calendar!AL297,theme_boxes!C:C,0)-1</f>
        <v>8</v>
      </c>
      <c r="G295">
        <f>MATCH(export_calendar!AN297,light_patterns!B:B,0)-1</f>
        <v>5</v>
      </c>
      <c r="H295">
        <f>MATCH(export_calendar!AM297,light_colors!B:B,0)-1</f>
        <v>20</v>
      </c>
    </row>
    <row r="296" spans="1:8" x14ac:dyDescent="0.25">
      <c r="A296" s="1">
        <f>export_calendar!AI298</f>
        <v>2033</v>
      </c>
      <c r="B296" s="1">
        <f>export_calendar!AJ298</f>
        <v>12</v>
      </c>
      <c r="C296" s="1">
        <f>export_calendar!AK298</f>
        <v>28</v>
      </c>
      <c r="D296" t="str">
        <f>export_calendar!AP298</f>
        <v>Onnozele Kinderen</v>
      </c>
      <c r="E296" s="1">
        <f>export_calendar!AO298</f>
        <v>77</v>
      </c>
      <c r="F296">
        <f>MATCH(export_calendar!AL298,theme_boxes!C:C,0)-1</f>
        <v>10</v>
      </c>
      <c r="G296">
        <f>MATCH(export_calendar!AN298,light_patterns!B:B,0)-1</f>
        <v>26</v>
      </c>
      <c r="H296">
        <f>MATCH(export_calendar!AM298,light_colors!B:B,0)-1</f>
        <v>35</v>
      </c>
    </row>
    <row r="297" spans="1:8" x14ac:dyDescent="0.25">
      <c r="A297" s="1">
        <f>export_calendar!AI299</f>
        <v>2034</v>
      </c>
      <c r="B297" s="1">
        <f>export_calendar!AJ299</f>
        <v>1</v>
      </c>
      <c r="C297" s="1">
        <f>export_calendar!AK299</f>
        <v>1</v>
      </c>
      <c r="D297" t="str">
        <f>export_calendar!AP299</f>
        <v>Gelukkig Nieuwjaar</v>
      </c>
      <c r="E297" s="1">
        <f>export_calendar!AO299</f>
        <v>77</v>
      </c>
      <c r="F297">
        <f>MATCH(export_calendar!AL299,theme_boxes!C:C,0)-1</f>
        <v>24</v>
      </c>
      <c r="G297">
        <f>MATCH(export_calendar!AN299,light_patterns!B:B,0)-1</f>
        <v>2</v>
      </c>
      <c r="H297">
        <f>MATCH(export_calendar!AM299,light_colors!B:B,0)-1</f>
        <v>40</v>
      </c>
    </row>
    <row r="298" spans="1:8" x14ac:dyDescent="0.25">
      <c r="A298" s="1">
        <f>export_calendar!AI300</f>
        <v>2034</v>
      </c>
      <c r="B298" s="1">
        <f>export_calendar!AJ300</f>
        <v>2</v>
      </c>
      <c r="C298" s="1">
        <f>export_calendar!AK300</f>
        <v>1</v>
      </c>
      <c r="D298" t="str">
        <f>export_calendar!AP300</f>
        <v>Eerste van de maand februari</v>
      </c>
      <c r="E298" s="1">
        <f>export_calendar!AO300</f>
        <v>249</v>
      </c>
      <c r="F298">
        <f>MATCH(export_calendar!AL300,theme_boxes!C:C,0)-1</f>
        <v>23</v>
      </c>
      <c r="G298">
        <f>MATCH(export_calendar!AN300,light_patterns!B:B,0)-1</f>
        <v>4</v>
      </c>
      <c r="H298">
        <f>MATCH(export_calendar!AM300,light_colors!B:B,0)-1</f>
        <v>7</v>
      </c>
    </row>
    <row r="299" spans="1:8" x14ac:dyDescent="0.25">
      <c r="A299" s="1">
        <f>export_calendar!AI301</f>
        <v>2034</v>
      </c>
      <c r="B299" s="1">
        <f>export_calendar!AJ301</f>
        <v>2</v>
      </c>
      <c r="C299" s="1">
        <f>export_calendar!AK301</f>
        <v>14</v>
      </c>
      <c r="D299" t="str">
        <f>export_calendar!AP301</f>
        <v>Valentijns en verlovingsdag</v>
      </c>
      <c r="E299" s="1">
        <f>export_calendar!AO301</f>
        <v>70</v>
      </c>
      <c r="F299">
        <f>MATCH(export_calendar!AL301,theme_boxes!C:C,0)-1</f>
        <v>24</v>
      </c>
      <c r="G299">
        <f>MATCH(export_calendar!AN301,light_patterns!B:B,0)-1</f>
        <v>6</v>
      </c>
      <c r="H299">
        <f>MATCH(export_calendar!AM301,light_colors!B:B,0)-1</f>
        <v>42</v>
      </c>
    </row>
    <row r="300" spans="1:8" x14ac:dyDescent="0.25">
      <c r="A300" s="1">
        <f>export_calendar!AI302</f>
        <v>2034</v>
      </c>
      <c r="B300" s="1">
        <f>export_calendar!AJ302</f>
        <v>2</v>
      </c>
      <c r="C300" s="1">
        <f>export_calendar!AK302</f>
        <v>19</v>
      </c>
      <c r="D300" t="str">
        <f>export_calendar!AP302</f>
        <v>Carnaval, Alaaf!!</v>
      </c>
      <c r="E300" s="1">
        <f>export_calendar!AO302</f>
        <v>104</v>
      </c>
      <c r="F300">
        <f>MATCH(export_calendar!AL302,theme_boxes!C:C,0)-1</f>
        <v>24</v>
      </c>
      <c r="G300">
        <f>MATCH(export_calendar!AN302,light_patterns!B:B,0)-1</f>
        <v>3</v>
      </c>
      <c r="H300">
        <f>MATCH(export_calendar!AM302,light_colors!B:B,0)-1</f>
        <v>7</v>
      </c>
    </row>
    <row r="301" spans="1:8" x14ac:dyDescent="0.25">
      <c r="A301" s="1">
        <f>export_calendar!AI303</f>
        <v>2034</v>
      </c>
      <c r="B301" s="1">
        <f>export_calendar!AJ303</f>
        <v>2</v>
      </c>
      <c r="C301" s="1">
        <f>export_calendar!AK303</f>
        <v>19</v>
      </c>
      <c r="D301" t="str">
        <f>export_calendar!AP303</f>
        <v>Carnaval, Agge mar leut heht</v>
      </c>
      <c r="E301" s="1">
        <f>export_calendar!AO303</f>
        <v>80</v>
      </c>
      <c r="F301">
        <f>MATCH(export_calendar!AL303,theme_boxes!C:C,0)-1</f>
        <v>24</v>
      </c>
      <c r="G301">
        <f>MATCH(export_calendar!AN303,light_patterns!B:B,0)-1</f>
        <v>3</v>
      </c>
      <c r="H301">
        <f>MATCH(export_calendar!AM303,light_colors!B:B,0)-1</f>
        <v>7</v>
      </c>
    </row>
    <row r="302" spans="1:8" x14ac:dyDescent="0.25">
      <c r="A302" s="1">
        <f>export_calendar!AI304</f>
        <v>2034</v>
      </c>
      <c r="B302" s="1">
        <f>export_calendar!AJ304</f>
        <v>2</v>
      </c>
      <c r="C302" s="1">
        <f>export_calendar!AK304</f>
        <v>20</v>
      </c>
      <c r="D302" t="str">
        <f>export_calendar!AP304</f>
        <v>RosenMoontach, En deh hittie naw gedonn umdettie Hellemonder is</v>
      </c>
      <c r="E302" s="1">
        <f>export_calendar!AO304</f>
        <v>94</v>
      </c>
      <c r="F302">
        <f>MATCH(export_calendar!AL304,theme_boxes!C:C,0)-1</f>
        <v>24</v>
      </c>
      <c r="G302">
        <f>MATCH(export_calendar!AN304,light_patterns!B:B,0)-1</f>
        <v>3</v>
      </c>
      <c r="H302">
        <f>MATCH(export_calendar!AM304,light_colors!B:B,0)-1</f>
        <v>7</v>
      </c>
    </row>
    <row r="303" spans="1:8" x14ac:dyDescent="0.25">
      <c r="A303" s="1">
        <f>export_calendar!AI305</f>
        <v>2034</v>
      </c>
      <c r="B303" s="1">
        <f>export_calendar!AJ305</f>
        <v>2</v>
      </c>
      <c r="C303" s="1">
        <f>export_calendar!AK305</f>
        <v>22</v>
      </c>
      <c r="D303" t="str">
        <f>export_calendar!AP305</f>
        <v>Aswoensdag ,  - en nu begint de katholieke ramadan</v>
      </c>
      <c r="E303" s="1">
        <f>export_calendar!AO305</f>
        <v>197</v>
      </c>
      <c r="F303">
        <f>MATCH(export_calendar!AL305,theme_boxes!C:C,0)-1</f>
        <v>21</v>
      </c>
      <c r="G303">
        <f>MATCH(export_calendar!AN305,light_patterns!B:B,0)-1</f>
        <v>5</v>
      </c>
      <c r="H303">
        <f>MATCH(export_calendar!AM305,light_colors!B:B,0)-1</f>
        <v>21</v>
      </c>
    </row>
    <row r="304" spans="1:8" x14ac:dyDescent="0.25">
      <c r="A304" s="1">
        <f>export_calendar!AI306</f>
        <v>2034</v>
      </c>
      <c r="B304" s="1">
        <f>export_calendar!AJ306</f>
        <v>3</v>
      </c>
      <c r="C304" s="1">
        <f>export_calendar!AK306</f>
        <v>1</v>
      </c>
      <c r="D304" t="str">
        <f>export_calendar!AP306</f>
        <v>Eerste van de maand maart</v>
      </c>
      <c r="E304" s="1">
        <f>export_calendar!AO306</f>
        <v>287</v>
      </c>
      <c r="F304">
        <f>MATCH(export_calendar!AL306,theme_boxes!C:C,0)-1</f>
        <v>23</v>
      </c>
      <c r="G304">
        <f>MATCH(export_calendar!AN306,light_patterns!B:B,0)-1</f>
        <v>4</v>
      </c>
      <c r="H304">
        <f>MATCH(export_calendar!AM306,light_colors!B:B,0)-1</f>
        <v>7</v>
      </c>
    </row>
    <row r="305" spans="1:8" x14ac:dyDescent="0.25">
      <c r="A305" s="1">
        <f>export_calendar!AI307</f>
        <v>2034</v>
      </c>
      <c r="B305" s="1">
        <f>export_calendar!AJ307</f>
        <v>3</v>
      </c>
      <c r="C305" s="1">
        <f>export_calendar!AK307</f>
        <v>14</v>
      </c>
      <c r="D305" t="str">
        <f>export_calendar!AP307</f>
        <v>piedag - drie komma een vier enzovoortsen nog meer decimalen</v>
      </c>
      <c r="E305" s="1">
        <f>export_calendar!AO307</f>
        <v>95</v>
      </c>
      <c r="F305">
        <f>MATCH(export_calendar!AL307,theme_boxes!C:C,0)-1</f>
        <v>9</v>
      </c>
      <c r="G305">
        <f>MATCH(export_calendar!AN307,light_patterns!B:B,0)-1</f>
        <v>28</v>
      </c>
      <c r="H305">
        <f>MATCH(export_calendar!AM307,light_colors!B:B,0)-1</f>
        <v>6</v>
      </c>
    </row>
    <row r="306" spans="1:8" x14ac:dyDescent="0.25">
      <c r="A306" s="1">
        <f>export_calendar!AI308</f>
        <v>2034</v>
      </c>
      <c r="B306" s="1">
        <f>export_calendar!AJ308</f>
        <v>3</v>
      </c>
      <c r="C306" s="1">
        <f>export_calendar!AK308</f>
        <v>21</v>
      </c>
      <c r="D306" t="str">
        <f>export_calendar!AP308</f>
        <v>Hartelijk gefeliciteerd,  Thomas</v>
      </c>
      <c r="E306" s="1">
        <f>export_calendar!AO308</f>
        <v>73</v>
      </c>
      <c r="F306">
        <f>MATCH(export_calendar!AL308,theme_boxes!C:C,0)-1</f>
        <v>15</v>
      </c>
      <c r="G306">
        <f>MATCH(export_calendar!AN308,light_patterns!B:B,0)-1</f>
        <v>3</v>
      </c>
      <c r="H306">
        <f>MATCH(export_calendar!AM308,light_colors!B:B,0)-1</f>
        <v>14</v>
      </c>
    </row>
    <row r="307" spans="1:8" x14ac:dyDescent="0.25">
      <c r="A307" s="1">
        <f>export_calendar!AI309</f>
        <v>2034</v>
      </c>
      <c r="B307" s="1">
        <f>export_calendar!AJ309</f>
        <v>4</v>
      </c>
      <c r="C307" s="1">
        <f>export_calendar!AK309</f>
        <v>1</v>
      </c>
      <c r="D307" t="str">
        <f>export_calendar!AP309</f>
        <v>Eerste van de maand april, een april, kikker in je bil!</v>
      </c>
      <c r="E307" s="1">
        <f>export_calendar!AO309</f>
        <v>265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4</v>
      </c>
      <c r="C308" s="1">
        <f>export_calendar!AK310</f>
        <v>7</v>
      </c>
      <c r="D308" t="str">
        <f>export_calendar!AP310</f>
        <v>Goede Vrijdag</v>
      </c>
      <c r="E308" s="1">
        <f>export_calendar!AO310</f>
        <v>187</v>
      </c>
      <c r="F308">
        <f>MATCH(export_calendar!AL310,theme_boxes!C:C,0)-1</f>
        <v>13</v>
      </c>
      <c r="G308">
        <f>MATCH(export_calendar!AN310,light_patterns!B:B,0)-1</f>
        <v>2</v>
      </c>
      <c r="H308">
        <f>MATCH(export_calendar!AM310,light_colors!B:B,0)-1</f>
        <v>13</v>
      </c>
    </row>
    <row r="309" spans="1:8" x14ac:dyDescent="0.25">
      <c r="A309" s="1">
        <f>export_calendar!AI311</f>
        <v>2034</v>
      </c>
      <c r="B309" s="1">
        <f>export_calendar!AJ311</f>
        <v>4</v>
      </c>
      <c r="C309" s="1">
        <f>export_calendar!AK311</f>
        <v>9</v>
      </c>
      <c r="D309" t="str">
        <f>export_calendar!AP311</f>
        <v>Vrolijk Pasen</v>
      </c>
      <c r="E309" s="1">
        <f>export_calendar!AO311</f>
        <v>90</v>
      </c>
      <c r="F309">
        <f>MATCH(export_calendar!AL311,theme_boxes!C:C,0)-1</f>
        <v>17</v>
      </c>
      <c r="G309">
        <f>MATCH(export_calendar!AN311,light_patterns!B:B,0)-1</f>
        <v>9</v>
      </c>
      <c r="H309">
        <f>MATCH(export_calendar!AM311,light_colors!B:B,0)-1</f>
        <v>5</v>
      </c>
    </row>
    <row r="310" spans="1:8" x14ac:dyDescent="0.25">
      <c r="A310" s="1">
        <f>export_calendar!AI312</f>
        <v>2034</v>
      </c>
      <c r="B310" s="1">
        <f>export_calendar!AJ312</f>
        <v>4</v>
      </c>
      <c r="C310" s="1">
        <f>export_calendar!AK312</f>
        <v>10</v>
      </c>
      <c r="D310" t="str">
        <f>export_calendar!AP312</f>
        <v>Tweede Paasdag</v>
      </c>
      <c r="E310" s="1">
        <f>export_calendar!AO312</f>
        <v>314</v>
      </c>
      <c r="F310">
        <f>MATCH(export_calendar!AL312,theme_boxes!C:C,0)-1</f>
        <v>17</v>
      </c>
      <c r="G310">
        <f>MATCH(export_calendar!AN312,light_patterns!B:B,0)-1</f>
        <v>13</v>
      </c>
      <c r="H310">
        <f>MATCH(export_calendar!AM312,light_colors!B:B,0)-1</f>
        <v>19</v>
      </c>
    </row>
    <row r="311" spans="1:8" x14ac:dyDescent="0.25">
      <c r="A311" s="1">
        <f>export_calendar!AI313</f>
        <v>2034</v>
      </c>
      <c r="B311" s="1">
        <f>export_calendar!AJ313</f>
        <v>4</v>
      </c>
      <c r="C311" s="1">
        <f>export_calendar!AK313</f>
        <v>30</v>
      </c>
      <c r="D311" t="str">
        <f>export_calendar!AP313</f>
        <v>Hartelijk gefeliciteerd,  Paul</v>
      </c>
      <c r="E311" s="1">
        <f>export_calendar!AO313</f>
        <v>98</v>
      </c>
      <c r="F311">
        <f>MATCH(export_calendar!AL313,theme_boxes!C:C,0)-1</f>
        <v>15</v>
      </c>
      <c r="G311">
        <f>MATCH(export_calendar!AN313,light_patterns!B:B,0)-1</f>
        <v>3</v>
      </c>
      <c r="H311">
        <f>MATCH(export_calendar!AM313,light_colors!B:B,0)-1</f>
        <v>14</v>
      </c>
    </row>
    <row r="312" spans="1:8" x14ac:dyDescent="0.25">
      <c r="A312" s="1">
        <f>export_calendar!AI314</f>
        <v>2034</v>
      </c>
      <c r="B312" s="1">
        <f>export_calendar!AJ314</f>
        <v>5</v>
      </c>
      <c r="C312" s="1">
        <f>export_calendar!AK314</f>
        <v>1</v>
      </c>
      <c r="D312" t="str">
        <f>export_calendar!AP314</f>
        <v>Eerste van de maand mei- leggen alle vogeltjes een ei</v>
      </c>
      <c r="E312" s="1">
        <f>export_calendar!AO314</f>
        <v>202</v>
      </c>
      <c r="F312">
        <f>MATCH(export_calendar!AL314,theme_boxes!C:C,0)-1</f>
        <v>23</v>
      </c>
      <c r="G312">
        <f>MATCH(export_calendar!AN314,light_patterns!B:B,0)-1</f>
        <v>4</v>
      </c>
      <c r="H312">
        <f>MATCH(export_calendar!AM314,light_colors!B:B,0)-1</f>
        <v>7</v>
      </c>
    </row>
    <row r="313" spans="1:8" x14ac:dyDescent="0.25">
      <c r="A313" s="1">
        <f>export_calendar!AI315</f>
        <v>2034</v>
      </c>
      <c r="B313" s="1">
        <f>export_calendar!AJ315</f>
        <v>5</v>
      </c>
      <c r="C313" s="1">
        <f>export_calendar!AK315</f>
        <v>4</v>
      </c>
      <c r="D313" t="str">
        <f>export_calendar!AP315</f>
        <v>Dodenherdenking</v>
      </c>
      <c r="E313" s="1">
        <f>export_calendar!AO315</f>
        <v>102</v>
      </c>
      <c r="F313">
        <f>MATCH(export_calendar!AL315,theme_boxes!C:C,0)-1</f>
        <v>21</v>
      </c>
      <c r="G313">
        <f>MATCH(export_calendar!AN315,light_patterns!B:B,0)-1</f>
        <v>2</v>
      </c>
      <c r="H313">
        <f>MATCH(export_calendar!AM315,light_colors!B:B,0)-1</f>
        <v>31</v>
      </c>
    </row>
    <row r="314" spans="1:8" x14ac:dyDescent="0.25">
      <c r="A314" s="1">
        <f>export_calendar!AI316</f>
        <v>2034</v>
      </c>
      <c r="B314" s="1">
        <f>export_calendar!AJ316</f>
        <v>5</v>
      </c>
      <c r="C314" s="1">
        <f>export_calendar!AK316</f>
        <v>5</v>
      </c>
      <c r="D314" t="str">
        <f>export_calendar!AP316</f>
        <v>Bevrijdingsdag</v>
      </c>
      <c r="E314" s="1">
        <f>export_calendar!AO316</f>
        <v>64</v>
      </c>
      <c r="F314">
        <f>MATCH(export_calendar!AL316,theme_boxes!C:C,0)-1</f>
        <v>24</v>
      </c>
      <c r="G314">
        <f>MATCH(export_calendar!AN316,light_patterns!B:B,0)-1</f>
        <v>3</v>
      </c>
      <c r="H314">
        <f>MATCH(export_calendar!AM316,light_colors!B:B,0)-1</f>
        <v>3</v>
      </c>
    </row>
    <row r="315" spans="1:8" x14ac:dyDescent="0.25">
      <c r="A315" s="1">
        <f>export_calendar!AI317</f>
        <v>2034</v>
      </c>
      <c r="B315" s="1">
        <f>export_calendar!AJ317</f>
        <v>5</v>
      </c>
      <c r="C315" s="1">
        <f>export_calendar!AK317</f>
        <v>10</v>
      </c>
      <c r="D315" t="str">
        <f>export_calendar!AP317</f>
        <v>Hartelijk gefeliciteerd,  Gaia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5</v>
      </c>
      <c r="C316" s="1">
        <f>export_calendar!AK318</f>
        <v>18</v>
      </c>
      <c r="D316" t="str">
        <f>export_calendar!AP318</f>
        <v>Hemelvaart</v>
      </c>
      <c r="E316" s="1">
        <f>export_calendar!AO318</f>
        <v>107</v>
      </c>
      <c r="F316">
        <f>MATCH(export_calendar!AL318,theme_boxes!C:C,0)-1</f>
        <v>11</v>
      </c>
      <c r="G316">
        <f>MATCH(export_calendar!AN318,light_patterns!B:B,0)-1</f>
        <v>2</v>
      </c>
      <c r="H316">
        <f>MATCH(export_calendar!AM318,light_colors!B:B,0)-1</f>
        <v>29</v>
      </c>
    </row>
    <row r="317" spans="1:8" x14ac:dyDescent="0.25">
      <c r="A317" s="1">
        <f>export_calendar!AI319</f>
        <v>2034</v>
      </c>
      <c r="B317" s="1">
        <f>export_calendar!AJ319</f>
        <v>5</v>
      </c>
      <c r="C317" s="1">
        <f>export_calendar!AK319</f>
        <v>28</v>
      </c>
      <c r="D317" t="str">
        <f>export_calendar!AP319</f>
        <v>Pinksteren,  - wat is dat ook weer??</v>
      </c>
      <c r="E317" s="1">
        <f>export_calendar!AO319</f>
        <v>121</v>
      </c>
      <c r="F317">
        <f>MATCH(export_calendar!AL319,theme_boxes!C:C,0)-1</f>
        <v>4</v>
      </c>
      <c r="G317">
        <f>MATCH(export_calendar!AN319,light_patterns!B:B,0)-1</f>
        <v>4</v>
      </c>
      <c r="H317">
        <f>MATCH(export_calendar!AM319,light_colors!B:B,0)-1</f>
        <v>8</v>
      </c>
    </row>
    <row r="318" spans="1:8" x14ac:dyDescent="0.25">
      <c r="A318" s="1">
        <f>export_calendar!AI320</f>
        <v>2034</v>
      </c>
      <c r="B318" s="1">
        <f>export_calendar!AJ320</f>
        <v>5</v>
      </c>
      <c r="C318" s="1">
        <f>export_calendar!AK320</f>
        <v>29</v>
      </c>
      <c r="D318" t="str">
        <f>export_calendar!AP320</f>
        <v>Nog steeds Pinksteren,  - wat is dat ook weer??</v>
      </c>
      <c r="E318" s="1">
        <f>export_calendar!AO320</f>
        <v>195</v>
      </c>
      <c r="F318">
        <f>MATCH(export_calendar!AL320,theme_boxes!C:C,0)-1</f>
        <v>4</v>
      </c>
      <c r="G318">
        <f>MATCH(export_calendar!AN320,light_patterns!B:B,0)-1</f>
        <v>4</v>
      </c>
      <c r="H318">
        <f>MATCH(export_calendar!AM320,light_colors!B:B,0)-1</f>
        <v>8</v>
      </c>
    </row>
    <row r="319" spans="1:8" x14ac:dyDescent="0.25">
      <c r="A319" s="1">
        <f>export_calendar!AI321</f>
        <v>2034</v>
      </c>
      <c r="B319" s="1">
        <f>export_calendar!AJ321</f>
        <v>6</v>
      </c>
      <c r="C319" s="1">
        <f>export_calendar!AK321</f>
        <v>1</v>
      </c>
      <c r="D319" t="str">
        <f>export_calendar!AP321</f>
        <v>Eerste van de maand juni</v>
      </c>
      <c r="E319" s="1">
        <f>export_calendar!AO321</f>
        <v>157</v>
      </c>
      <c r="F319">
        <f>MATCH(export_calendar!AL321,theme_boxes!C:C,0)-1</f>
        <v>23</v>
      </c>
      <c r="G319">
        <f>MATCH(export_calendar!AN321,light_patterns!B:B,0)-1</f>
        <v>4</v>
      </c>
      <c r="H319">
        <f>MATCH(export_calendar!AM321,light_colors!B:B,0)-1</f>
        <v>7</v>
      </c>
    </row>
    <row r="320" spans="1:8" x14ac:dyDescent="0.25">
      <c r="A320" s="1">
        <f>export_calendar!AI322</f>
        <v>2034</v>
      </c>
      <c r="B320" s="1">
        <f>export_calendar!AJ322</f>
        <v>6</v>
      </c>
      <c r="C320" s="1">
        <f>export_calendar!AK322</f>
        <v>24</v>
      </c>
      <c r="D320" t="str">
        <f>export_calendar!AP322</f>
        <v>SintJan</v>
      </c>
      <c r="E320" s="1">
        <f>export_calendar!AO322</f>
        <v>61</v>
      </c>
      <c r="F320">
        <f>MATCH(export_calendar!AL322,theme_boxes!C:C,0)-1</f>
        <v>24</v>
      </c>
      <c r="G320">
        <f>MATCH(export_calendar!AN322,light_patterns!B:B,0)-1</f>
        <v>27</v>
      </c>
      <c r="H320">
        <f>MATCH(export_calendar!AM322,light_colors!B:B,0)-1</f>
        <v>5</v>
      </c>
    </row>
    <row r="321" spans="1:8" x14ac:dyDescent="0.25">
      <c r="A321" s="1">
        <f>export_calendar!AI323</f>
        <v>2034</v>
      </c>
      <c r="B321" s="1">
        <f>export_calendar!AJ323</f>
        <v>7</v>
      </c>
      <c r="C321" s="1">
        <f>export_calendar!AK323</f>
        <v>1</v>
      </c>
      <c r="D321" t="str">
        <f>export_calendar!AP323</f>
        <v>Eerste van de maand juli</v>
      </c>
      <c r="E321" s="1">
        <f>export_calendar!AO323</f>
        <v>171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8</v>
      </c>
      <c r="C322" s="1">
        <f>export_calendar!AK324</f>
        <v>1</v>
      </c>
      <c r="D322" t="str">
        <f>export_calendar!AP324</f>
        <v>Eerste van de maand augustus</v>
      </c>
      <c r="E322" s="1">
        <f>export_calendar!AO324</f>
        <v>231</v>
      </c>
      <c r="F322">
        <f>MATCH(export_calendar!AL324,theme_boxes!C:C,0)-1</f>
        <v>23</v>
      </c>
      <c r="G322">
        <f>MATCH(export_calendar!AN324,light_patterns!B:B,0)-1</f>
        <v>4</v>
      </c>
      <c r="H322">
        <f>MATCH(export_calendar!AM324,light_colors!B:B,0)-1</f>
        <v>7</v>
      </c>
    </row>
    <row r="323" spans="1:8" x14ac:dyDescent="0.25">
      <c r="A323" s="1">
        <f>export_calendar!AI325</f>
        <v>2034</v>
      </c>
      <c r="B323" s="1">
        <f>export_calendar!AJ325</f>
        <v>9</v>
      </c>
      <c r="C323" s="1">
        <f>export_calendar!AK325</f>
        <v>1</v>
      </c>
      <c r="D323" t="str">
        <f>export_calendar!AP325</f>
        <v>Eerste van de maand september</v>
      </c>
      <c r="E323" s="1">
        <f>export_calendar!AO325</f>
        <v>282</v>
      </c>
      <c r="F323">
        <f>MATCH(export_calendar!AL325,theme_boxes!C:C,0)-1</f>
        <v>23</v>
      </c>
      <c r="G323">
        <f>MATCH(export_calendar!AN325,light_patterns!B:B,0)-1</f>
        <v>4</v>
      </c>
      <c r="H323">
        <f>MATCH(export_calendar!AM325,light_colors!B:B,0)-1</f>
        <v>7</v>
      </c>
    </row>
    <row r="324" spans="1:8" x14ac:dyDescent="0.25">
      <c r="A324" s="1">
        <f>export_calendar!AI326</f>
        <v>2034</v>
      </c>
      <c r="B324" s="1">
        <f>export_calendar!AJ326</f>
        <v>10</v>
      </c>
      <c r="C324" s="1">
        <f>export_calendar!AK326</f>
        <v>1</v>
      </c>
      <c r="D324" t="str">
        <f>export_calendar!AP326</f>
        <v>Eerste van de maand oktober</v>
      </c>
      <c r="E324" s="1">
        <f>export_calendar!AO326</f>
        <v>277</v>
      </c>
      <c r="F324">
        <f>MATCH(export_calendar!AL326,theme_boxes!C:C,0)-1</f>
        <v>23</v>
      </c>
      <c r="G324">
        <f>MATCH(export_calendar!AN326,light_patterns!B:B,0)-1</f>
        <v>4</v>
      </c>
      <c r="H324">
        <f>MATCH(export_calendar!AM326,light_colors!B:B,0)-1</f>
        <v>7</v>
      </c>
    </row>
    <row r="325" spans="1:8" x14ac:dyDescent="0.25">
      <c r="A325" s="1">
        <f>export_calendar!AI327</f>
        <v>2034</v>
      </c>
      <c r="B325" s="1">
        <f>export_calendar!AJ327</f>
        <v>10</v>
      </c>
      <c r="C325" s="1">
        <f>export_calendar!AK327</f>
        <v>8</v>
      </c>
      <c r="D325" t="str">
        <f>export_calendar!AP327</f>
        <v>Hartelijk gefeliciteerd,  Jan</v>
      </c>
      <c r="E325" s="1">
        <f>export_calendar!AO327</f>
        <v>105</v>
      </c>
      <c r="F325">
        <f>MATCH(export_calendar!AL327,theme_boxes!C:C,0)-1</f>
        <v>15</v>
      </c>
      <c r="G325">
        <f>MATCH(export_calendar!AN327,light_patterns!B:B,0)-1</f>
        <v>3</v>
      </c>
      <c r="H325">
        <f>MATCH(export_calendar!AM327,light_colors!B:B,0)-1</f>
        <v>14</v>
      </c>
    </row>
    <row r="326" spans="1:8" x14ac:dyDescent="0.25">
      <c r="A326" s="1">
        <f>export_calendar!AI328</f>
        <v>2034</v>
      </c>
      <c r="B326" s="1">
        <f>export_calendar!AJ328</f>
        <v>11</v>
      </c>
      <c r="C326" s="1">
        <f>export_calendar!AK328</f>
        <v>1</v>
      </c>
      <c r="D326" t="str">
        <f>export_calendar!AP328</f>
        <v>Eerste van de maand november</v>
      </c>
      <c r="E326" s="1">
        <f>export_calendar!AO328</f>
        <v>221</v>
      </c>
      <c r="F326">
        <f>MATCH(export_calendar!AL328,theme_boxes!C:C,0)-1</f>
        <v>23</v>
      </c>
      <c r="G326">
        <f>MATCH(export_calendar!AN328,light_patterns!B:B,0)-1</f>
        <v>4</v>
      </c>
      <c r="H326">
        <f>MATCH(export_calendar!AM328,light_colors!B:B,0)-1</f>
        <v>7</v>
      </c>
    </row>
    <row r="327" spans="1:8" x14ac:dyDescent="0.25">
      <c r="A327" s="1">
        <f>export_calendar!AI329</f>
        <v>2034</v>
      </c>
      <c r="B327" s="1">
        <f>export_calendar!AJ329</f>
        <v>12</v>
      </c>
      <c r="C327" s="1">
        <f>export_calendar!AK329</f>
        <v>1</v>
      </c>
      <c r="D327" t="str">
        <f>export_calendar!AP329</f>
        <v>Eerste van de maand december</v>
      </c>
      <c r="E327" s="1">
        <f>export_calendar!AO329</f>
        <v>165</v>
      </c>
      <c r="F327">
        <f>MATCH(export_calendar!AL329,theme_boxes!C:C,0)-1</f>
        <v>23</v>
      </c>
      <c r="G327">
        <f>MATCH(export_calendar!AN329,light_patterns!B:B,0)-1</f>
        <v>4</v>
      </c>
      <c r="H327">
        <f>MATCH(export_calendar!AM329,light_colors!B:B,0)-1</f>
        <v>7</v>
      </c>
    </row>
    <row r="328" spans="1:8" x14ac:dyDescent="0.25">
      <c r="A328" s="1">
        <f>export_calendar!AI330</f>
        <v>2034</v>
      </c>
      <c r="B328" s="1">
        <f>export_calendar!AJ330</f>
        <v>12</v>
      </c>
      <c r="C328" s="1">
        <f>export_calendar!AK330</f>
        <v>5</v>
      </c>
      <c r="D328" t="str">
        <f>export_calendar!AP330</f>
        <v>Sinterklaas</v>
      </c>
      <c r="E328" s="1">
        <f>export_calendar!AO330</f>
        <v>113</v>
      </c>
      <c r="F328">
        <f>MATCH(export_calendar!AL330,theme_boxes!C:C,0)-1</f>
        <v>12</v>
      </c>
      <c r="G328">
        <f>MATCH(export_calendar!AN330,light_patterns!B:B,0)-1</f>
        <v>6</v>
      </c>
      <c r="H328">
        <f>MATCH(export_calendar!AM330,light_colors!B:B,0)-1</f>
        <v>28</v>
      </c>
    </row>
    <row r="329" spans="1:8" x14ac:dyDescent="0.25">
      <c r="A329" s="1">
        <f>export_calendar!AI331</f>
        <v>2034</v>
      </c>
      <c r="B329" s="1">
        <f>export_calendar!AJ331</f>
        <v>12</v>
      </c>
      <c r="C329" s="1">
        <f>export_calendar!AK331</f>
        <v>13</v>
      </c>
      <c r="D329" t="str">
        <f>export_calendar!AP331</f>
        <v>Hartelijk gefeliciteerd,  lieve Marit</v>
      </c>
      <c r="E329" s="1">
        <f>export_calendar!AO331</f>
        <v>114</v>
      </c>
      <c r="F329">
        <f>MATCH(export_calendar!AL331,theme_boxes!C:C,0)-1</f>
        <v>15</v>
      </c>
      <c r="G329">
        <f>MATCH(export_calendar!AN331,light_patterns!B:B,0)-1</f>
        <v>3</v>
      </c>
      <c r="H329">
        <f>MATCH(export_calendar!AM331,light_colors!B:B,0)-1</f>
        <v>14</v>
      </c>
    </row>
    <row r="330" spans="1:8" x14ac:dyDescent="0.25">
      <c r="A330" s="1">
        <f>export_calendar!AI332</f>
        <v>2034</v>
      </c>
      <c r="B330" s="1">
        <f>export_calendar!AJ332</f>
        <v>12</v>
      </c>
      <c r="C330" s="1">
        <f>export_calendar!AK332</f>
        <v>25</v>
      </c>
      <c r="D330" t="str">
        <f>export_calendar!AP332</f>
        <v>Vrolijk Kerstfeest</v>
      </c>
      <c r="E330" s="1">
        <f>export_calendar!AO332</f>
        <v>95</v>
      </c>
      <c r="F330">
        <f>MATCH(export_calendar!AL332,theme_boxes!C:C,0)-1</f>
        <v>8</v>
      </c>
      <c r="G330">
        <f>MATCH(export_calendar!AN332,light_patterns!B:B,0)-1</f>
        <v>26</v>
      </c>
      <c r="H330">
        <f>MATCH(export_calendar!AM332,light_colors!B:B,0)-1</f>
        <v>30</v>
      </c>
    </row>
    <row r="331" spans="1:8" x14ac:dyDescent="0.25">
      <c r="A331" s="1">
        <f>export_calendar!AI333</f>
        <v>2034</v>
      </c>
      <c r="B331" s="1">
        <f>export_calendar!AJ333</f>
        <v>12</v>
      </c>
      <c r="C331" s="1">
        <f>export_calendar!AK333</f>
        <v>26</v>
      </c>
      <c r="D331" t="str">
        <f>export_calendar!AP333</f>
        <v>Tweede Kerstdag</v>
      </c>
      <c r="E331" s="1">
        <f>export_calendar!AO333</f>
        <v>108</v>
      </c>
      <c r="F331">
        <f>MATCH(export_calendar!AL333,theme_boxes!C:C,0)-1</f>
        <v>8</v>
      </c>
      <c r="G331">
        <f>MATCH(export_calendar!AN333,light_patterns!B:B,0)-1</f>
        <v>5</v>
      </c>
      <c r="H331">
        <f>MATCH(export_calendar!AM333,light_colors!B:B,0)-1</f>
        <v>20</v>
      </c>
    </row>
    <row r="332" spans="1:8" x14ac:dyDescent="0.25">
      <c r="A332" s="1">
        <f>export_calendar!AI334</f>
        <v>2034</v>
      </c>
      <c r="B332" s="1">
        <f>export_calendar!AJ334</f>
        <v>12</v>
      </c>
      <c r="C332" s="1">
        <f>export_calendar!AK334</f>
        <v>28</v>
      </c>
      <c r="D332" t="str">
        <f>export_calendar!AP334</f>
        <v>Onnozele Kinderen</v>
      </c>
      <c r="E332" s="1">
        <f>export_calendar!AO334</f>
        <v>77</v>
      </c>
      <c r="F332">
        <f>MATCH(export_calendar!AL334,theme_boxes!C:C,0)-1</f>
        <v>10</v>
      </c>
      <c r="G332">
        <f>MATCH(export_calendar!AN334,light_patterns!B:B,0)-1</f>
        <v>26</v>
      </c>
      <c r="H332">
        <f>MATCH(export_calendar!AM334,light_colors!B:B,0)-1</f>
        <v>35</v>
      </c>
    </row>
    <row r="333" spans="1:8" x14ac:dyDescent="0.25">
      <c r="A333" s="1">
        <f>export_calendar!AI335</f>
        <v>2035</v>
      </c>
      <c r="B333" s="1">
        <f>export_calendar!AJ335</f>
        <v>1</v>
      </c>
      <c r="C333" s="1">
        <f>export_calendar!AK335</f>
        <v>1</v>
      </c>
      <c r="D333" t="str">
        <f>export_calendar!AP335</f>
        <v>Gelukkig Nieuwjaar</v>
      </c>
      <c r="E333" s="1">
        <f>export_calendar!AO335</f>
        <v>77</v>
      </c>
      <c r="F333">
        <f>MATCH(export_calendar!AL335,theme_boxes!C:C,0)-1</f>
        <v>24</v>
      </c>
      <c r="G333">
        <f>MATCH(export_calendar!AN335,light_patterns!B:B,0)-1</f>
        <v>2</v>
      </c>
      <c r="H333">
        <f>MATCH(export_calendar!AM335,light_colors!B:B,0)-1</f>
        <v>40</v>
      </c>
    </row>
    <row r="334" spans="1:8" x14ac:dyDescent="0.25">
      <c r="A334" s="1">
        <f>export_calendar!AI336</f>
        <v>2035</v>
      </c>
      <c r="B334" s="1">
        <f>export_calendar!AJ336</f>
        <v>2</v>
      </c>
      <c r="C334" s="1">
        <f>export_calendar!AK336</f>
        <v>1</v>
      </c>
      <c r="D334" t="str">
        <f>export_calendar!AP336</f>
        <v>Eerste van de maand februari</v>
      </c>
      <c r="E334" s="1">
        <f>export_calendar!AO336</f>
        <v>249</v>
      </c>
      <c r="F334">
        <f>MATCH(export_calendar!AL336,theme_boxes!C:C,0)-1</f>
        <v>23</v>
      </c>
      <c r="G334">
        <f>MATCH(export_calendar!AN336,light_patterns!B:B,0)-1</f>
        <v>4</v>
      </c>
      <c r="H334">
        <f>MATCH(export_calendar!AM336,light_colors!B:B,0)-1</f>
        <v>7</v>
      </c>
    </row>
    <row r="335" spans="1:8" x14ac:dyDescent="0.25">
      <c r="A335" s="1">
        <f>export_calendar!AI337</f>
        <v>2035</v>
      </c>
      <c r="B335" s="1">
        <f>export_calendar!AJ337</f>
        <v>2</v>
      </c>
      <c r="C335" s="1">
        <f>export_calendar!AK337</f>
        <v>4</v>
      </c>
      <c r="D335" t="str">
        <f>export_calendar!AP337</f>
        <v>Carnaval, Keiebijters!!</v>
      </c>
      <c r="E335" s="1">
        <f>export_calendar!AO337</f>
        <v>85</v>
      </c>
      <c r="F335">
        <f>MATCH(export_calendar!AL337,theme_boxes!C:C,0)-1</f>
        <v>24</v>
      </c>
      <c r="G335">
        <f>MATCH(export_calendar!AN337,light_patterns!B:B,0)-1</f>
        <v>3</v>
      </c>
      <c r="H335">
        <f>MATCH(export_calendar!AM337,light_colors!B:B,0)-1</f>
        <v>7</v>
      </c>
    </row>
    <row r="336" spans="1:8" x14ac:dyDescent="0.25">
      <c r="A336" s="1">
        <f>export_calendar!AI338</f>
        <v>2035</v>
      </c>
      <c r="B336" s="1">
        <f>export_calendar!AJ338</f>
        <v>2</v>
      </c>
      <c r="C336" s="1">
        <f>export_calendar!AK338</f>
        <v>4</v>
      </c>
      <c r="D336" t="str">
        <f>export_calendar!AP338</f>
        <v>Carnaval, Alaaf!!</v>
      </c>
      <c r="E336" s="1">
        <f>export_calendar!AO338</f>
        <v>94</v>
      </c>
      <c r="F336">
        <f>MATCH(export_calendar!AL338,theme_boxes!C:C,0)-1</f>
        <v>24</v>
      </c>
      <c r="G336">
        <f>MATCH(export_calendar!AN338,light_patterns!B:B,0)-1</f>
        <v>3</v>
      </c>
      <c r="H336">
        <f>MATCH(export_calendar!AM338,light_colors!B:B,0)-1</f>
        <v>7</v>
      </c>
    </row>
    <row r="337" spans="1:8" x14ac:dyDescent="0.25">
      <c r="A337" s="1">
        <f>export_calendar!AI339</f>
        <v>2035</v>
      </c>
      <c r="B337" s="1">
        <f>export_calendar!AJ339</f>
        <v>2</v>
      </c>
      <c r="C337" s="1">
        <f>export_calendar!AK339</f>
        <v>5</v>
      </c>
      <c r="D337" t="str">
        <f>export_calendar!AP339</f>
        <v>RosenMoontach, Agge mar leut heht</v>
      </c>
      <c r="E337" s="1">
        <f>export_calendar!AO339</f>
        <v>115</v>
      </c>
      <c r="F337">
        <f>MATCH(export_calendar!AL339,theme_boxes!C:C,0)-1</f>
        <v>24</v>
      </c>
      <c r="G337">
        <f>MATCH(export_calendar!AN339,light_patterns!B:B,0)-1</f>
        <v>3</v>
      </c>
      <c r="H337">
        <f>MATCH(export_calendar!AM339,light_colors!B:B,0)-1</f>
        <v>7</v>
      </c>
    </row>
    <row r="338" spans="1:8" x14ac:dyDescent="0.25">
      <c r="A338" s="1">
        <f>export_calendar!AI340</f>
        <v>2035</v>
      </c>
      <c r="B338" s="1">
        <f>export_calendar!AJ340</f>
        <v>2</v>
      </c>
      <c r="C338" s="1">
        <f>export_calendar!AK340</f>
        <v>7</v>
      </c>
      <c r="D338" t="str">
        <f>export_calendar!AP340</f>
        <v>Aswoensdag ,  - het is  uit met de carnavalspret</v>
      </c>
      <c r="E338" s="1">
        <f>export_calendar!AO340</f>
        <v>177</v>
      </c>
      <c r="F338">
        <f>MATCH(export_calendar!AL340,theme_boxes!C:C,0)-1</f>
        <v>21</v>
      </c>
      <c r="G338">
        <f>MATCH(export_calendar!AN340,light_patterns!B:B,0)-1</f>
        <v>5</v>
      </c>
      <c r="H338">
        <f>MATCH(export_calendar!AM340,light_colors!B:B,0)-1</f>
        <v>21</v>
      </c>
    </row>
    <row r="339" spans="1:8" x14ac:dyDescent="0.25">
      <c r="A339" s="1">
        <f>export_calendar!AI341</f>
        <v>2035</v>
      </c>
      <c r="B339" s="1">
        <f>export_calendar!AJ341</f>
        <v>2</v>
      </c>
      <c r="C339" s="1">
        <f>export_calendar!AK341</f>
        <v>14</v>
      </c>
      <c r="D339" t="str">
        <f>export_calendar!AP341</f>
        <v>Valentijns en verlovingsdag</v>
      </c>
      <c r="E339" s="1">
        <f>export_calendar!AO341</f>
        <v>70</v>
      </c>
      <c r="F339">
        <f>MATCH(export_calendar!AL341,theme_boxes!C:C,0)-1</f>
        <v>24</v>
      </c>
      <c r="G339">
        <f>MATCH(export_calendar!AN341,light_patterns!B:B,0)-1</f>
        <v>6</v>
      </c>
      <c r="H339">
        <f>MATCH(export_calendar!AM341,light_colors!B:B,0)-1</f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2026-02-25T13:04:22Z</dcterms:modified>
</cp:coreProperties>
</file>