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latformIO\ESP32\Projects\Kwal27\excel\"/>
    </mc:Choice>
  </mc:AlternateContent>
  <xr:revisionPtr revIDLastSave="0" documentId="13_ncr:9_{2A36FC13-3C6E-461A-B95A-7620C782FB54}" xr6:coauthVersionLast="47" xr6:coauthVersionMax="47" xr10:uidLastSave="{00000000-0000-0000-0000-000000000000}"/>
  <bookViews>
    <workbookView xWindow="17505" yWindow="8910" windowWidth="23370" windowHeight="21435" xr2:uid="{7CDCDC7A-177B-40E3-8BAD-B0D32D1552ED}"/>
  </bookViews>
  <sheets>
    <sheet name="luxdata_130113" sheetId="1" r:id="rId1"/>
  </sheets>
  <calcPr calcId="0"/>
</workbook>
</file>

<file path=xl/calcChain.xml><?xml version="1.0" encoding="utf-8"?>
<calcChain xmlns="http://schemas.openxmlformats.org/spreadsheetml/2006/main">
  <c r="P28" i="1" l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1" i="1"/>
  <c r="M1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C1" i="1"/>
  <c r="J1" i="1"/>
  <c r="E1" i="1" s="1"/>
  <c r="I1" i="1"/>
  <c r="D1" i="1" l="1"/>
</calcChain>
</file>

<file path=xl/sharedStrings.xml><?xml version="1.0" encoding="utf-8"?>
<sst xmlns="http://schemas.openxmlformats.org/spreadsheetml/2006/main" count="28" uniqueCount="28">
  <si>
    <t>lux;brightness;nf</t>
  </si>
  <si>
    <t>0.8;237.3;1.000</t>
  </si>
  <si>
    <t>3.0;256.6;1.000</t>
  </si>
  <si>
    <t>6.8;270.7;1.000</t>
  </si>
  <si>
    <t>12.0;282.2;1.000</t>
  </si>
  <si>
    <t>18.8;292.0;1.000</t>
  </si>
  <si>
    <t>27.0;300.8;1.000</t>
  </si>
  <si>
    <t>36.7;308.6;1.000</t>
  </si>
  <si>
    <t>48.0;315.9;1.000</t>
  </si>
  <si>
    <t>60.7;322.6;1.000</t>
  </si>
  <si>
    <t>75.0;328.9;1.000</t>
  </si>
  <si>
    <t>90.7;334.8;1.000</t>
  </si>
  <si>
    <t>108.0;340.4;1.000</t>
  </si>
  <si>
    <t>126.7;345.7;1.000</t>
  </si>
  <si>
    <t>147.0;350.8;1.000</t>
  </si>
  <si>
    <t>168.8;355.7;1.000</t>
  </si>
  <si>
    <t>192.0;360.4;1.000</t>
  </si>
  <si>
    <t>216.8;364.9;1.000</t>
  </si>
  <si>
    <t>243.0;369.2;1.000</t>
  </si>
  <si>
    <t>270.8;373.4;1.000</t>
  </si>
  <si>
    <t>300.0;377.5;1.000</t>
  </si>
  <si>
    <t>319.8;349.9;0.733</t>
  </si>
  <si>
    <t>200.4;320.7;0.733</t>
  </si>
  <si>
    <t>102.8;280.6;0.741</t>
  </si>
  <si>
    <t>23.0;122.5;0.741</t>
  </si>
  <si>
    <t>15.7;92.3;0.741</t>
  </si>
  <si>
    <t>10.6;118.8;0.741</t>
  </si>
  <si>
    <t>43.3;41.2;5.243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</si>
</sst>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838145231846"/>
          <c:y val="5.8309037900874633E-2"/>
          <c:w val="0.79715507436570432"/>
          <c:h val="0.7846324311501878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luxdata_130113!$M$2:$M$21</c:f>
              <c:numCache>
                <c:formatCode>_-* #,##0.0_-;\-* #,##0.0_-;_-* "-"??_-;_-@_-</c:formatCode>
                <c:ptCount val="20"/>
                <c:pt idx="0">
                  <c:v>0.8</c:v>
                </c:pt>
                <c:pt idx="1">
                  <c:v>3</c:v>
                </c:pt>
                <c:pt idx="2">
                  <c:v>6.8</c:v>
                </c:pt>
                <c:pt idx="3">
                  <c:v>12</c:v>
                </c:pt>
                <c:pt idx="4">
                  <c:v>18.8</c:v>
                </c:pt>
                <c:pt idx="5">
                  <c:v>27</c:v>
                </c:pt>
                <c:pt idx="6">
                  <c:v>36.700000000000003</c:v>
                </c:pt>
                <c:pt idx="7">
                  <c:v>48</c:v>
                </c:pt>
                <c:pt idx="8">
                  <c:v>60.7</c:v>
                </c:pt>
                <c:pt idx="9">
                  <c:v>75</c:v>
                </c:pt>
                <c:pt idx="10">
                  <c:v>90.7</c:v>
                </c:pt>
                <c:pt idx="11">
                  <c:v>108</c:v>
                </c:pt>
                <c:pt idx="12">
                  <c:v>126.7</c:v>
                </c:pt>
                <c:pt idx="13">
                  <c:v>147</c:v>
                </c:pt>
                <c:pt idx="14">
                  <c:v>168.8</c:v>
                </c:pt>
                <c:pt idx="15">
                  <c:v>192</c:v>
                </c:pt>
                <c:pt idx="16">
                  <c:v>216.8</c:v>
                </c:pt>
                <c:pt idx="17">
                  <c:v>243</c:v>
                </c:pt>
                <c:pt idx="18">
                  <c:v>270.8</c:v>
                </c:pt>
                <c:pt idx="19">
                  <c:v>300</c:v>
                </c:pt>
              </c:numCache>
            </c:numRef>
          </c:xVal>
          <c:yVal>
            <c:numRef>
              <c:f>luxdata_130113!$N$2:$N$21</c:f>
              <c:numCache>
                <c:formatCode>General</c:formatCode>
                <c:ptCount val="20"/>
                <c:pt idx="0">
                  <c:v>237.3</c:v>
                </c:pt>
                <c:pt idx="1">
                  <c:v>256.60000000000002</c:v>
                </c:pt>
                <c:pt idx="2">
                  <c:v>270.7</c:v>
                </c:pt>
                <c:pt idx="3">
                  <c:v>282.2</c:v>
                </c:pt>
                <c:pt idx="4">
                  <c:v>292</c:v>
                </c:pt>
                <c:pt idx="5">
                  <c:v>300.8</c:v>
                </c:pt>
                <c:pt idx="6">
                  <c:v>308.60000000000002</c:v>
                </c:pt>
                <c:pt idx="7">
                  <c:v>315.89999999999998</c:v>
                </c:pt>
                <c:pt idx="8">
                  <c:v>322.60000000000002</c:v>
                </c:pt>
                <c:pt idx="9">
                  <c:v>328.9</c:v>
                </c:pt>
                <c:pt idx="10">
                  <c:v>334.8</c:v>
                </c:pt>
                <c:pt idx="11">
                  <c:v>340.4</c:v>
                </c:pt>
                <c:pt idx="12">
                  <c:v>345.7</c:v>
                </c:pt>
                <c:pt idx="13">
                  <c:v>350.8</c:v>
                </c:pt>
                <c:pt idx="14">
                  <c:v>355.7</c:v>
                </c:pt>
                <c:pt idx="15">
                  <c:v>360.4</c:v>
                </c:pt>
                <c:pt idx="16">
                  <c:v>364.9</c:v>
                </c:pt>
                <c:pt idx="17">
                  <c:v>369.2</c:v>
                </c:pt>
                <c:pt idx="18">
                  <c:v>373.4</c:v>
                </c:pt>
                <c:pt idx="19">
                  <c:v>377.5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1-45C2-B433-42CB2398029E}"/>
            </c:ext>
          </c:extLst>
        </c:ser>
        <c:ser>
          <c:idx val="1"/>
          <c:order val="1"/>
          <c:tx>
            <c:v>calib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luxdata_130113!$M$22:$M$28</c:f>
              <c:numCache>
                <c:formatCode>_-* #,##0.0_-;\-* #,##0.0_-;_-* "-"??_-;_-@_-</c:formatCode>
                <c:ptCount val="7"/>
                <c:pt idx="0">
                  <c:v>319.8</c:v>
                </c:pt>
                <c:pt idx="1">
                  <c:v>200.4</c:v>
                </c:pt>
                <c:pt idx="2">
                  <c:v>102.8</c:v>
                </c:pt>
                <c:pt idx="3">
                  <c:v>23</c:v>
                </c:pt>
                <c:pt idx="4">
                  <c:v>15.7</c:v>
                </c:pt>
                <c:pt idx="5">
                  <c:v>10.6</c:v>
                </c:pt>
                <c:pt idx="6">
                  <c:v>43.3</c:v>
                </c:pt>
              </c:numCache>
            </c:numRef>
          </c:xVal>
          <c:yVal>
            <c:numRef>
              <c:f>luxdata_130113!$N$22:$N$28</c:f>
              <c:numCache>
                <c:formatCode>General</c:formatCode>
                <c:ptCount val="7"/>
                <c:pt idx="0">
                  <c:v>256.47669999999999</c:v>
                </c:pt>
                <c:pt idx="1">
                  <c:v>235.07309999999998</c:v>
                </c:pt>
                <c:pt idx="2">
                  <c:v>207.92460000000003</c:v>
                </c:pt>
                <c:pt idx="3">
                  <c:v>90.772499999999994</c:v>
                </c:pt>
                <c:pt idx="4">
                  <c:v>68.394300000000001</c:v>
                </c:pt>
                <c:pt idx="5">
                  <c:v>88.030799999999999</c:v>
                </c:pt>
                <c:pt idx="6">
                  <c:v>216.01160000000002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1-45C2-B433-42CB2398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42319"/>
        <c:axId val="1892543759"/>
      </c:scatterChart>
      <c:valAx>
        <c:axId val="189254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luxdata_130113!$M$1</c:f>
              <c:strCache>
                <c:ptCount val="1"/>
                <c:pt idx="0">
                  <c:v> lux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2543759"/>
        <c:crosses val="autoZero"/>
        <c:crossBetween val="midCat"/>
      </c:valAx>
      <c:valAx>
        <c:axId val="18925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luxdata_130113!$N$1</c:f>
              <c:strCache>
                <c:ptCount val="1"/>
                <c:pt idx="0">
                  <c:v>brightness*nf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254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luxdata_130113!$P$2:$P$28</c:f>
              <c:numCache>
                <c:formatCode>_-* #,##0.0_-;\-* #,##0.0_-;_-* "-"??_-;_-@_-</c:formatCode>
                <c:ptCount val="27"/>
                <c:pt idx="0">
                  <c:v>0.8</c:v>
                </c:pt>
                <c:pt idx="1">
                  <c:v>3</c:v>
                </c:pt>
                <c:pt idx="2">
                  <c:v>6.8</c:v>
                </c:pt>
                <c:pt idx="3">
                  <c:v>12</c:v>
                </c:pt>
                <c:pt idx="4">
                  <c:v>18.8</c:v>
                </c:pt>
                <c:pt idx="5">
                  <c:v>27</c:v>
                </c:pt>
                <c:pt idx="6">
                  <c:v>36.700000000000003</c:v>
                </c:pt>
                <c:pt idx="7">
                  <c:v>48</c:v>
                </c:pt>
                <c:pt idx="8">
                  <c:v>60.7</c:v>
                </c:pt>
                <c:pt idx="9">
                  <c:v>75</c:v>
                </c:pt>
                <c:pt idx="10">
                  <c:v>90.7</c:v>
                </c:pt>
                <c:pt idx="11">
                  <c:v>108</c:v>
                </c:pt>
                <c:pt idx="12">
                  <c:v>126.7</c:v>
                </c:pt>
                <c:pt idx="13">
                  <c:v>147</c:v>
                </c:pt>
                <c:pt idx="14">
                  <c:v>168.8</c:v>
                </c:pt>
                <c:pt idx="15">
                  <c:v>192</c:v>
                </c:pt>
                <c:pt idx="16">
                  <c:v>216.8</c:v>
                </c:pt>
                <c:pt idx="17">
                  <c:v>243</c:v>
                </c:pt>
                <c:pt idx="18">
                  <c:v>270.8</c:v>
                </c:pt>
                <c:pt idx="19">
                  <c:v>300</c:v>
                </c:pt>
                <c:pt idx="20">
                  <c:v>319.8</c:v>
                </c:pt>
                <c:pt idx="21">
                  <c:v>200.4</c:v>
                </c:pt>
                <c:pt idx="22">
                  <c:v>102.8</c:v>
                </c:pt>
                <c:pt idx="23">
                  <c:v>23</c:v>
                </c:pt>
                <c:pt idx="24">
                  <c:v>15.7</c:v>
                </c:pt>
                <c:pt idx="25">
                  <c:v>10.6</c:v>
                </c:pt>
                <c:pt idx="26">
                  <c:v>43.3</c:v>
                </c:pt>
              </c:numCache>
            </c:numRef>
          </c:xVal>
          <c:yVal>
            <c:numRef>
              <c:f>luxdata_130113!$Q$2:$Q$28</c:f>
              <c:numCache>
                <c:formatCode>_(* #,##0.00_);_(* \(#,##0.00\);_(* "-"??_);_(@_)</c:formatCode>
                <c:ptCount val="27"/>
                <c:pt idx="0">
                  <c:v>5.9285725605226771</c:v>
                </c:pt>
                <c:pt idx="1">
                  <c:v>21.517203682192953</c:v>
                </c:pt>
                <c:pt idx="2">
                  <c:v>46.134407203176828</c:v>
                </c:pt>
                <c:pt idx="3">
                  <c:v>75.58091848224224</c:v>
                </c:pt>
                <c:pt idx="4">
                  <c:v>107.76780220521955</c:v>
                </c:pt>
                <c:pt idx="5">
                  <c:v>138.78548344426471</c:v>
                </c:pt>
                <c:pt idx="6">
                  <c:v>166.86540525138531</c:v>
                </c:pt>
                <c:pt idx="7">
                  <c:v>190.76806032946956</c:v>
                </c:pt>
                <c:pt idx="8">
                  <c:v>209.5340484577938</c:v>
                </c:pt>
                <c:pt idx="9">
                  <c:v>223.65019385953391</c:v>
                </c:pt>
                <c:pt idx="10">
                  <c:v>233.54777185040564</c:v>
                </c:pt>
                <c:pt idx="11">
                  <c:v>240.20902622525321</c:v>
                </c:pt>
                <c:pt idx="12">
                  <c:v>244.41289693350805</c:v>
                </c:pt>
                <c:pt idx="13">
                  <c:v>246.96120541752126</c:v>
                </c:pt>
                <c:pt idx="14">
                  <c:v>248.41994300707117</c:v>
                </c:pt>
                <c:pt idx="15">
                  <c:v>249.21222210038891</c:v>
                </c:pt>
                <c:pt idx="16">
                  <c:v>249.62564063807534</c:v>
                </c:pt>
                <c:pt idx="17">
                  <c:v>249.82941798681091</c:v>
                </c:pt>
                <c:pt idx="18">
                  <c:v>249.92591476928533</c:v>
                </c:pt>
                <c:pt idx="19">
                  <c:v>249.96914754897833</c:v>
                </c:pt>
                <c:pt idx="20">
                  <c:v>249.98296591738276</c:v>
                </c:pt>
                <c:pt idx="21">
                  <c:v>249.38770377276026</c:v>
                </c:pt>
                <c:pt idx="22">
                  <c:v>238.55605329831025</c:v>
                </c:pt>
                <c:pt idx="23">
                  <c:v>124.60598273348612</c:v>
                </c:pt>
                <c:pt idx="24">
                  <c:v>93.905605397147184</c:v>
                </c:pt>
                <c:pt idx="25">
                  <c:v>68.099302896351134</c:v>
                </c:pt>
                <c:pt idx="26">
                  <c:v>181.7988847154059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2-4D59-BA05-886746CA0A2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luxdata_130113!$M$22:$M$28</c:f>
              <c:numCache>
                <c:formatCode>_-* #,##0.0_-;\-* #,##0.0_-;_-* "-"??_-;_-@_-</c:formatCode>
                <c:ptCount val="7"/>
                <c:pt idx="0">
                  <c:v>319.8</c:v>
                </c:pt>
                <c:pt idx="1">
                  <c:v>200.4</c:v>
                </c:pt>
                <c:pt idx="2">
                  <c:v>102.8</c:v>
                </c:pt>
                <c:pt idx="3">
                  <c:v>23</c:v>
                </c:pt>
                <c:pt idx="4">
                  <c:v>15.7</c:v>
                </c:pt>
                <c:pt idx="5">
                  <c:v>10.6</c:v>
                </c:pt>
                <c:pt idx="6">
                  <c:v>43.3</c:v>
                </c:pt>
              </c:numCache>
            </c:numRef>
          </c:xVal>
          <c:yVal>
            <c:numRef>
              <c:f>luxdata_130113!$N$22:$N$28</c:f>
              <c:numCache>
                <c:formatCode>General</c:formatCode>
                <c:ptCount val="7"/>
                <c:pt idx="0">
                  <c:v>256.47669999999999</c:v>
                </c:pt>
                <c:pt idx="1">
                  <c:v>235.07309999999998</c:v>
                </c:pt>
                <c:pt idx="2">
                  <c:v>207.92460000000003</c:v>
                </c:pt>
                <c:pt idx="3">
                  <c:v>90.772499999999994</c:v>
                </c:pt>
                <c:pt idx="4">
                  <c:v>68.394300000000001</c:v>
                </c:pt>
                <c:pt idx="5">
                  <c:v>88.030799999999999</c:v>
                </c:pt>
                <c:pt idx="6">
                  <c:v>216.01160000000002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12-4D59-BA05-886746CA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19759"/>
        <c:axId val="1892520239"/>
      </c:scatterChart>
      <c:valAx>
        <c:axId val="189251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2520239"/>
        <c:crosses val="autoZero"/>
        <c:crossBetween val="midCat"/>
      </c:valAx>
      <c:valAx>
        <c:axId val="18925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251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32</xdr:row>
      <xdr:rowOff>95250</xdr:rowOff>
    </xdr:from>
    <xdr:to>
      <xdr:col>23</xdr:col>
      <xdr:colOff>9525</xdr:colOff>
      <xdr:row>49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AF070-3CB3-334B-5016-6C4FE15FF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18</xdr:row>
      <xdr:rowOff>161925</xdr:rowOff>
    </xdr:from>
    <xdr:to>
      <xdr:col>12</xdr:col>
      <xdr:colOff>19050</xdr:colOff>
      <xdr:row>33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0BA08A-E3D7-D2D4-024D-8322D64C3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33AC-5832-406A-966C-5F2B9F8D5059}">
  <dimension ref="A1:R54"/>
  <sheetViews>
    <sheetView tabSelected="1" workbookViewId="0">
      <selection activeCell="R2" sqref="R2"/>
    </sheetView>
  </sheetViews>
  <sheetFormatPr defaultRowHeight="15" x14ac:dyDescent="0.25"/>
  <cols>
    <col min="3" max="4" width="9.140625" style="2"/>
  </cols>
  <sheetData>
    <row r="1" spans="1:18" x14ac:dyDescent="0.25">
      <c r="A1" t="s">
        <v>0</v>
      </c>
      <c r="C1" s="2" t="str">
        <f>LEFT(A1,I1-1)</f>
        <v>lux</v>
      </c>
      <c r="D1" s="2" t="str">
        <f>MID(A1,I1+1,J1-I1-1)</f>
        <v>brightness</v>
      </c>
      <c r="E1" t="str">
        <f>MID(A1,J1+1,99)</f>
        <v>nf</v>
      </c>
      <c r="I1">
        <f>FIND(";",$A1)</f>
        <v>4</v>
      </c>
      <c r="J1">
        <f>FIND(";",$A1,I1+1)</f>
        <v>15</v>
      </c>
      <c r="M1" s="3" t="str">
        <f>C1</f>
        <v>lux</v>
      </c>
      <c r="N1" t="str">
        <f>D1&amp;"*"&amp;E1</f>
        <v>brightness*nf</v>
      </c>
      <c r="Q1">
        <v>250</v>
      </c>
      <c r="R1">
        <v>0.03</v>
      </c>
    </row>
    <row r="2" spans="1:18" x14ac:dyDescent="0.25">
      <c r="A2" t="s">
        <v>1</v>
      </c>
      <c r="C2" s="2">
        <f>VALUE(LEFT(A2,I2-1))</f>
        <v>0.8</v>
      </c>
      <c r="D2" s="2">
        <f>VALUE(MID(A2,I2+1,J2-I2-1))</f>
        <v>237.3</v>
      </c>
      <c r="E2" s="1">
        <f>VALUE(MID(A2,J2+1,99))</f>
        <v>1</v>
      </c>
      <c r="I2">
        <f t="shared" ref="I2:I53" si="0">FIND(";",$A2)</f>
        <v>4</v>
      </c>
      <c r="J2">
        <f t="shared" ref="J2:J53" si="1">FIND(";",$A2,I2+1)</f>
        <v>10</v>
      </c>
      <c r="M2" s="3">
        <f>C2</f>
        <v>0.8</v>
      </c>
      <c r="N2">
        <f>D2*E2</f>
        <v>237.3</v>
      </c>
      <c r="P2" s="3">
        <f>M2</f>
        <v>0.8</v>
      </c>
      <c r="Q2" s="4">
        <f>$Q$1*(1-EXP(-$R$1*M2))</f>
        <v>5.9285725605226771</v>
      </c>
    </row>
    <row r="3" spans="1:18" x14ac:dyDescent="0.25">
      <c r="A3" t="s">
        <v>2</v>
      </c>
      <c r="C3" s="2">
        <f t="shared" ref="C3:C54" si="2">VALUE(LEFT(A3,I3-1))</f>
        <v>3</v>
      </c>
      <c r="D3" s="2">
        <f t="shared" ref="D3:D54" si="3">VALUE(MID(A3,I3+1,J3-I3-1))</f>
        <v>256.60000000000002</v>
      </c>
      <c r="E3" s="1">
        <f t="shared" ref="E3:E54" si="4">VALUE(MID(A3,J3+1,99))</f>
        <v>1</v>
      </c>
      <c r="I3">
        <f t="shared" si="0"/>
        <v>4</v>
      </c>
      <c r="J3">
        <f t="shared" si="1"/>
        <v>10</v>
      </c>
      <c r="M3" s="3">
        <f t="shared" ref="M3:M29" si="5">C3</f>
        <v>3</v>
      </c>
      <c r="N3">
        <f t="shared" ref="N3:N29" si="6">D3*E3</f>
        <v>256.60000000000002</v>
      </c>
      <c r="P3" s="3">
        <f t="shared" ref="P3:P28" si="7">M3</f>
        <v>3</v>
      </c>
      <c r="Q3" s="4">
        <f t="shared" ref="Q3:Q37" si="8">$Q$1*(1-EXP(-$R$1*M3))</f>
        <v>21.517203682192953</v>
      </c>
    </row>
    <row r="4" spans="1:18" x14ac:dyDescent="0.25">
      <c r="A4" t="s">
        <v>3</v>
      </c>
      <c r="C4" s="2">
        <f t="shared" si="2"/>
        <v>6.8</v>
      </c>
      <c r="D4" s="2">
        <f t="shared" si="3"/>
        <v>270.7</v>
      </c>
      <c r="E4" s="1">
        <f t="shared" si="4"/>
        <v>1</v>
      </c>
      <c r="I4">
        <f t="shared" si="0"/>
        <v>4</v>
      </c>
      <c r="J4">
        <f t="shared" si="1"/>
        <v>10</v>
      </c>
      <c r="M4" s="3">
        <f t="shared" si="5"/>
        <v>6.8</v>
      </c>
      <c r="N4">
        <f t="shared" si="6"/>
        <v>270.7</v>
      </c>
      <c r="P4" s="3">
        <f t="shared" si="7"/>
        <v>6.8</v>
      </c>
      <c r="Q4" s="4">
        <f t="shared" si="8"/>
        <v>46.134407203176828</v>
      </c>
    </row>
    <row r="5" spans="1:18" x14ac:dyDescent="0.25">
      <c r="A5" t="s">
        <v>4</v>
      </c>
      <c r="C5" s="2">
        <f t="shared" si="2"/>
        <v>12</v>
      </c>
      <c r="D5" s="2">
        <f t="shared" si="3"/>
        <v>282.2</v>
      </c>
      <c r="E5" s="1">
        <f t="shared" si="4"/>
        <v>1</v>
      </c>
      <c r="I5">
        <f t="shared" si="0"/>
        <v>5</v>
      </c>
      <c r="J5">
        <f t="shared" si="1"/>
        <v>11</v>
      </c>
      <c r="M5" s="3">
        <f t="shared" si="5"/>
        <v>12</v>
      </c>
      <c r="N5">
        <f t="shared" si="6"/>
        <v>282.2</v>
      </c>
      <c r="P5" s="3">
        <f t="shared" si="7"/>
        <v>12</v>
      </c>
      <c r="Q5" s="4">
        <f t="shared" si="8"/>
        <v>75.58091848224224</v>
      </c>
    </row>
    <row r="6" spans="1:18" x14ac:dyDescent="0.25">
      <c r="A6" t="s">
        <v>5</v>
      </c>
      <c r="C6" s="2">
        <f t="shared" si="2"/>
        <v>18.8</v>
      </c>
      <c r="D6" s="2">
        <f t="shared" si="3"/>
        <v>292</v>
      </c>
      <c r="E6" s="1">
        <f t="shared" si="4"/>
        <v>1</v>
      </c>
      <c r="I6">
        <f t="shared" si="0"/>
        <v>5</v>
      </c>
      <c r="J6">
        <f t="shared" si="1"/>
        <v>11</v>
      </c>
      <c r="M6" s="3">
        <f t="shared" si="5"/>
        <v>18.8</v>
      </c>
      <c r="N6">
        <f t="shared" si="6"/>
        <v>292</v>
      </c>
      <c r="P6" s="3">
        <f t="shared" si="7"/>
        <v>18.8</v>
      </c>
      <c r="Q6" s="4">
        <f t="shared" si="8"/>
        <v>107.76780220521955</v>
      </c>
    </row>
    <row r="7" spans="1:18" x14ac:dyDescent="0.25">
      <c r="A7" t="s">
        <v>6</v>
      </c>
      <c r="C7" s="2">
        <f t="shared" si="2"/>
        <v>27</v>
      </c>
      <c r="D7" s="2">
        <f t="shared" si="3"/>
        <v>300.8</v>
      </c>
      <c r="E7" s="1">
        <f t="shared" si="4"/>
        <v>1</v>
      </c>
      <c r="I7">
        <f t="shared" si="0"/>
        <v>5</v>
      </c>
      <c r="J7">
        <f t="shared" si="1"/>
        <v>11</v>
      </c>
      <c r="M7" s="3">
        <f t="shared" si="5"/>
        <v>27</v>
      </c>
      <c r="N7">
        <f t="shared" si="6"/>
        <v>300.8</v>
      </c>
      <c r="P7" s="3">
        <f t="shared" si="7"/>
        <v>27</v>
      </c>
      <c r="Q7" s="4">
        <f t="shared" si="8"/>
        <v>138.78548344426471</v>
      </c>
    </row>
    <row r="8" spans="1:18" x14ac:dyDescent="0.25">
      <c r="A8" t="s">
        <v>7</v>
      </c>
      <c r="C8" s="2">
        <f t="shared" si="2"/>
        <v>36.700000000000003</v>
      </c>
      <c r="D8" s="2">
        <f t="shared" si="3"/>
        <v>308.60000000000002</v>
      </c>
      <c r="E8" s="1">
        <f t="shared" si="4"/>
        <v>1</v>
      </c>
      <c r="I8">
        <f t="shared" si="0"/>
        <v>5</v>
      </c>
      <c r="J8">
        <f t="shared" si="1"/>
        <v>11</v>
      </c>
      <c r="M8" s="3">
        <f t="shared" si="5"/>
        <v>36.700000000000003</v>
      </c>
      <c r="N8">
        <f t="shared" si="6"/>
        <v>308.60000000000002</v>
      </c>
      <c r="P8" s="3">
        <f t="shared" si="7"/>
        <v>36.700000000000003</v>
      </c>
      <c r="Q8" s="4">
        <f t="shared" si="8"/>
        <v>166.86540525138531</v>
      </c>
    </row>
    <row r="9" spans="1:18" x14ac:dyDescent="0.25">
      <c r="A9" t="s">
        <v>8</v>
      </c>
      <c r="C9" s="2">
        <f t="shared" si="2"/>
        <v>48</v>
      </c>
      <c r="D9" s="2">
        <f t="shared" si="3"/>
        <v>315.89999999999998</v>
      </c>
      <c r="E9" s="1">
        <f t="shared" si="4"/>
        <v>1</v>
      </c>
      <c r="I9">
        <f t="shared" si="0"/>
        <v>5</v>
      </c>
      <c r="J9">
        <f t="shared" si="1"/>
        <v>11</v>
      </c>
      <c r="M9" s="3">
        <f t="shared" si="5"/>
        <v>48</v>
      </c>
      <c r="N9">
        <f t="shared" si="6"/>
        <v>315.89999999999998</v>
      </c>
      <c r="P9" s="3">
        <f t="shared" si="7"/>
        <v>48</v>
      </c>
      <c r="Q9" s="4">
        <f t="shared" si="8"/>
        <v>190.76806032946956</v>
      </c>
    </row>
    <row r="10" spans="1:18" x14ac:dyDescent="0.25">
      <c r="A10" t="s">
        <v>9</v>
      </c>
      <c r="C10" s="2">
        <f t="shared" si="2"/>
        <v>60.7</v>
      </c>
      <c r="D10" s="2">
        <f t="shared" si="3"/>
        <v>322.60000000000002</v>
      </c>
      <c r="E10" s="1">
        <f t="shared" si="4"/>
        <v>1</v>
      </c>
      <c r="I10">
        <f t="shared" si="0"/>
        <v>5</v>
      </c>
      <c r="J10">
        <f t="shared" si="1"/>
        <v>11</v>
      </c>
      <c r="M10" s="3">
        <f t="shared" si="5"/>
        <v>60.7</v>
      </c>
      <c r="N10">
        <f t="shared" si="6"/>
        <v>322.60000000000002</v>
      </c>
      <c r="P10" s="3">
        <f t="shared" si="7"/>
        <v>60.7</v>
      </c>
      <c r="Q10" s="4">
        <f t="shared" si="8"/>
        <v>209.5340484577938</v>
      </c>
    </row>
    <row r="11" spans="1:18" x14ac:dyDescent="0.25">
      <c r="A11" t="s">
        <v>10</v>
      </c>
      <c r="C11" s="2">
        <f t="shared" si="2"/>
        <v>75</v>
      </c>
      <c r="D11" s="2">
        <f t="shared" si="3"/>
        <v>328.9</v>
      </c>
      <c r="E11" s="1">
        <f t="shared" si="4"/>
        <v>1</v>
      </c>
      <c r="I11">
        <f t="shared" si="0"/>
        <v>5</v>
      </c>
      <c r="J11">
        <f t="shared" si="1"/>
        <v>11</v>
      </c>
      <c r="M11" s="3">
        <f t="shared" si="5"/>
        <v>75</v>
      </c>
      <c r="N11">
        <f t="shared" si="6"/>
        <v>328.9</v>
      </c>
      <c r="P11" s="3">
        <f t="shared" si="7"/>
        <v>75</v>
      </c>
      <c r="Q11" s="4">
        <f t="shared" si="8"/>
        <v>223.65019385953391</v>
      </c>
    </row>
    <row r="12" spans="1:18" x14ac:dyDescent="0.25">
      <c r="A12" t="s">
        <v>11</v>
      </c>
      <c r="C12" s="2">
        <f t="shared" si="2"/>
        <v>90.7</v>
      </c>
      <c r="D12" s="2">
        <f t="shared" si="3"/>
        <v>334.8</v>
      </c>
      <c r="E12" s="1">
        <f t="shared" si="4"/>
        <v>1</v>
      </c>
      <c r="I12">
        <f t="shared" si="0"/>
        <v>5</v>
      </c>
      <c r="J12">
        <f t="shared" si="1"/>
        <v>11</v>
      </c>
      <c r="M12" s="3">
        <f t="shared" si="5"/>
        <v>90.7</v>
      </c>
      <c r="N12">
        <f t="shared" si="6"/>
        <v>334.8</v>
      </c>
      <c r="P12" s="3">
        <f t="shared" si="7"/>
        <v>90.7</v>
      </c>
      <c r="Q12" s="4">
        <f t="shared" si="8"/>
        <v>233.54777185040564</v>
      </c>
    </row>
    <row r="13" spans="1:18" x14ac:dyDescent="0.25">
      <c r="A13" t="s">
        <v>12</v>
      </c>
      <c r="C13" s="2">
        <f t="shared" si="2"/>
        <v>108</v>
      </c>
      <c r="D13" s="2">
        <f t="shared" si="3"/>
        <v>340.4</v>
      </c>
      <c r="E13" s="1">
        <f t="shared" si="4"/>
        <v>1</v>
      </c>
      <c r="I13">
        <f t="shared" si="0"/>
        <v>6</v>
      </c>
      <c r="J13">
        <f t="shared" si="1"/>
        <v>12</v>
      </c>
      <c r="M13" s="3">
        <f t="shared" si="5"/>
        <v>108</v>
      </c>
      <c r="N13">
        <f t="shared" si="6"/>
        <v>340.4</v>
      </c>
      <c r="P13" s="3">
        <f t="shared" si="7"/>
        <v>108</v>
      </c>
      <c r="Q13" s="4">
        <f t="shared" si="8"/>
        <v>240.20902622525321</v>
      </c>
    </row>
    <row r="14" spans="1:18" x14ac:dyDescent="0.25">
      <c r="A14" t="s">
        <v>13</v>
      </c>
      <c r="C14" s="2">
        <f t="shared" si="2"/>
        <v>126.7</v>
      </c>
      <c r="D14" s="2">
        <f t="shared" si="3"/>
        <v>345.7</v>
      </c>
      <c r="E14" s="1">
        <f t="shared" si="4"/>
        <v>1</v>
      </c>
      <c r="I14">
        <f t="shared" si="0"/>
        <v>6</v>
      </c>
      <c r="J14">
        <f t="shared" si="1"/>
        <v>12</v>
      </c>
      <c r="M14" s="3">
        <f t="shared" si="5"/>
        <v>126.7</v>
      </c>
      <c r="N14">
        <f t="shared" si="6"/>
        <v>345.7</v>
      </c>
      <c r="P14" s="3">
        <f t="shared" si="7"/>
        <v>126.7</v>
      </c>
      <c r="Q14" s="4">
        <f t="shared" si="8"/>
        <v>244.41289693350805</v>
      </c>
    </row>
    <row r="15" spans="1:18" x14ac:dyDescent="0.25">
      <c r="A15" t="s">
        <v>14</v>
      </c>
      <c r="C15" s="2">
        <f t="shared" si="2"/>
        <v>147</v>
      </c>
      <c r="D15" s="2">
        <f t="shared" si="3"/>
        <v>350.8</v>
      </c>
      <c r="E15" s="1">
        <f t="shared" si="4"/>
        <v>1</v>
      </c>
      <c r="I15">
        <f t="shared" si="0"/>
        <v>6</v>
      </c>
      <c r="J15">
        <f t="shared" si="1"/>
        <v>12</v>
      </c>
      <c r="M15" s="3">
        <f t="shared" si="5"/>
        <v>147</v>
      </c>
      <c r="N15">
        <f t="shared" si="6"/>
        <v>350.8</v>
      </c>
      <c r="P15" s="3">
        <f t="shared" si="7"/>
        <v>147</v>
      </c>
      <c r="Q15" s="4">
        <f t="shared" si="8"/>
        <v>246.96120541752126</v>
      </c>
    </row>
    <row r="16" spans="1:18" x14ac:dyDescent="0.25">
      <c r="A16" t="s">
        <v>15</v>
      </c>
      <c r="C16" s="2">
        <f t="shared" si="2"/>
        <v>168.8</v>
      </c>
      <c r="D16" s="2">
        <f t="shared" si="3"/>
        <v>355.7</v>
      </c>
      <c r="E16" s="1">
        <f t="shared" si="4"/>
        <v>1</v>
      </c>
      <c r="I16">
        <f t="shared" si="0"/>
        <v>6</v>
      </c>
      <c r="J16">
        <f t="shared" si="1"/>
        <v>12</v>
      </c>
      <c r="M16" s="3">
        <f t="shared" si="5"/>
        <v>168.8</v>
      </c>
      <c r="N16">
        <f t="shared" si="6"/>
        <v>355.7</v>
      </c>
      <c r="P16" s="3">
        <f t="shared" si="7"/>
        <v>168.8</v>
      </c>
      <c r="Q16" s="4">
        <f t="shared" si="8"/>
        <v>248.41994300707117</v>
      </c>
    </row>
    <row r="17" spans="1:17" x14ac:dyDescent="0.25">
      <c r="A17" t="s">
        <v>16</v>
      </c>
      <c r="C17" s="2">
        <f t="shared" si="2"/>
        <v>192</v>
      </c>
      <c r="D17" s="2">
        <f t="shared" si="3"/>
        <v>360.4</v>
      </c>
      <c r="E17" s="1">
        <f t="shared" si="4"/>
        <v>1</v>
      </c>
      <c r="I17">
        <f t="shared" si="0"/>
        <v>6</v>
      </c>
      <c r="J17">
        <f t="shared" si="1"/>
        <v>12</v>
      </c>
      <c r="M17" s="3">
        <f t="shared" si="5"/>
        <v>192</v>
      </c>
      <c r="N17">
        <f t="shared" si="6"/>
        <v>360.4</v>
      </c>
      <c r="P17" s="3">
        <f t="shared" si="7"/>
        <v>192</v>
      </c>
      <c r="Q17" s="4">
        <f t="shared" si="8"/>
        <v>249.21222210038891</v>
      </c>
    </row>
    <row r="18" spans="1:17" x14ac:dyDescent="0.25">
      <c r="A18" t="s">
        <v>17</v>
      </c>
      <c r="C18" s="2">
        <f t="shared" si="2"/>
        <v>216.8</v>
      </c>
      <c r="D18" s="2">
        <f t="shared" si="3"/>
        <v>364.9</v>
      </c>
      <c r="E18" s="1">
        <f t="shared" si="4"/>
        <v>1</v>
      </c>
      <c r="I18">
        <f t="shared" si="0"/>
        <v>6</v>
      </c>
      <c r="J18">
        <f t="shared" si="1"/>
        <v>12</v>
      </c>
      <c r="M18" s="3">
        <f t="shared" si="5"/>
        <v>216.8</v>
      </c>
      <c r="N18">
        <f t="shared" si="6"/>
        <v>364.9</v>
      </c>
      <c r="P18" s="3">
        <f t="shared" si="7"/>
        <v>216.8</v>
      </c>
      <c r="Q18" s="4">
        <f t="shared" si="8"/>
        <v>249.62564063807534</v>
      </c>
    </row>
    <row r="19" spans="1:17" x14ac:dyDescent="0.25">
      <c r="A19" t="s">
        <v>18</v>
      </c>
      <c r="C19" s="2">
        <f t="shared" si="2"/>
        <v>243</v>
      </c>
      <c r="D19" s="2">
        <f t="shared" si="3"/>
        <v>369.2</v>
      </c>
      <c r="E19" s="1">
        <f t="shared" si="4"/>
        <v>1</v>
      </c>
      <c r="I19">
        <f t="shared" si="0"/>
        <v>6</v>
      </c>
      <c r="J19">
        <f t="shared" si="1"/>
        <v>12</v>
      </c>
      <c r="M19" s="3">
        <f t="shared" si="5"/>
        <v>243</v>
      </c>
      <c r="N19">
        <f t="shared" si="6"/>
        <v>369.2</v>
      </c>
      <c r="P19" s="3">
        <f t="shared" si="7"/>
        <v>243</v>
      </c>
      <c r="Q19" s="4">
        <f t="shared" si="8"/>
        <v>249.82941798681091</v>
      </c>
    </row>
    <row r="20" spans="1:17" x14ac:dyDescent="0.25">
      <c r="A20" t="s">
        <v>19</v>
      </c>
      <c r="C20" s="2">
        <f t="shared" si="2"/>
        <v>270.8</v>
      </c>
      <c r="D20" s="2">
        <f t="shared" si="3"/>
        <v>373.4</v>
      </c>
      <c r="E20" s="1">
        <f t="shared" si="4"/>
        <v>1</v>
      </c>
      <c r="I20">
        <f t="shared" si="0"/>
        <v>6</v>
      </c>
      <c r="J20">
        <f t="shared" si="1"/>
        <v>12</v>
      </c>
      <c r="M20" s="3">
        <f t="shared" si="5"/>
        <v>270.8</v>
      </c>
      <c r="N20">
        <f t="shared" si="6"/>
        <v>373.4</v>
      </c>
      <c r="P20" s="3">
        <f t="shared" si="7"/>
        <v>270.8</v>
      </c>
      <c r="Q20" s="4">
        <f t="shared" si="8"/>
        <v>249.92591476928533</v>
      </c>
    </row>
    <row r="21" spans="1:17" x14ac:dyDescent="0.25">
      <c r="A21" t="s">
        <v>20</v>
      </c>
      <c r="C21" s="2">
        <f t="shared" si="2"/>
        <v>300</v>
      </c>
      <c r="D21" s="2">
        <f t="shared" si="3"/>
        <v>377.5</v>
      </c>
      <c r="E21" s="1">
        <f t="shared" si="4"/>
        <v>1</v>
      </c>
      <c r="I21">
        <f t="shared" si="0"/>
        <v>6</v>
      </c>
      <c r="J21">
        <f t="shared" si="1"/>
        <v>12</v>
      </c>
      <c r="M21" s="3">
        <f t="shared" si="5"/>
        <v>300</v>
      </c>
      <c r="N21">
        <f t="shared" si="6"/>
        <v>377.5</v>
      </c>
      <c r="P21" s="3">
        <f t="shared" si="7"/>
        <v>300</v>
      </c>
      <c r="Q21" s="4">
        <f t="shared" si="8"/>
        <v>249.96914754897833</v>
      </c>
    </row>
    <row r="22" spans="1:17" x14ac:dyDescent="0.25">
      <c r="A22" t="s">
        <v>21</v>
      </c>
      <c r="C22" s="2">
        <f t="shared" si="2"/>
        <v>319.8</v>
      </c>
      <c r="D22" s="2">
        <f t="shared" si="3"/>
        <v>349.9</v>
      </c>
      <c r="E22" s="1">
        <f t="shared" si="4"/>
        <v>0.73299999999999998</v>
      </c>
      <c r="I22">
        <f t="shared" si="0"/>
        <v>6</v>
      </c>
      <c r="J22">
        <f t="shared" si="1"/>
        <v>12</v>
      </c>
      <c r="M22" s="3">
        <f t="shared" si="5"/>
        <v>319.8</v>
      </c>
      <c r="N22">
        <f t="shared" si="6"/>
        <v>256.47669999999999</v>
      </c>
      <c r="P22" s="3">
        <f t="shared" si="7"/>
        <v>319.8</v>
      </c>
      <c r="Q22" s="4">
        <f t="shared" si="8"/>
        <v>249.98296591738276</v>
      </c>
    </row>
    <row r="23" spans="1:17" x14ac:dyDescent="0.25">
      <c r="A23" t="s">
        <v>22</v>
      </c>
      <c r="C23" s="2">
        <f t="shared" si="2"/>
        <v>200.4</v>
      </c>
      <c r="D23" s="2">
        <f t="shared" si="3"/>
        <v>320.7</v>
      </c>
      <c r="E23" s="1">
        <f t="shared" si="4"/>
        <v>0.73299999999999998</v>
      </c>
      <c r="I23">
        <f t="shared" si="0"/>
        <v>6</v>
      </c>
      <c r="J23">
        <f t="shared" si="1"/>
        <v>12</v>
      </c>
      <c r="M23" s="3">
        <f t="shared" si="5"/>
        <v>200.4</v>
      </c>
      <c r="N23">
        <f t="shared" si="6"/>
        <v>235.07309999999998</v>
      </c>
      <c r="P23" s="3">
        <f t="shared" si="7"/>
        <v>200.4</v>
      </c>
      <c r="Q23" s="4">
        <f t="shared" si="8"/>
        <v>249.38770377276026</v>
      </c>
    </row>
    <row r="24" spans="1:17" x14ac:dyDescent="0.25">
      <c r="A24" t="s">
        <v>23</v>
      </c>
      <c r="C24" s="2">
        <f t="shared" si="2"/>
        <v>102.8</v>
      </c>
      <c r="D24" s="2">
        <f t="shared" si="3"/>
        <v>280.60000000000002</v>
      </c>
      <c r="E24" s="1">
        <f t="shared" si="4"/>
        <v>0.74099999999999999</v>
      </c>
      <c r="I24">
        <f t="shared" si="0"/>
        <v>6</v>
      </c>
      <c r="J24">
        <f t="shared" si="1"/>
        <v>12</v>
      </c>
      <c r="M24" s="3">
        <f t="shared" si="5"/>
        <v>102.8</v>
      </c>
      <c r="N24">
        <f t="shared" si="6"/>
        <v>207.92460000000003</v>
      </c>
      <c r="P24" s="3">
        <f t="shared" si="7"/>
        <v>102.8</v>
      </c>
      <c r="Q24" s="4">
        <f t="shared" si="8"/>
        <v>238.55605329831025</v>
      </c>
    </row>
    <row r="25" spans="1:17" x14ac:dyDescent="0.25">
      <c r="A25" t="s">
        <v>24</v>
      </c>
      <c r="C25" s="2">
        <f t="shared" si="2"/>
        <v>23</v>
      </c>
      <c r="D25" s="2">
        <f t="shared" si="3"/>
        <v>122.5</v>
      </c>
      <c r="E25" s="1">
        <f t="shared" si="4"/>
        <v>0.74099999999999999</v>
      </c>
      <c r="I25">
        <f t="shared" si="0"/>
        <v>5</v>
      </c>
      <c r="J25">
        <f t="shared" si="1"/>
        <v>11</v>
      </c>
      <c r="M25" s="3">
        <f t="shared" si="5"/>
        <v>23</v>
      </c>
      <c r="N25">
        <f t="shared" si="6"/>
        <v>90.772499999999994</v>
      </c>
      <c r="P25" s="3">
        <f t="shared" si="7"/>
        <v>23</v>
      </c>
      <c r="Q25" s="4">
        <f t="shared" si="8"/>
        <v>124.60598273348612</v>
      </c>
    </row>
    <row r="26" spans="1:17" x14ac:dyDescent="0.25">
      <c r="A26" t="s">
        <v>25</v>
      </c>
      <c r="C26" s="2">
        <f t="shared" si="2"/>
        <v>15.7</v>
      </c>
      <c r="D26" s="2">
        <f t="shared" si="3"/>
        <v>92.3</v>
      </c>
      <c r="E26" s="1">
        <f t="shared" si="4"/>
        <v>0.74099999999999999</v>
      </c>
      <c r="I26">
        <f t="shared" si="0"/>
        <v>5</v>
      </c>
      <c r="J26">
        <f t="shared" si="1"/>
        <v>10</v>
      </c>
      <c r="M26" s="3">
        <f t="shared" si="5"/>
        <v>15.7</v>
      </c>
      <c r="N26">
        <f t="shared" si="6"/>
        <v>68.394300000000001</v>
      </c>
      <c r="P26" s="3">
        <f t="shared" si="7"/>
        <v>15.7</v>
      </c>
      <c r="Q26" s="4">
        <f t="shared" si="8"/>
        <v>93.905605397147184</v>
      </c>
    </row>
    <row r="27" spans="1:17" x14ac:dyDescent="0.25">
      <c r="A27" t="s">
        <v>26</v>
      </c>
      <c r="C27" s="2">
        <f t="shared" si="2"/>
        <v>10.6</v>
      </c>
      <c r="D27" s="2">
        <f t="shared" si="3"/>
        <v>118.8</v>
      </c>
      <c r="E27" s="1">
        <f t="shared" si="4"/>
        <v>0.74099999999999999</v>
      </c>
      <c r="I27">
        <f t="shared" si="0"/>
        <v>5</v>
      </c>
      <c r="J27">
        <f t="shared" si="1"/>
        <v>11</v>
      </c>
      <c r="M27" s="3">
        <f t="shared" si="5"/>
        <v>10.6</v>
      </c>
      <c r="N27">
        <f t="shared" si="6"/>
        <v>88.030799999999999</v>
      </c>
      <c r="P27" s="3">
        <f t="shared" si="7"/>
        <v>10.6</v>
      </c>
      <c r="Q27" s="4">
        <f t="shared" si="8"/>
        <v>68.099302896351134</v>
      </c>
    </row>
    <row r="28" spans="1:17" x14ac:dyDescent="0.25">
      <c r="A28" t="s">
        <v>27</v>
      </c>
      <c r="C28" s="2">
        <f t="shared" si="2"/>
        <v>43.3</v>
      </c>
      <c r="D28" s="2">
        <f t="shared" si="3"/>
        <v>41.2</v>
      </c>
      <c r="E28" s="1">
        <f t="shared" si="4"/>
        <v>5.2430000000000003</v>
      </c>
      <c r="I28">
        <f t="shared" si="0"/>
        <v>5</v>
      </c>
      <c r="J28">
        <f t="shared" si="1"/>
        <v>10</v>
      </c>
      <c r="M28" s="3">
        <f t="shared" si="5"/>
        <v>43.3</v>
      </c>
      <c r="N28">
        <f t="shared" si="6"/>
        <v>216.01160000000002</v>
      </c>
      <c r="P28" s="3">
        <f t="shared" si="7"/>
        <v>43.3</v>
      </c>
      <c r="Q28" s="4">
        <f t="shared" si="8"/>
        <v>181.7988847154059</v>
      </c>
    </row>
    <row r="29" spans="1:17" x14ac:dyDescent="0.25">
      <c r="C29" s="2" t="e">
        <f t="shared" si="2"/>
        <v>#VALUE!</v>
      </c>
      <c r="D29" s="2" t="e">
        <f t="shared" si="3"/>
        <v>#VALUE!</v>
      </c>
      <c r="E29" s="1" t="e">
        <f t="shared" si="4"/>
        <v>#VALUE!</v>
      </c>
      <c r="I29" t="e">
        <f t="shared" si="0"/>
        <v>#VALUE!</v>
      </c>
      <c r="J29" t="e">
        <f t="shared" si="1"/>
        <v>#VALUE!</v>
      </c>
      <c r="M29" s="3"/>
      <c r="Q29" s="4">
        <f t="shared" si="8"/>
        <v>0</v>
      </c>
    </row>
    <row r="30" spans="1:17" x14ac:dyDescent="0.25">
      <c r="C30" s="2" t="e">
        <f t="shared" si="2"/>
        <v>#VALUE!</v>
      </c>
      <c r="D30" s="2" t="e">
        <f t="shared" si="3"/>
        <v>#VALUE!</v>
      </c>
      <c r="E30" s="1" t="e">
        <f t="shared" si="4"/>
        <v>#VALUE!</v>
      </c>
      <c r="I30" t="e">
        <f t="shared" si="0"/>
        <v>#VALUE!</v>
      </c>
      <c r="J30" t="e">
        <f t="shared" si="1"/>
        <v>#VALUE!</v>
      </c>
      <c r="Q30" s="4">
        <f t="shared" si="8"/>
        <v>0</v>
      </c>
    </row>
    <row r="31" spans="1:17" x14ac:dyDescent="0.25">
      <c r="C31" s="2" t="e">
        <f t="shared" si="2"/>
        <v>#VALUE!</v>
      </c>
      <c r="D31" s="2" t="e">
        <f t="shared" si="3"/>
        <v>#VALUE!</v>
      </c>
      <c r="E31" s="1" t="e">
        <f t="shared" si="4"/>
        <v>#VALUE!</v>
      </c>
      <c r="I31" t="e">
        <f t="shared" si="0"/>
        <v>#VALUE!</v>
      </c>
      <c r="J31" t="e">
        <f t="shared" si="1"/>
        <v>#VALUE!</v>
      </c>
      <c r="Q31" s="4">
        <f t="shared" si="8"/>
        <v>0</v>
      </c>
    </row>
    <row r="32" spans="1:17" x14ac:dyDescent="0.25">
      <c r="C32" s="2" t="e">
        <f t="shared" si="2"/>
        <v>#VALUE!</v>
      </c>
      <c r="D32" s="2" t="e">
        <f t="shared" si="3"/>
        <v>#VALUE!</v>
      </c>
      <c r="E32" s="1" t="e">
        <f t="shared" si="4"/>
        <v>#VALUE!</v>
      </c>
      <c r="I32" t="e">
        <f t="shared" si="0"/>
        <v>#VALUE!</v>
      </c>
      <c r="J32" t="e">
        <f t="shared" si="1"/>
        <v>#VALUE!</v>
      </c>
      <c r="Q32" s="4">
        <f t="shared" si="8"/>
        <v>0</v>
      </c>
    </row>
    <row r="33" spans="3:17" x14ac:dyDescent="0.25">
      <c r="C33" s="2" t="e">
        <f t="shared" si="2"/>
        <v>#VALUE!</v>
      </c>
      <c r="D33" s="2" t="e">
        <f t="shared" si="3"/>
        <v>#VALUE!</v>
      </c>
      <c r="E33" s="1" t="e">
        <f t="shared" si="4"/>
        <v>#VALUE!</v>
      </c>
      <c r="I33" t="e">
        <f t="shared" si="0"/>
        <v>#VALUE!</v>
      </c>
      <c r="J33" t="e">
        <f t="shared" si="1"/>
        <v>#VALUE!</v>
      </c>
      <c r="Q33" s="4">
        <f t="shared" si="8"/>
        <v>0</v>
      </c>
    </row>
    <row r="34" spans="3:17" x14ac:dyDescent="0.25">
      <c r="C34" s="2" t="e">
        <f t="shared" si="2"/>
        <v>#VALUE!</v>
      </c>
      <c r="D34" s="2" t="e">
        <f t="shared" si="3"/>
        <v>#VALUE!</v>
      </c>
      <c r="E34" s="1" t="e">
        <f t="shared" si="4"/>
        <v>#VALUE!</v>
      </c>
      <c r="I34" t="e">
        <f t="shared" si="0"/>
        <v>#VALUE!</v>
      </c>
      <c r="J34" t="e">
        <f t="shared" si="1"/>
        <v>#VALUE!</v>
      </c>
      <c r="Q34" s="4">
        <f t="shared" si="8"/>
        <v>0</v>
      </c>
    </row>
    <row r="35" spans="3:17" x14ac:dyDescent="0.25">
      <c r="C35" s="2" t="e">
        <f t="shared" si="2"/>
        <v>#VALUE!</v>
      </c>
      <c r="D35" s="2" t="e">
        <f t="shared" si="3"/>
        <v>#VALUE!</v>
      </c>
      <c r="E35" s="1" t="e">
        <f t="shared" si="4"/>
        <v>#VALUE!</v>
      </c>
      <c r="I35" t="e">
        <f t="shared" si="0"/>
        <v>#VALUE!</v>
      </c>
      <c r="J35" t="e">
        <f t="shared" si="1"/>
        <v>#VALUE!</v>
      </c>
      <c r="Q35" s="4">
        <f t="shared" si="8"/>
        <v>0</v>
      </c>
    </row>
    <row r="36" spans="3:17" x14ac:dyDescent="0.25">
      <c r="C36" s="2" t="e">
        <f t="shared" si="2"/>
        <v>#VALUE!</v>
      </c>
      <c r="D36" s="2" t="e">
        <f t="shared" si="3"/>
        <v>#VALUE!</v>
      </c>
      <c r="E36" s="1" t="e">
        <f t="shared" si="4"/>
        <v>#VALUE!</v>
      </c>
      <c r="I36" t="e">
        <f t="shared" si="0"/>
        <v>#VALUE!</v>
      </c>
      <c r="J36" t="e">
        <f t="shared" si="1"/>
        <v>#VALUE!</v>
      </c>
      <c r="Q36" s="4">
        <f t="shared" si="8"/>
        <v>0</v>
      </c>
    </row>
    <row r="37" spans="3:17" x14ac:dyDescent="0.25">
      <c r="C37" s="2" t="e">
        <f t="shared" si="2"/>
        <v>#VALUE!</v>
      </c>
      <c r="D37" s="2" t="e">
        <f t="shared" si="3"/>
        <v>#VALUE!</v>
      </c>
      <c r="E37" s="1" t="e">
        <f t="shared" si="4"/>
        <v>#VALUE!</v>
      </c>
      <c r="I37" t="e">
        <f t="shared" si="0"/>
        <v>#VALUE!</v>
      </c>
      <c r="J37" t="e">
        <f t="shared" si="1"/>
        <v>#VALUE!</v>
      </c>
      <c r="Q37" s="4">
        <f t="shared" si="8"/>
        <v>0</v>
      </c>
    </row>
    <row r="38" spans="3:17" x14ac:dyDescent="0.25">
      <c r="C38" s="2" t="e">
        <f t="shared" si="2"/>
        <v>#VALUE!</v>
      </c>
      <c r="D38" s="2" t="e">
        <f t="shared" si="3"/>
        <v>#VALUE!</v>
      </c>
      <c r="E38" s="1" t="e">
        <f t="shared" si="4"/>
        <v>#VALUE!</v>
      </c>
      <c r="I38" t="e">
        <f t="shared" si="0"/>
        <v>#VALUE!</v>
      </c>
      <c r="J38" t="e">
        <f t="shared" si="1"/>
        <v>#VALUE!</v>
      </c>
    </row>
    <row r="39" spans="3:17" x14ac:dyDescent="0.25">
      <c r="C39" s="2" t="e">
        <f t="shared" si="2"/>
        <v>#VALUE!</v>
      </c>
      <c r="D39" s="2" t="e">
        <f t="shared" si="3"/>
        <v>#VALUE!</v>
      </c>
      <c r="E39" s="1" t="e">
        <f t="shared" si="4"/>
        <v>#VALUE!</v>
      </c>
      <c r="I39" t="e">
        <f t="shared" si="0"/>
        <v>#VALUE!</v>
      </c>
      <c r="J39" t="e">
        <f t="shared" si="1"/>
        <v>#VALUE!</v>
      </c>
    </row>
    <row r="40" spans="3:17" x14ac:dyDescent="0.25">
      <c r="C40" s="2" t="e">
        <f t="shared" si="2"/>
        <v>#VALUE!</v>
      </c>
      <c r="D40" s="2" t="e">
        <f t="shared" si="3"/>
        <v>#VALUE!</v>
      </c>
      <c r="E40" s="1" t="e">
        <f t="shared" si="4"/>
        <v>#VALUE!</v>
      </c>
      <c r="I40" t="e">
        <f t="shared" si="0"/>
        <v>#VALUE!</v>
      </c>
      <c r="J40" t="e">
        <f t="shared" si="1"/>
        <v>#VALUE!</v>
      </c>
    </row>
    <row r="41" spans="3:17" x14ac:dyDescent="0.25">
      <c r="C41" s="2" t="e">
        <f t="shared" si="2"/>
        <v>#VALUE!</v>
      </c>
      <c r="D41" s="2" t="e">
        <f t="shared" si="3"/>
        <v>#VALUE!</v>
      </c>
      <c r="E41" s="1" t="e">
        <f t="shared" si="4"/>
        <v>#VALUE!</v>
      </c>
      <c r="I41" t="e">
        <f t="shared" si="0"/>
        <v>#VALUE!</v>
      </c>
      <c r="J41" t="e">
        <f t="shared" si="1"/>
        <v>#VALUE!</v>
      </c>
    </row>
    <row r="42" spans="3:17" x14ac:dyDescent="0.25">
      <c r="C42" s="2" t="e">
        <f t="shared" si="2"/>
        <v>#VALUE!</v>
      </c>
      <c r="D42" s="2" t="e">
        <f t="shared" si="3"/>
        <v>#VALUE!</v>
      </c>
      <c r="E42" s="1" t="e">
        <f t="shared" si="4"/>
        <v>#VALUE!</v>
      </c>
      <c r="I42" t="e">
        <f t="shared" si="0"/>
        <v>#VALUE!</v>
      </c>
      <c r="J42" t="e">
        <f t="shared" si="1"/>
        <v>#VALUE!</v>
      </c>
    </row>
    <row r="43" spans="3:17" x14ac:dyDescent="0.25">
      <c r="C43" s="2" t="e">
        <f t="shared" si="2"/>
        <v>#VALUE!</v>
      </c>
      <c r="D43" s="2" t="e">
        <f t="shared" si="3"/>
        <v>#VALUE!</v>
      </c>
      <c r="E43" s="1" t="e">
        <f t="shared" si="4"/>
        <v>#VALUE!</v>
      </c>
      <c r="I43" t="e">
        <f t="shared" si="0"/>
        <v>#VALUE!</v>
      </c>
      <c r="J43" t="e">
        <f t="shared" si="1"/>
        <v>#VALUE!</v>
      </c>
    </row>
    <row r="44" spans="3:17" x14ac:dyDescent="0.25">
      <c r="C44" s="2" t="e">
        <f t="shared" si="2"/>
        <v>#VALUE!</v>
      </c>
      <c r="D44" s="2" t="e">
        <f t="shared" si="3"/>
        <v>#VALUE!</v>
      </c>
      <c r="E44" s="1" t="e">
        <f t="shared" si="4"/>
        <v>#VALUE!</v>
      </c>
      <c r="I44" t="e">
        <f t="shared" si="0"/>
        <v>#VALUE!</v>
      </c>
      <c r="J44" t="e">
        <f t="shared" si="1"/>
        <v>#VALUE!</v>
      </c>
    </row>
    <row r="45" spans="3:17" x14ac:dyDescent="0.25">
      <c r="C45" s="2" t="e">
        <f t="shared" si="2"/>
        <v>#VALUE!</v>
      </c>
      <c r="D45" s="2" t="e">
        <f t="shared" si="3"/>
        <v>#VALUE!</v>
      </c>
      <c r="E45" s="1" t="e">
        <f t="shared" si="4"/>
        <v>#VALUE!</v>
      </c>
      <c r="I45" t="e">
        <f t="shared" si="0"/>
        <v>#VALUE!</v>
      </c>
      <c r="J45" t="e">
        <f t="shared" si="1"/>
        <v>#VALUE!</v>
      </c>
    </row>
    <row r="46" spans="3:17" x14ac:dyDescent="0.25">
      <c r="C46" s="2" t="e">
        <f t="shared" si="2"/>
        <v>#VALUE!</v>
      </c>
      <c r="D46" s="2" t="e">
        <f t="shared" si="3"/>
        <v>#VALUE!</v>
      </c>
      <c r="E46" t="e">
        <f t="shared" si="4"/>
        <v>#VALUE!</v>
      </c>
      <c r="I46" t="e">
        <f t="shared" si="0"/>
        <v>#VALUE!</v>
      </c>
      <c r="J46" t="e">
        <f t="shared" si="1"/>
        <v>#VALUE!</v>
      </c>
    </row>
    <row r="47" spans="3:17" x14ac:dyDescent="0.25">
      <c r="C47" s="2" t="e">
        <f t="shared" si="2"/>
        <v>#VALUE!</v>
      </c>
      <c r="D47" s="2" t="e">
        <f t="shared" si="3"/>
        <v>#VALUE!</v>
      </c>
      <c r="E47" t="e">
        <f t="shared" si="4"/>
        <v>#VALUE!</v>
      </c>
      <c r="I47" t="e">
        <f t="shared" si="0"/>
        <v>#VALUE!</v>
      </c>
      <c r="J47" t="e">
        <f t="shared" si="1"/>
        <v>#VALUE!</v>
      </c>
    </row>
    <row r="48" spans="3:17" x14ac:dyDescent="0.25">
      <c r="C48" s="2" t="e">
        <f t="shared" si="2"/>
        <v>#VALUE!</v>
      </c>
      <c r="D48" s="2" t="e">
        <f t="shared" si="3"/>
        <v>#VALUE!</v>
      </c>
      <c r="E48" t="e">
        <f t="shared" si="4"/>
        <v>#VALUE!</v>
      </c>
      <c r="I48" t="e">
        <f t="shared" si="0"/>
        <v>#VALUE!</v>
      </c>
      <c r="J48" t="e">
        <f t="shared" si="1"/>
        <v>#VALUE!</v>
      </c>
    </row>
    <row r="49" spans="3:10" x14ac:dyDescent="0.25">
      <c r="C49" s="2" t="e">
        <f t="shared" si="2"/>
        <v>#VALUE!</v>
      </c>
      <c r="D49" s="2" t="e">
        <f t="shared" si="3"/>
        <v>#VALUE!</v>
      </c>
      <c r="E49" t="e">
        <f t="shared" si="4"/>
        <v>#VALUE!</v>
      </c>
      <c r="I49" t="e">
        <f t="shared" si="0"/>
        <v>#VALUE!</v>
      </c>
      <c r="J49" t="e">
        <f t="shared" si="1"/>
        <v>#VALUE!</v>
      </c>
    </row>
    <row r="50" spans="3:10" x14ac:dyDescent="0.25">
      <c r="C50" s="2" t="e">
        <f t="shared" si="2"/>
        <v>#VALUE!</v>
      </c>
      <c r="D50" s="2" t="e">
        <f t="shared" si="3"/>
        <v>#VALUE!</v>
      </c>
      <c r="E50" t="e">
        <f t="shared" si="4"/>
        <v>#VALUE!</v>
      </c>
      <c r="I50" t="e">
        <f t="shared" si="0"/>
        <v>#VALUE!</v>
      </c>
      <c r="J50" t="e">
        <f t="shared" si="1"/>
        <v>#VALUE!</v>
      </c>
    </row>
    <row r="51" spans="3:10" x14ac:dyDescent="0.25">
      <c r="C51" s="2" t="e">
        <f t="shared" si="2"/>
        <v>#VALUE!</v>
      </c>
      <c r="D51" s="2" t="e">
        <f t="shared" si="3"/>
        <v>#VALUE!</v>
      </c>
      <c r="E51" t="e">
        <f t="shared" si="4"/>
        <v>#VALUE!</v>
      </c>
      <c r="I51" t="e">
        <f t="shared" si="0"/>
        <v>#VALUE!</v>
      </c>
      <c r="J51" t="e">
        <f t="shared" si="1"/>
        <v>#VALUE!</v>
      </c>
    </row>
    <row r="52" spans="3:10" x14ac:dyDescent="0.25">
      <c r="C52" s="2" t="e">
        <f t="shared" si="2"/>
        <v>#VALUE!</v>
      </c>
      <c r="D52" s="2" t="e">
        <f t="shared" si="3"/>
        <v>#VALUE!</v>
      </c>
      <c r="E52" t="e">
        <f t="shared" si="4"/>
        <v>#VALUE!</v>
      </c>
      <c r="I52" t="e">
        <f t="shared" si="0"/>
        <v>#VALUE!</v>
      </c>
      <c r="J52" t="e">
        <f t="shared" si="1"/>
        <v>#VALUE!</v>
      </c>
    </row>
    <row r="53" spans="3:10" x14ac:dyDescent="0.25">
      <c r="C53" s="2" t="e">
        <f t="shared" si="2"/>
        <v>#VALUE!</v>
      </c>
      <c r="D53" s="2" t="e">
        <f t="shared" si="3"/>
        <v>#VALUE!</v>
      </c>
      <c r="E53" t="e">
        <f t="shared" si="4"/>
        <v>#VALUE!</v>
      </c>
      <c r="I53" t="e">
        <f t="shared" si="0"/>
        <v>#VALUE!</v>
      </c>
      <c r="J53" t="e">
        <f t="shared" si="1"/>
        <v>#VALUE!</v>
      </c>
    </row>
    <row r="54" spans="3:10" x14ac:dyDescent="0.25">
      <c r="C54" s="2" t="e">
        <f t="shared" si="2"/>
        <v>#VALUE!</v>
      </c>
      <c r="D54" s="2" t="e">
        <f t="shared" si="3"/>
        <v>#VALUE!</v>
      </c>
      <c r="E54" t="e">
        <f t="shared" si="4"/>
        <v>#VALUE!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luxdata_130113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Jan</dc:creator>
  <cp:lastModifiedBy>dr Jan</cp:lastModifiedBy>
  <dcterms:created xsi:type="dcterms:W3CDTF">2026-03-13T08:39:43Z</dcterms:created>
  <dcterms:modified xsi:type="dcterms:W3CDTF">2026-03-13T09:13:16Z</dcterms:modified>
</cp:coreProperties>
</file>