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Kwal27\excel\"/>
    </mc:Choice>
  </mc:AlternateContent>
  <xr:revisionPtr revIDLastSave="0" documentId="13_ncr:1_{328B2162-6756-451A-B53D-E2D61B852811}" xr6:coauthVersionLast="47" xr6:coauthVersionMax="47" xr10:uidLastSave="{00000000-0000-0000-0000-000000000000}"/>
  <bookViews>
    <workbookView xWindow="17160" yWindow="8565" windowWidth="23370" windowHeight="21435" activeTab="6" xr2:uid="{1811D67B-2958-4C59-AE7C-7CB58F2FD0F2}"/>
  </bookViews>
  <sheets>
    <sheet name="inputSpecial" sheetId="1" r:id="rId1"/>
    <sheet name="inputAnnual" sheetId="2" r:id="rId2"/>
    <sheet name="export_calendar" sheetId="3" r:id="rId3"/>
    <sheet name="theme_boxes" sheetId="11" r:id="rId4"/>
    <sheet name="light_patterns" sheetId="6" r:id="rId5"/>
    <sheet name="light_colors" sheetId="10" r:id="rId6"/>
    <sheet name="about" sheetId="5" r:id="rId7"/>
    <sheet name="calendar" sheetId="12" r:id="rId8"/>
    <sheet name="Sheet1" sheetId="13" r:id="rId9"/>
  </sheets>
  <functionGroups builtInGroupCount="19"/>
  <definedNames>
    <definedName name="annualList">export_calendar!$K$3:$R$411</definedName>
    <definedName name="Annuals">inputAnnual!$U$5:$Y$30</definedName>
    <definedName name="colors_list">calendar!#REF!</definedName>
    <definedName name="Dir_Box">inputSpecial!#REF!</definedName>
    <definedName name="exportlist">export_calendar!$AI$3:$AP$2179</definedName>
    <definedName name="Feest">inputSpecial!$U$5:$Y$30</definedName>
    <definedName name="specialList">export_calendar!$B$3:$I$207</definedName>
    <definedName name="Specials">inputSpecial!$U$5:$Y$24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9" i="12" l="1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J35" i="2"/>
  <c r="J34" i="2"/>
  <c r="J33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32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2" i="2"/>
  <c r="K11" i="2"/>
  <c r="K10" i="2"/>
  <c r="K9" i="2"/>
  <c r="K8" i="2"/>
  <c r="K7" i="2"/>
  <c r="K13" i="2"/>
  <c r="F339" i="12"/>
  <c r="F338" i="12"/>
  <c r="F337" i="12"/>
  <c r="F336" i="12"/>
  <c r="F335" i="12"/>
  <c r="F334" i="12"/>
  <c r="F333" i="12"/>
  <c r="F332" i="12"/>
  <c r="F331" i="12"/>
  <c r="F330" i="12"/>
  <c r="F329" i="12"/>
  <c r="F328" i="12"/>
  <c r="F327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F314" i="12"/>
  <c r="F313" i="12"/>
  <c r="F312" i="12"/>
  <c r="F311" i="12"/>
  <c r="F310" i="12"/>
  <c r="F309" i="12"/>
  <c r="F308" i="12"/>
  <c r="F307" i="12"/>
  <c r="F306" i="12"/>
  <c r="F305" i="12"/>
  <c r="F304" i="12"/>
  <c r="F303" i="12"/>
  <c r="F302" i="12"/>
  <c r="F301" i="12"/>
  <c r="F300" i="12"/>
  <c r="F299" i="12"/>
  <c r="F298" i="12"/>
  <c r="F297" i="12"/>
  <c r="F296" i="12"/>
  <c r="F295" i="12"/>
  <c r="F294" i="12"/>
  <c r="F293" i="12"/>
  <c r="F292" i="12"/>
  <c r="F291" i="12"/>
  <c r="F290" i="12"/>
  <c r="F289" i="12"/>
  <c r="F288" i="12"/>
  <c r="F287" i="12"/>
  <c r="F286" i="12"/>
  <c r="F285" i="12"/>
  <c r="F284" i="12"/>
  <c r="F283" i="12"/>
  <c r="F282" i="12"/>
  <c r="F281" i="12"/>
  <c r="F280" i="12"/>
  <c r="F279" i="12"/>
  <c r="F278" i="12"/>
  <c r="F277" i="12"/>
  <c r="F276" i="12"/>
  <c r="F275" i="12"/>
  <c r="F274" i="12"/>
  <c r="F273" i="12"/>
  <c r="F272" i="12"/>
  <c r="F271" i="12"/>
  <c r="F270" i="12"/>
  <c r="F269" i="12"/>
  <c r="F268" i="12"/>
  <c r="F267" i="12"/>
  <c r="F266" i="12"/>
  <c r="F265" i="12"/>
  <c r="F264" i="12"/>
  <c r="F263" i="12"/>
  <c r="F262" i="12"/>
  <c r="F261" i="12"/>
  <c r="F260" i="12"/>
  <c r="F259" i="12"/>
  <c r="F258" i="12"/>
  <c r="F257" i="12"/>
  <c r="F256" i="12"/>
  <c r="F255" i="12"/>
  <c r="F254" i="12"/>
  <c r="F253" i="12"/>
  <c r="F252" i="12"/>
  <c r="F251" i="12"/>
  <c r="F250" i="12"/>
  <c r="F249" i="12"/>
  <c r="F248" i="12"/>
  <c r="F247" i="12"/>
  <c r="F246" i="12"/>
  <c r="F245" i="12"/>
  <c r="F244" i="12"/>
  <c r="F243" i="12"/>
  <c r="F242" i="12"/>
  <c r="F241" i="12"/>
  <c r="F240" i="12"/>
  <c r="F239" i="12"/>
  <c r="F238" i="12"/>
  <c r="F237" i="12"/>
  <c r="F236" i="12"/>
  <c r="F235" i="12"/>
  <c r="F234" i="12"/>
  <c r="F233" i="12"/>
  <c r="F232" i="12"/>
  <c r="F231" i="12"/>
  <c r="F230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7" i="12"/>
  <c r="F216" i="12"/>
  <c r="F215" i="12"/>
  <c r="F214" i="12"/>
  <c r="F213" i="12"/>
  <c r="F212" i="12"/>
  <c r="F211" i="12"/>
  <c r="F210" i="12"/>
  <c r="F209" i="12"/>
  <c r="F208" i="12"/>
  <c r="F207" i="12"/>
  <c r="F206" i="12"/>
  <c r="F205" i="12"/>
  <c r="F204" i="12"/>
  <c r="F203" i="12"/>
  <c r="F202" i="12"/>
  <c r="F201" i="12"/>
  <c r="F200" i="12"/>
  <c r="F199" i="12"/>
  <c r="F198" i="12"/>
  <c r="F197" i="12"/>
  <c r="F196" i="12"/>
  <c r="F195" i="12"/>
  <c r="F194" i="12"/>
  <c r="F193" i="12"/>
  <c r="F192" i="12"/>
  <c r="F191" i="12"/>
  <c r="F190" i="12"/>
  <c r="F189" i="12"/>
  <c r="F188" i="12"/>
  <c r="F187" i="12"/>
  <c r="F186" i="12"/>
  <c r="F185" i="12"/>
  <c r="F184" i="12"/>
  <c r="F183" i="12"/>
  <c r="F182" i="12"/>
  <c r="F181" i="12"/>
  <c r="F180" i="12"/>
  <c r="F179" i="12"/>
  <c r="F178" i="12"/>
  <c r="F177" i="12"/>
  <c r="F176" i="12"/>
  <c r="F175" i="12"/>
  <c r="F174" i="12"/>
  <c r="F173" i="12"/>
  <c r="F172" i="12"/>
  <c r="F171" i="12"/>
  <c r="F170" i="12"/>
  <c r="F169" i="12"/>
  <c r="F168" i="12"/>
  <c r="F167" i="12"/>
  <c r="F166" i="12"/>
  <c r="F165" i="12"/>
  <c r="F164" i="12"/>
  <c r="F163" i="12"/>
  <c r="F162" i="12"/>
  <c r="F161" i="12"/>
  <c r="F160" i="12"/>
  <c r="F159" i="12"/>
  <c r="F158" i="12"/>
  <c r="F157" i="12"/>
  <c r="F156" i="12"/>
  <c r="F155" i="12"/>
  <c r="F154" i="12"/>
  <c r="F153" i="12"/>
  <c r="F152" i="12"/>
  <c r="F151" i="12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A82" i="5"/>
  <c r="A85" i="5"/>
  <c r="A88" i="5"/>
  <c r="A155" i="5"/>
  <c r="A162" i="5"/>
  <c r="A163" i="5"/>
  <c r="M136" i="1"/>
  <c r="L136" i="1"/>
  <c r="K136" i="1"/>
  <c r="J136" i="1"/>
  <c r="I136" i="1"/>
  <c r="M135" i="1"/>
  <c r="L135" i="1"/>
  <c r="K135" i="1"/>
  <c r="J135" i="1"/>
  <c r="I135" i="1"/>
  <c r="M134" i="1"/>
  <c r="L134" i="1"/>
  <c r="K134" i="1"/>
  <c r="J134" i="1"/>
  <c r="I134" i="1"/>
  <c r="M133" i="1"/>
  <c r="L133" i="1"/>
  <c r="K133" i="1"/>
  <c r="J133" i="1"/>
  <c r="I133" i="1"/>
  <c r="M132" i="1"/>
  <c r="L132" i="1"/>
  <c r="K132" i="1"/>
  <c r="J132" i="1"/>
  <c r="I132" i="1"/>
  <c r="M131" i="1"/>
  <c r="L131" i="1"/>
  <c r="K131" i="1"/>
  <c r="J131" i="1"/>
  <c r="I131" i="1"/>
  <c r="M130" i="1"/>
  <c r="L130" i="1"/>
  <c r="K130" i="1"/>
  <c r="J130" i="1"/>
  <c r="I130" i="1"/>
  <c r="M129" i="1"/>
  <c r="L129" i="1"/>
  <c r="K129" i="1"/>
  <c r="J129" i="1"/>
  <c r="I129" i="1"/>
  <c r="M128" i="1"/>
  <c r="L128" i="1"/>
  <c r="K128" i="1"/>
  <c r="J128" i="1"/>
  <c r="I128" i="1"/>
  <c r="M127" i="1"/>
  <c r="L127" i="1"/>
  <c r="K127" i="1"/>
  <c r="J127" i="1"/>
  <c r="I127" i="1"/>
  <c r="M126" i="1"/>
  <c r="L126" i="1"/>
  <c r="K126" i="1"/>
  <c r="J126" i="1"/>
  <c r="I126" i="1"/>
  <c r="M125" i="1"/>
  <c r="L125" i="1"/>
  <c r="K125" i="1"/>
  <c r="J125" i="1"/>
  <c r="I125" i="1"/>
  <c r="M124" i="1"/>
  <c r="L124" i="1"/>
  <c r="K124" i="1"/>
  <c r="J124" i="1"/>
  <c r="I124" i="1"/>
  <c r="M123" i="1"/>
  <c r="L123" i="1"/>
  <c r="K123" i="1"/>
  <c r="J123" i="1"/>
  <c r="I123" i="1"/>
  <c r="M122" i="1"/>
  <c r="L122" i="1"/>
  <c r="K122" i="1"/>
  <c r="J122" i="1"/>
  <c r="I122" i="1"/>
  <c r="M121" i="1"/>
  <c r="L121" i="1"/>
  <c r="K121" i="1"/>
  <c r="J121" i="1"/>
  <c r="I121" i="1"/>
  <c r="M120" i="1"/>
  <c r="L120" i="1"/>
  <c r="K120" i="1"/>
  <c r="J120" i="1"/>
  <c r="I120" i="1"/>
  <c r="M119" i="1"/>
  <c r="L119" i="1"/>
  <c r="K119" i="1"/>
  <c r="J119" i="1"/>
  <c r="I119" i="1"/>
  <c r="M118" i="1"/>
  <c r="L118" i="1"/>
  <c r="K118" i="1"/>
  <c r="J118" i="1"/>
  <c r="I118" i="1"/>
  <c r="M117" i="1"/>
  <c r="L117" i="1"/>
  <c r="K117" i="1"/>
  <c r="J117" i="1"/>
  <c r="I117" i="1"/>
  <c r="M116" i="1"/>
  <c r="L116" i="1"/>
  <c r="K116" i="1"/>
  <c r="J116" i="1"/>
  <c r="I116" i="1"/>
  <c r="M115" i="1"/>
  <c r="L115" i="1"/>
  <c r="K115" i="1"/>
  <c r="J115" i="1"/>
  <c r="I115" i="1"/>
  <c r="M114" i="1"/>
  <c r="L114" i="1"/>
  <c r="K114" i="1"/>
  <c r="J114" i="1"/>
  <c r="I114" i="1"/>
  <c r="M113" i="1"/>
  <c r="L113" i="1"/>
  <c r="K113" i="1"/>
  <c r="J113" i="1"/>
  <c r="I113" i="1"/>
  <c r="M112" i="1"/>
  <c r="L112" i="1"/>
  <c r="K112" i="1"/>
  <c r="J112" i="1"/>
  <c r="I112" i="1"/>
  <c r="M111" i="1"/>
  <c r="L111" i="1"/>
  <c r="K111" i="1"/>
  <c r="J111" i="1"/>
  <c r="I111" i="1"/>
  <c r="M110" i="1"/>
  <c r="L110" i="1"/>
  <c r="K110" i="1"/>
  <c r="J110" i="1"/>
  <c r="I110" i="1"/>
  <c r="M109" i="1"/>
  <c r="L109" i="1"/>
  <c r="K109" i="1"/>
  <c r="J109" i="1"/>
  <c r="I109" i="1"/>
  <c r="M108" i="1"/>
  <c r="L108" i="1"/>
  <c r="K108" i="1"/>
  <c r="J108" i="1"/>
  <c r="I108" i="1"/>
  <c r="M107" i="1"/>
  <c r="L107" i="1"/>
  <c r="K107" i="1"/>
  <c r="J107" i="1"/>
  <c r="I107" i="1"/>
  <c r="M106" i="1"/>
  <c r="L106" i="1"/>
  <c r="K106" i="1"/>
  <c r="J106" i="1"/>
  <c r="I106" i="1"/>
  <c r="M105" i="1"/>
  <c r="L105" i="1"/>
  <c r="K105" i="1"/>
  <c r="J105" i="1"/>
  <c r="I105" i="1"/>
  <c r="M104" i="1"/>
  <c r="L104" i="1"/>
  <c r="K104" i="1"/>
  <c r="J104" i="1"/>
  <c r="I104" i="1"/>
  <c r="M103" i="1"/>
  <c r="L103" i="1"/>
  <c r="K103" i="1"/>
  <c r="J103" i="1"/>
  <c r="I103" i="1"/>
  <c r="M102" i="1"/>
  <c r="L102" i="1"/>
  <c r="K102" i="1"/>
  <c r="J102" i="1"/>
  <c r="I102" i="1"/>
  <c r="M101" i="1"/>
  <c r="L101" i="1"/>
  <c r="K101" i="1"/>
  <c r="J101" i="1"/>
  <c r="I101" i="1"/>
  <c r="M100" i="1"/>
  <c r="L100" i="1"/>
  <c r="K100" i="1"/>
  <c r="J100" i="1"/>
  <c r="I100" i="1"/>
  <c r="M99" i="1"/>
  <c r="L99" i="1"/>
  <c r="K99" i="1"/>
  <c r="J99" i="1"/>
  <c r="I99" i="1"/>
  <c r="M98" i="1"/>
  <c r="L98" i="1"/>
  <c r="K98" i="1"/>
  <c r="J98" i="1"/>
  <c r="I98" i="1"/>
  <c r="M97" i="1"/>
  <c r="L97" i="1"/>
  <c r="K97" i="1"/>
  <c r="J97" i="1"/>
  <c r="I97" i="1"/>
  <c r="M96" i="1"/>
  <c r="L96" i="1"/>
  <c r="K96" i="1"/>
  <c r="J96" i="1"/>
  <c r="I96" i="1"/>
  <c r="M95" i="1"/>
  <c r="L95" i="1"/>
  <c r="K95" i="1"/>
  <c r="J95" i="1"/>
  <c r="I95" i="1"/>
  <c r="M94" i="1"/>
  <c r="L94" i="1"/>
  <c r="K94" i="1"/>
  <c r="J94" i="1"/>
  <c r="I94" i="1"/>
  <c r="M93" i="1"/>
  <c r="L93" i="1"/>
  <c r="K93" i="1"/>
  <c r="J93" i="1"/>
  <c r="I93" i="1"/>
  <c r="M92" i="1"/>
  <c r="L92" i="1"/>
  <c r="K92" i="1"/>
  <c r="J92" i="1"/>
  <c r="I92" i="1"/>
  <c r="M91" i="1"/>
  <c r="L91" i="1"/>
  <c r="K91" i="1"/>
  <c r="J91" i="1"/>
  <c r="I91" i="1"/>
  <c r="M90" i="1"/>
  <c r="L90" i="1"/>
  <c r="K90" i="1"/>
  <c r="J90" i="1"/>
  <c r="I90" i="1"/>
  <c r="M89" i="1"/>
  <c r="L89" i="1"/>
  <c r="K89" i="1"/>
  <c r="J89" i="1"/>
  <c r="I89" i="1"/>
  <c r="M88" i="1"/>
  <c r="L88" i="1"/>
  <c r="K88" i="1"/>
  <c r="J88" i="1"/>
  <c r="I88" i="1"/>
  <c r="M87" i="1"/>
  <c r="L87" i="1"/>
  <c r="K87" i="1"/>
  <c r="J87" i="1"/>
  <c r="I87" i="1"/>
  <c r="M86" i="1"/>
  <c r="L86" i="1"/>
  <c r="K86" i="1"/>
  <c r="J86" i="1"/>
  <c r="I86" i="1"/>
  <c r="M85" i="1"/>
  <c r="L85" i="1"/>
  <c r="K85" i="1"/>
  <c r="J85" i="1"/>
  <c r="I85" i="1"/>
  <c r="G339" i="12"/>
  <c r="E339" i="12"/>
  <c r="D339" i="12"/>
  <c r="C339" i="12"/>
  <c r="B339" i="12"/>
  <c r="A339" i="12"/>
  <c r="G338" i="12"/>
  <c r="E338" i="12"/>
  <c r="D338" i="12"/>
  <c r="C338" i="12"/>
  <c r="B338" i="12"/>
  <c r="A338" i="12"/>
  <c r="G337" i="12"/>
  <c r="E337" i="12"/>
  <c r="D337" i="12"/>
  <c r="C337" i="12"/>
  <c r="B337" i="12"/>
  <c r="A337" i="12"/>
  <c r="G336" i="12"/>
  <c r="E336" i="12"/>
  <c r="D336" i="12"/>
  <c r="C336" i="12"/>
  <c r="B336" i="12"/>
  <c r="A336" i="12"/>
  <c r="G335" i="12"/>
  <c r="E335" i="12"/>
  <c r="D335" i="12"/>
  <c r="C335" i="12"/>
  <c r="B335" i="12"/>
  <c r="A335" i="12"/>
  <c r="G334" i="12"/>
  <c r="E334" i="12"/>
  <c r="D334" i="12"/>
  <c r="C334" i="12"/>
  <c r="B334" i="12"/>
  <c r="A334" i="12"/>
  <c r="G333" i="12"/>
  <c r="E333" i="12"/>
  <c r="D333" i="12"/>
  <c r="C333" i="12"/>
  <c r="B333" i="12"/>
  <c r="A333" i="12"/>
  <c r="G332" i="12"/>
  <c r="E332" i="12"/>
  <c r="D332" i="12"/>
  <c r="C332" i="12"/>
  <c r="B332" i="12"/>
  <c r="A332" i="12"/>
  <c r="G331" i="12"/>
  <c r="E331" i="12"/>
  <c r="D331" i="12"/>
  <c r="C331" i="12"/>
  <c r="B331" i="12"/>
  <c r="A331" i="12"/>
  <c r="G330" i="12"/>
  <c r="E330" i="12"/>
  <c r="D330" i="12"/>
  <c r="C330" i="12"/>
  <c r="B330" i="12"/>
  <c r="A330" i="12"/>
  <c r="G329" i="12"/>
  <c r="E329" i="12"/>
  <c r="D329" i="12"/>
  <c r="C329" i="12"/>
  <c r="B329" i="12"/>
  <c r="A329" i="12"/>
  <c r="G328" i="12"/>
  <c r="E328" i="12"/>
  <c r="D328" i="12"/>
  <c r="C328" i="12"/>
  <c r="B328" i="12"/>
  <c r="A328" i="12"/>
  <c r="G327" i="12"/>
  <c r="E327" i="12"/>
  <c r="D327" i="12"/>
  <c r="C327" i="12"/>
  <c r="B327" i="12"/>
  <c r="A327" i="12"/>
  <c r="G326" i="12"/>
  <c r="E326" i="12"/>
  <c r="D326" i="12"/>
  <c r="C326" i="12"/>
  <c r="B326" i="12"/>
  <c r="A326" i="12"/>
  <c r="G325" i="12"/>
  <c r="E325" i="12"/>
  <c r="D325" i="12"/>
  <c r="C325" i="12"/>
  <c r="B325" i="12"/>
  <c r="A325" i="12"/>
  <c r="G324" i="12"/>
  <c r="E324" i="12"/>
  <c r="D324" i="12"/>
  <c r="C324" i="12"/>
  <c r="B324" i="12"/>
  <c r="A324" i="12"/>
  <c r="G323" i="12"/>
  <c r="E323" i="12"/>
  <c r="D323" i="12"/>
  <c r="C323" i="12"/>
  <c r="B323" i="12"/>
  <c r="A323" i="12"/>
  <c r="G322" i="12"/>
  <c r="E322" i="12"/>
  <c r="D322" i="12"/>
  <c r="C322" i="12"/>
  <c r="B322" i="12"/>
  <c r="A322" i="12"/>
  <c r="G321" i="12"/>
  <c r="E321" i="12"/>
  <c r="D321" i="12"/>
  <c r="C321" i="12"/>
  <c r="B321" i="12"/>
  <c r="A321" i="12"/>
  <c r="G320" i="12"/>
  <c r="E320" i="12"/>
  <c r="D320" i="12"/>
  <c r="C320" i="12"/>
  <c r="B320" i="12"/>
  <c r="A320" i="12"/>
  <c r="G319" i="12"/>
  <c r="E319" i="12"/>
  <c r="D319" i="12"/>
  <c r="C319" i="12"/>
  <c r="B319" i="12"/>
  <c r="A319" i="12"/>
  <c r="G318" i="12"/>
  <c r="E318" i="12"/>
  <c r="D318" i="12"/>
  <c r="C318" i="12"/>
  <c r="B318" i="12"/>
  <c r="A318" i="12"/>
  <c r="G317" i="12"/>
  <c r="E317" i="12"/>
  <c r="D317" i="12"/>
  <c r="C317" i="12"/>
  <c r="B317" i="12"/>
  <c r="A317" i="12"/>
  <c r="G316" i="12"/>
  <c r="E316" i="12"/>
  <c r="D316" i="12"/>
  <c r="C316" i="12"/>
  <c r="B316" i="12"/>
  <c r="A316" i="12"/>
  <c r="G315" i="12"/>
  <c r="E315" i="12"/>
  <c r="D315" i="12"/>
  <c r="C315" i="12"/>
  <c r="B315" i="12"/>
  <c r="A315" i="12"/>
  <c r="G314" i="12"/>
  <c r="E314" i="12"/>
  <c r="D314" i="12"/>
  <c r="C314" i="12"/>
  <c r="B314" i="12"/>
  <c r="A314" i="12"/>
  <c r="G313" i="12"/>
  <c r="E313" i="12"/>
  <c r="D313" i="12"/>
  <c r="C313" i="12"/>
  <c r="B313" i="12"/>
  <c r="A313" i="12"/>
  <c r="G312" i="12"/>
  <c r="E312" i="12"/>
  <c r="D312" i="12"/>
  <c r="C312" i="12"/>
  <c r="B312" i="12"/>
  <c r="A312" i="12"/>
  <c r="G311" i="12"/>
  <c r="E311" i="12"/>
  <c r="D311" i="12"/>
  <c r="C311" i="12"/>
  <c r="B311" i="12"/>
  <c r="A311" i="12"/>
  <c r="G310" i="12"/>
  <c r="E310" i="12"/>
  <c r="D310" i="12"/>
  <c r="C310" i="12"/>
  <c r="B310" i="12"/>
  <c r="A310" i="12"/>
  <c r="G309" i="12"/>
  <c r="E309" i="12"/>
  <c r="D309" i="12"/>
  <c r="C309" i="12"/>
  <c r="B309" i="12"/>
  <c r="A309" i="12"/>
  <c r="G308" i="12"/>
  <c r="E308" i="12"/>
  <c r="D308" i="12"/>
  <c r="C308" i="12"/>
  <c r="B308" i="12"/>
  <c r="A308" i="12"/>
  <c r="G307" i="12"/>
  <c r="E307" i="12"/>
  <c r="D307" i="12"/>
  <c r="C307" i="12"/>
  <c r="B307" i="12"/>
  <c r="A307" i="12"/>
  <c r="G306" i="12"/>
  <c r="E306" i="12"/>
  <c r="D306" i="12"/>
  <c r="C306" i="12"/>
  <c r="B306" i="12"/>
  <c r="A306" i="12"/>
  <c r="G305" i="12"/>
  <c r="E305" i="12"/>
  <c r="D305" i="12"/>
  <c r="C305" i="12"/>
  <c r="B305" i="12"/>
  <c r="A305" i="12"/>
  <c r="G304" i="12"/>
  <c r="E304" i="12"/>
  <c r="D304" i="12"/>
  <c r="C304" i="12"/>
  <c r="B304" i="12"/>
  <c r="A304" i="12"/>
  <c r="G303" i="12"/>
  <c r="E303" i="12"/>
  <c r="D303" i="12"/>
  <c r="C303" i="12"/>
  <c r="B303" i="12"/>
  <c r="A303" i="12"/>
  <c r="G302" i="12"/>
  <c r="E302" i="12"/>
  <c r="D302" i="12"/>
  <c r="C302" i="12"/>
  <c r="B302" i="12"/>
  <c r="A302" i="12"/>
  <c r="G301" i="12"/>
  <c r="E301" i="12"/>
  <c r="D301" i="12"/>
  <c r="C301" i="12"/>
  <c r="B301" i="12"/>
  <c r="A301" i="12"/>
  <c r="G300" i="12"/>
  <c r="E300" i="12"/>
  <c r="D300" i="12"/>
  <c r="C300" i="12"/>
  <c r="B300" i="12"/>
  <c r="A300" i="12"/>
  <c r="G299" i="12"/>
  <c r="E299" i="12"/>
  <c r="D299" i="12"/>
  <c r="C299" i="12"/>
  <c r="B299" i="12"/>
  <c r="A299" i="12"/>
  <c r="G298" i="12"/>
  <c r="E298" i="12"/>
  <c r="D298" i="12"/>
  <c r="C298" i="12"/>
  <c r="B298" i="12"/>
  <c r="A298" i="12"/>
  <c r="G297" i="12"/>
  <c r="E297" i="12"/>
  <c r="D297" i="12"/>
  <c r="C297" i="12"/>
  <c r="B297" i="12"/>
  <c r="A297" i="12"/>
  <c r="G296" i="12"/>
  <c r="E296" i="12"/>
  <c r="D296" i="12"/>
  <c r="C296" i="12"/>
  <c r="B296" i="12"/>
  <c r="A296" i="12"/>
  <c r="G295" i="12"/>
  <c r="E295" i="12"/>
  <c r="D295" i="12"/>
  <c r="C295" i="12"/>
  <c r="B295" i="12"/>
  <c r="A295" i="12"/>
  <c r="G294" i="12"/>
  <c r="E294" i="12"/>
  <c r="D294" i="12"/>
  <c r="C294" i="12"/>
  <c r="B294" i="12"/>
  <c r="A294" i="12"/>
  <c r="G293" i="12"/>
  <c r="E293" i="12"/>
  <c r="D293" i="12"/>
  <c r="C293" i="12"/>
  <c r="B293" i="12"/>
  <c r="A293" i="12"/>
  <c r="G292" i="12"/>
  <c r="E292" i="12"/>
  <c r="D292" i="12"/>
  <c r="C292" i="12"/>
  <c r="B292" i="12"/>
  <c r="A292" i="12"/>
  <c r="G291" i="12"/>
  <c r="E291" i="12"/>
  <c r="D291" i="12"/>
  <c r="C291" i="12"/>
  <c r="B291" i="12"/>
  <c r="A291" i="12"/>
  <c r="G290" i="12"/>
  <c r="E290" i="12"/>
  <c r="D290" i="12"/>
  <c r="C290" i="12"/>
  <c r="B290" i="12"/>
  <c r="A290" i="12"/>
  <c r="G289" i="12"/>
  <c r="E289" i="12"/>
  <c r="D289" i="12"/>
  <c r="C289" i="12"/>
  <c r="B289" i="12"/>
  <c r="A289" i="12"/>
  <c r="G288" i="12"/>
  <c r="E288" i="12"/>
  <c r="D288" i="12"/>
  <c r="C288" i="12"/>
  <c r="B288" i="12"/>
  <c r="A288" i="12"/>
  <c r="G287" i="12"/>
  <c r="E287" i="12"/>
  <c r="D287" i="12"/>
  <c r="C287" i="12"/>
  <c r="B287" i="12"/>
  <c r="A287" i="12"/>
  <c r="G286" i="12"/>
  <c r="E286" i="12"/>
  <c r="D286" i="12"/>
  <c r="C286" i="12"/>
  <c r="B286" i="12"/>
  <c r="A286" i="12"/>
  <c r="G285" i="12"/>
  <c r="E285" i="12"/>
  <c r="D285" i="12"/>
  <c r="C285" i="12"/>
  <c r="B285" i="12"/>
  <c r="A285" i="12"/>
  <c r="G284" i="12"/>
  <c r="E284" i="12"/>
  <c r="D284" i="12"/>
  <c r="C284" i="12"/>
  <c r="B284" i="12"/>
  <c r="A284" i="12"/>
  <c r="G283" i="12"/>
  <c r="E283" i="12"/>
  <c r="D283" i="12"/>
  <c r="C283" i="12"/>
  <c r="B283" i="12"/>
  <c r="A283" i="12"/>
  <c r="G282" i="12"/>
  <c r="E282" i="12"/>
  <c r="D282" i="12"/>
  <c r="C282" i="12"/>
  <c r="B282" i="12"/>
  <c r="A282" i="12"/>
  <c r="G281" i="12"/>
  <c r="E281" i="12"/>
  <c r="D281" i="12"/>
  <c r="C281" i="12"/>
  <c r="B281" i="12"/>
  <c r="A281" i="12"/>
  <c r="G280" i="12"/>
  <c r="E280" i="12"/>
  <c r="D280" i="12"/>
  <c r="C280" i="12"/>
  <c r="B280" i="12"/>
  <c r="A280" i="12"/>
  <c r="G279" i="12"/>
  <c r="E279" i="12"/>
  <c r="D279" i="12"/>
  <c r="C279" i="12"/>
  <c r="B279" i="12"/>
  <c r="A279" i="12"/>
  <c r="G278" i="12"/>
  <c r="E278" i="12"/>
  <c r="D278" i="12"/>
  <c r="C278" i="12"/>
  <c r="B278" i="12"/>
  <c r="A278" i="12"/>
  <c r="G277" i="12"/>
  <c r="E277" i="12"/>
  <c r="D277" i="12"/>
  <c r="C277" i="12"/>
  <c r="B277" i="12"/>
  <c r="A277" i="12"/>
  <c r="G276" i="12"/>
  <c r="E276" i="12"/>
  <c r="D276" i="12"/>
  <c r="C276" i="12"/>
  <c r="B276" i="12"/>
  <c r="A276" i="12"/>
  <c r="G275" i="12"/>
  <c r="E275" i="12"/>
  <c r="D275" i="12"/>
  <c r="C275" i="12"/>
  <c r="B275" i="12"/>
  <c r="A275" i="12"/>
  <c r="G274" i="12"/>
  <c r="E274" i="12"/>
  <c r="D274" i="12"/>
  <c r="C274" i="12"/>
  <c r="B274" i="12"/>
  <c r="A274" i="12"/>
  <c r="G273" i="12"/>
  <c r="E273" i="12"/>
  <c r="D273" i="12"/>
  <c r="C273" i="12"/>
  <c r="B273" i="12"/>
  <c r="A273" i="12"/>
  <c r="G272" i="12"/>
  <c r="E272" i="12"/>
  <c r="D272" i="12"/>
  <c r="C272" i="12"/>
  <c r="B272" i="12"/>
  <c r="A272" i="12"/>
  <c r="G271" i="12"/>
  <c r="E271" i="12"/>
  <c r="D271" i="12"/>
  <c r="C271" i="12"/>
  <c r="B271" i="12"/>
  <c r="A271" i="12"/>
  <c r="G270" i="12"/>
  <c r="E270" i="12"/>
  <c r="D270" i="12"/>
  <c r="C270" i="12"/>
  <c r="B270" i="12"/>
  <c r="A270" i="12"/>
  <c r="G269" i="12"/>
  <c r="E269" i="12"/>
  <c r="D269" i="12"/>
  <c r="C269" i="12"/>
  <c r="B269" i="12"/>
  <c r="A269" i="12"/>
  <c r="G268" i="12"/>
  <c r="E268" i="12"/>
  <c r="D268" i="12"/>
  <c r="C268" i="12"/>
  <c r="B268" i="12"/>
  <c r="A268" i="12"/>
  <c r="G267" i="12"/>
  <c r="E267" i="12"/>
  <c r="D267" i="12"/>
  <c r="C267" i="12"/>
  <c r="B267" i="12"/>
  <c r="A267" i="12"/>
  <c r="G266" i="12"/>
  <c r="E266" i="12"/>
  <c r="D266" i="12"/>
  <c r="C266" i="12"/>
  <c r="B266" i="12"/>
  <c r="A266" i="12"/>
  <c r="G265" i="12"/>
  <c r="E265" i="12"/>
  <c r="D265" i="12"/>
  <c r="C265" i="12"/>
  <c r="B265" i="12"/>
  <c r="A265" i="12"/>
  <c r="G264" i="12"/>
  <c r="E264" i="12"/>
  <c r="D264" i="12"/>
  <c r="C264" i="12"/>
  <c r="B264" i="12"/>
  <c r="A264" i="12"/>
  <c r="G263" i="12"/>
  <c r="E263" i="12"/>
  <c r="D263" i="12"/>
  <c r="C263" i="12"/>
  <c r="B263" i="12"/>
  <c r="A263" i="12"/>
  <c r="G262" i="12"/>
  <c r="E262" i="12"/>
  <c r="D262" i="12"/>
  <c r="C262" i="12"/>
  <c r="B262" i="12"/>
  <c r="A262" i="12"/>
  <c r="G261" i="12"/>
  <c r="E261" i="12"/>
  <c r="D261" i="12"/>
  <c r="C261" i="12"/>
  <c r="B261" i="12"/>
  <c r="A261" i="12"/>
  <c r="G260" i="12"/>
  <c r="E260" i="12"/>
  <c r="D260" i="12"/>
  <c r="C260" i="12"/>
  <c r="B260" i="12"/>
  <c r="A260" i="12"/>
  <c r="G259" i="12"/>
  <c r="E259" i="12"/>
  <c r="D259" i="12"/>
  <c r="C259" i="12"/>
  <c r="B259" i="12"/>
  <c r="A259" i="12"/>
  <c r="G258" i="12"/>
  <c r="E258" i="12"/>
  <c r="D258" i="12"/>
  <c r="C258" i="12"/>
  <c r="B258" i="12"/>
  <c r="A258" i="12"/>
  <c r="G257" i="12"/>
  <c r="E257" i="12"/>
  <c r="D257" i="12"/>
  <c r="C257" i="12"/>
  <c r="B257" i="12"/>
  <c r="A257" i="12"/>
  <c r="G256" i="12"/>
  <c r="E256" i="12"/>
  <c r="D256" i="12"/>
  <c r="C256" i="12"/>
  <c r="B256" i="12"/>
  <c r="A256" i="12"/>
  <c r="G255" i="12"/>
  <c r="E255" i="12"/>
  <c r="D255" i="12"/>
  <c r="C255" i="12"/>
  <c r="B255" i="12"/>
  <c r="A255" i="12"/>
  <c r="G254" i="12"/>
  <c r="E254" i="12"/>
  <c r="D254" i="12"/>
  <c r="C254" i="12"/>
  <c r="B254" i="12"/>
  <c r="A254" i="12"/>
  <c r="G253" i="12"/>
  <c r="E253" i="12"/>
  <c r="D253" i="12"/>
  <c r="C253" i="12"/>
  <c r="B253" i="12"/>
  <c r="A253" i="12"/>
  <c r="G252" i="12"/>
  <c r="E252" i="12"/>
  <c r="D252" i="12"/>
  <c r="C252" i="12"/>
  <c r="B252" i="12"/>
  <c r="A252" i="12"/>
  <c r="G251" i="12"/>
  <c r="E251" i="12"/>
  <c r="D251" i="12"/>
  <c r="C251" i="12"/>
  <c r="B251" i="12"/>
  <c r="A251" i="12"/>
  <c r="G250" i="12"/>
  <c r="E250" i="12"/>
  <c r="D250" i="12"/>
  <c r="C250" i="12"/>
  <c r="B250" i="12"/>
  <c r="A250" i="12"/>
  <c r="G249" i="12"/>
  <c r="E249" i="12"/>
  <c r="D249" i="12"/>
  <c r="C249" i="12"/>
  <c r="B249" i="12"/>
  <c r="A249" i="12"/>
  <c r="G248" i="12"/>
  <c r="E248" i="12"/>
  <c r="D248" i="12"/>
  <c r="C248" i="12"/>
  <c r="B248" i="12"/>
  <c r="A248" i="12"/>
  <c r="G247" i="12"/>
  <c r="E247" i="12"/>
  <c r="D247" i="12"/>
  <c r="C247" i="12"/>
  <c r="B247" i="12"/>
  <c r="A247" i="12"/>
  <c r="G246" i="12"/>
  <c r="E246" i="12"/>
  <c r="D246" i="12"/>
  <c r="C246" i="12"/>
  <c r="B246" i="12"/>
  <c r="A246" i="12"/>
  <c r="G245" i="12"/>
  <c r="E245" i="12"/>
  <c r="D245" i="12"/>
  <c r="C245" i="12"/>
  <c r="B245" i="12"/>
  <c r="A245" i="12"/>
  <c r="G244" i="12"/>
  <c r="E244" i="12"/>
  <c r="D244" i="12"/>
  <c r="C244" i="12"/>
  <c r="B244" i="12"/>
  <c r="A244" i="12"/>
  <c r="G243" i="12"/>
  <c r="E243" i="12"/>
  <c r="D243" i="12"/>
  <c r="C243" i="12"/>
  <c r="B243" i="12"/>
  <c r="A243" i="12"/>
  <c r="G242" i="12"/>
  <c r="E242" i="12"/>
  <c r="D242" i="12"/>
  <c r="C242" i="12"/>
  <c r="B242" i="12"/>
  <c r="A242" i="12"/>
  <c r="G241" i="12"/>
  <c r="E241" i="12"/>
  <c r="D241" i="12"/>
  <c r="C241" i="12"/>
  <c r="B241" i="12"/>
  <c r="A241" i="12"/>
  <c r="G240" i="12"/>
  <c r="E240" i="12"/>
  <c r="D240" i="12"/>
  <c r="C240" i="12"/>
  <c r="B240" i="12"/>
  <c r="A240" i="12"/>
  <c r="G239" i="12"/>
  <c r="E239" i="12"/>
  <c r="D239" i="12"/>
  <c r="C239" i="12"/>
  <c r="B239" i="12"/>
  <c r="A239" i="12"/>
  <c r="G238" i="12"/>
  <c r="E238" i="12"/>
  <c r="D238" i="12"/>
  <c r="C238" i="12"/>
  <c r="B238" i="12"/>
  <c r="A238" i="12"/>
  <c r="G237" i="12"/>
  <c r="E237" i="12"/>
  <c r="D237" i="12"/>
  <c r="C237" i="12"/>
  <c r="B237" i="12"/>
  <c r="A237" i="12"/>
  <c r="G236" i="12"/>
  <c r="E236" i="12"/>
  <c r="D236" i="12"/>
  <c r="C236" i="12"/>
  <c r="B236" i="12"/>
  <c r="A236" i="12"/>
  <c r="G235" i="12"/>
  <c r="E235" i="12"/>
  <c r="D235" i="12"/>
  <c r="C235" i="12"/>
  <c r="B235" i="12"/>
  <c r="A235" i="12"/>
  <c r="G234" i="12"/>
  <c r="E234" i="12"/>
  <c r="D234" i="12"/>
  <c r="C234" i="12"/>
  <c r="B234" i="12"/>
  <c r="A234" i="12"/>
  <c r="G233" i="12"/>
  <c r="E233" i="12"/>
  <c r="D233" i="12"/>
  <c r="C233" i="12"/>
  <c r="B233" i="12"/>
  <c r="A233" i="12"/>
  <c r="G232" i="12"/>
  <c r="E232" i="12"/>
  <c r="D232" i="12"/>
  <c r="C232" i="12"/>
  <c r="B232" i="12"/>
  <c r="A232" i="12"/>
  <c r="G231" i="12"/>
  <c r="E231" i="12"/>
  <c r="D231" i="12"/>
  <c r="C231" i="12"/>
  <c r="B231" i="12"/>
  <c r="A231" i="12"/>
  <c r="G230" i="12"/>
  <c r="E230" i="12"/>
  <c r="D230" i="12"/>
  <c r="C230" i="12"/>
  <c r="B230" i="12"/>
  <c r="A230" i="12"/>
  <c r="G229" i="12"/>
  <c r="E229" i="12"/>
  <c r="D229" i="12"/>
  <c r="C229" i="12"/>
  <c r="B229" i="12"/>
  <c r="A229" i="12"/>
  <c r="G228" i="12"/>
  <c r="E228" i="12"/>
  <c r="D228" i="12"/>
  <c r="C228" i="12"/>
  <c r="B228" i="12"/>
  <c r="A228" i="12"/>
  <c r="G227" i="12"/>
  <c r="E227" i="12"/>
  <c r="D227" i="12"/>
  <c r="C227" i="12"/>
  <c r="B227" i="12"/>
  <c r="A227" i="12"/>
  <c r="G226" i="12"/>
  <c r="E226" i="12"/>
  <c r="D226" i="12"/>
  <c r="C226" i="12"/>
  <c r="B226" i="12"/>
  <c r="A226" i="12"/>
  <c r="G225" i="12"/>
  <c r="E225" i="12"/>
  <c r="D225" i="12"/>
  <c r="C225" i="12"/>
  <c r="B225" i="12"/>
  <c r="A225" i="12"/>
  <c r="G224" i="12"/>
  <c r="E224" i="12"/>
  <c r="D224" i="12"/>
  <c r="C224" i="12"/>
  <c r="B224" i="12"/>
  <c r="A224" i="12"/>
  <c r="G223" i="12"/>
  <c r="E223" i="12"/>
  <c r="D223" i="12"/>
  <c r="C223" i="12"/>
  <c r="B223" i="12"/>
  <c r="A223" i="12"/>
  <c r="G222" i="12"/>
  <c r="E222" i="12"/>
  <c r="D222" i="12"/>
  <c r="C222" i="12"/>
  <c r="B222" i="12"/>
  <c r="A222" i="12"/>
  <c r="G221" i="12"/>
  <c r="E221" i="12"/>
  <c r="D221" i="12"/>
  <c r="C221" i="12"/>
  <c r="B221" i="12"/>
  <c r="A221" i="12"/>
  <c r="G220" i="12"/>
  <c r="E220" i="12"/>
  <c r="D220" i="12"/>
  <c r="C220" i="12"/>
  <c r="B220" i="12"/>
  <c r="A220" i="12"/>
  <c r="G219" i="12"/>
  <c r="E219" i="12"/>
  <c r="D219" i="12"/>
  <c r="C219" i="12"/>
  <c r="B219" i="12"/>
  <c r="A219" i="12"/>
  <c r="G218" i="12"/>
  <c r="E218" i="12"/>
  <c r="D218" i="12"/>
  <c r="C218" i="12"/>
  <c r="B218" i="12"/>
  <c r="A218" i="12"/>
  <c r="G217" i="12"/>
  <c r="E217" i="12"/>
  <c r="D217" i="12"/>
  <c r="C217" i="12"/>
  <c r="B217" i="12"/>
  <c r="A217" i="12"/>
  <c r="G216" i="12"/>
  <c r="E216" i="12"/>
  <c r="D216" i="12"/>
  <c r="C216" i="12"/>
  <c r="B216" i="12"/>
  <c r="A216" i="12"/>
  <c r="G215" i="12"/>
  <c r="E215" i="12"/>
  <c r="D215" i="12"/>
  <c r="C215" i="12"/>
  <c r="B215" i="12"/>
  <c r="A215" i="12"/>
  <c r="G214" i="12"/>
  <c r="E214" i="12"/>
  <c r="D214" i="12"/>
  <c r="C214" i="12"/>
  <c r="B214" i="12"/>
  <c r="A214" i="12"/>
  <c r="G213" i="12"/>
  <c r="E213" i="12"/>
  <c r="D213" i="12"/>
  <c r="C213" i="12"/>
  <c r="B213" i="12"/>
  <c r="A213" i="12"/>
  <c r="G212" i="12"/>
  <c r="E212" i="12"/>
  <c r="D212" i="12"/>
  <c r="C212" i="12"/>
  <c r="B212" i="12"/>
  <c r="A212" i="12"/>
  <c r="G211" i="12"/>
  <c r="E211" i="12"/>
  <c r="D211" i="12"/>
  <c r="C211" i="12"/>
  <c r="B211" i="12"/>
  <c r="A211" i="12"/>
  <c r="G210" i="12"/>
  <c r="E210" i="12"/>
  <c r="D210" i="12"/>
  <c r="C210" i="12"/>
  <c r="B210" i="12"/>
  <c r="A210" i="12"/>
  <c r="G209" i="12"/>
  <c r="E209" i="12"/>
  <c r="D209" i="12"/>
  <c r="C209" i="12"/>
  <c r="B209" i="12"/>
  <c r="A209" i="12"/>
  <c r="G208" i="12"/>
  <c r="E208" i="12"/>
  <c r="D208" i="12"/>
  <c r="C208" i="12"/>
  <c r="B208" i="12"/>
  <c r="A208" i="12"/>
  <c r="G207" i="12"/>
  <c r="E207" i="12"/>
  <c r="D207" i="12"/>
  <c r="C207" i="12"/>
  <c r="B207" i="12"/>
  <c r="A207" i="12"/>
  <c r="G206" i="12"/>
  <c r="E206" i="12"/>
  <c r="D206" i="12"/>
  <c r="C206" i="12"/>
  <c r="B206" i="12"/>
  <c r="A206" i="12"/>
  <c r="G205" i="12"/>
  <c r="E205" i="12"/>
  <c r="D205" i="12"/>
  <c r="C205" i="12"/>
  <c r="B205" i="12"/>
  <c r="A205" i="12"/>
  <c r="G204" i="12"/>
  <c r="E204" i="12"/>
  <c r="D204" i="12"/>
  <c r="C204" i="12"/>
  <c r="B204" i="12"/>
  <c r="A204" i="12"/>
  <c r="G203" i="12"/>
  <c r="E203" i="12"/>
  <c r="D203" i="12"/>
  <c r="C203" i="12"/>
  <c r="B203" i="12"/>
  <c r="A203" i="12"/>
  <c r="G202" i="12"/>
  <c r="E202" i="12"/>
  <c r="D202" i="12"/>
  <c r="C202" i="12"/>
  <c r="B202" i="12"/>
  <c r="A202" i="12"/>
  <c r="G201" i="12"/>
  <c r="E201" i="12"/>
  <c r="D201" i="12"/>
  <c r="C201" i="12"/>
  <c r="B201" i="12"/>
  <c r="A201" i="12"/>
  <c r="G200" i="12"/>
  <c r="E200" i="12"/>
  <c r="D200" i="12"/>
  <c r="C200" i="12"/>
  <c r="B200" i="12"/>
  <c r="A200" i="12"/>
  <c r="G199" i="12"/>
  <c r="E199" i="12"/>
  <c r="D199" i="12"/>
  <c r="C199" i="12"/>
  <c r="B199" i="12"/>
  <c r="A199" i="12"/>
  <c r="G198" i="12"/>
  <c r="E198" i="12"/>
  <c r="D198" i="12"/>
  <c r="C198" i="12"/>
  <c r="B198" i="12"/>
  <c r="A198" i="12"/>
  <c r="G197" i="12"/>
  <c r="E197" i="12"/>
  <c r="D197" i="12"/>
  <c r="C197" i="12"/>
  <c r="B197" i="12"/>
  <c r="A197" i="12"/>
  <c r="G196" i="12"/>
  <c r="E196" i="12"/>
  <c r="D196" i="12"/>
  <c r="C196" i="12"/>
  <c r="B196" i="12"/>
  <c r="A196" i="12"/>
  <c r="G195" i="12"/>
  <c r="E195" i="12"/>
  <c r="D195" i="12"/>
  <c r="C195" i="12"/>
  <c r="B195" i="12"/>
  <c r="A195" i="12"/>
  <c r="G194" i="12"/>
  <c r="E194" i="12"/>
  <c r="D194" i="12"/>
  <c r="C194" i="12"/>
  <c r="B194" i="12"/>
  <c r="A194" i="12"/>
  <c r="G193" i="12"/>
  <c r="E193" i="12"/>
  <c r="D193" i="12"/>
  <c r="C193" i="12"/>
  <c r="B193" i="12"/>
  <c r="A193" i="12"/>
  <c r="G192" i="12"/>
  <c r="E192" i="12"/>
  <c r="D192" i="12"/>
  <c r="C192" i="12"/>
  <c r="B192" i="12"/>
  <c r="A192" i="12"/>
  <c r="G191" i="12"/>
  <c r="E191" i="12"/>
  <c r="D191" i="12"/>
  <c r="C191" i="12"/>
  <c r="B191" i="12"/>
  <c r="A191" i="12"/>
  <c r="G190" i="12"/>
  <c r="E190" i="12"/>
  <c r="D190" i="12"/>
  <c r="C190" i="12"/>
  <c r="B190" i="12"/>
  <c r="A190" i="12"/>
  <c r="G189" i="12"/>
  <c r="E189" i="12"/>
  <c r="D189" i="12"/>
  <c r="C189" i="12"/>
  <c r="B189" i="12"/>
  <c r="A189" i="12"/>
  <c r="G188" i="12"/>
  <c r="E188" i="12"/>
  <c r="D188" i="12"/>
  <c r="C188" i="12"/>
  <c r="B188" i="12"/>
  <c r="A188" i="12"/>
  <c r="G187" i="12"/>
  <c r="E187" i="12"/>
  <c r="D187" i="12"/>
  <c r="C187" i="12"/>
  <c r="B187" i="12"/>
  <c r="A187" i="12"/>
  <c r="G186" i="12"/>
  <c r="E186" i="12"/>
  <c r="D186" i="12"/>
  <c r="C186" i="12"/>
  <c r="B186" i="12"/>
  <c r="A186" i="12"/>
  <c r="G185" i="12"/>
  <c r="E185" i="12"/>
  <c r="D185" i="12"/>
  <c r="C185" i="12"/>
  <c r="B185" i="12"/>
  <c r="A185" i="12"/>
  <c r="G184" i="12"/>
  <c r="E184" i="12"/>
  <c r="D184" i="12"/>
  <c r="C184" i="12"/>
  <c r="B184" i="12"/>
  <c r="A184" i="12"/>
  <c r="G183" i="12"/>
  <c r="E183" i="12"/>
  <c r="D183" i="12"/>
  <c r="C183" i="12"/>
  <c r="B183" i="12"/>
  <c r="A183" i="12"/>
  <c r="G182" i="12"/>
  <c r="E182" i="12"/>
  <c r="D182" i="12"/>
  <c r="C182" i="12"/>
  <c r="B182" i="12"/>
  <c r="A182" i="12"/>
  <c r="G181" i="12"/>
  <c r="E181" i="12"/>
  <c r="D181" i="12"/>
  <c r="C181" i="12"/>
  <c r="B181" i="12"/>
  <c r="A181" i="12"/>
  <c r="G180" i="12"/>
  <c r="E180" i="12"/>
  <c r="D180" i="12"/>
  <c r="C180" i="12"/>
  <c r="B180" i="12"/>
  <c r="A180" i="12"/>
  <c r="G179" i="12"/>
  <c r="E179" i="12"/>
  <c r="D179" i="12"/>
  <c r="C179" i="12"/>
  <c r="B179" i="12"/>
  <c r="A179" i="12"/>
  <c r="G178" i="12"/>
  <c r="E178" i="12"/>
  <c r="D178" i="12"/>
  <c r="C178" i="12"/>
  <c r="B178" i="12"/>
  <c r="A178" i="12"/>
  <c r="G177" i="12"/>
  <c r="E177" i="12"/>
  <c r="D177" i="12"/>
  <c r="C177" i="12"/>
  <c r="B177" i="12"/>
  <c r="A177" i="12"/>
  <c r="G176" i="12"/>
  <c r="E176" i="12"/>
  <c r="D176" i="12"/>
  <c r="C176" i="12"/>
  <c r="B176" i="12"/>
  <c r="A176" i="12"/>
  <c r="G175" i="12"/>
  <c r="E175" i="12"/>
  <c r="D175" i="12"/>
  <c r="C175" i="12"/>
  <c r="B175" i="12"/>
  <c r="A175" i="12"/>
  <c r="G174" i="12"/>
  <c r="E174" i="12"/>
  <c r="D174" i="12"/>
  <c r="C174" i="12"/>
  <c r="B174" i="12"/>
  <c r="A174" i="12"/>
  <c r="G173" i="12"/>
  <c r="E173" i="12"/>
  <c r="D173" i="12"/>
  <c r="C173" i="12"/>
  <c r="B173" i="12"/>
  <c r="A173" i="12"/>
  <c r="G172" i="12"/>
  <c r="E172" i="12"/>
  <c r="D172" i="12"/>
  <c r="C172" i="12"/>
  <c r="B172" i="12"/>
  <c r="A172" i="12"/>
  <c r="G171" i="12"/>
  <c r="E171" i="12"/>
  <c r="D171" i="12"/>
  <c r="C171" i="12"/>
  <c r="B171" i="12"/>
  <c r="A171" i="12"/>
  <c r="G170" i="12"/>
  <c r="E170" i="12"/>
  <c r="D170" i="12"/>
  <c r="C170" i="12"/>
  <c r="B170" i="12"/>
  <c r="A170" i="12"/>
  <c r="G169" i="12"/>
  <c r="E169" i="12"/>
  <c r="D169" i="12"/>
  <c r="C169" i="12"/>
  <c r="B169" i="12"/>
  <c r="A169" i="12"/>
  <c r="G168" i="12"/>
  <c r="E168" i="12"/>
  <c r="D168" i="12"/>
  <c r="C168" i="12"/>
  <c r="B168" i="12"/>
  <c r="A168" i="12"/>
  <c r="G167" i="12"/>
  <c r="E167" i="12"/>
  <c r="D167" i="12"/>
  <c r="C167" i="12"/>
  <c r="B167" i="12"/>
  <c r="A167" i="12"/>
  <c r="G166" i="12"/>
  <c r="E166" i="12"/>
  <c r="D166" i="12"/>
  <c r="C166" i="12"/>
  <c r="B166" i="12"/>
  <c r="A166" i="12"/>
  <c r="G165" i="12"/>
  <c r="E165" i="12"/>
  <c r="D165" i="12"/>
  <c r="C165" i="12"/>
  <c r="B165" i="12"/>
  <c r="A165" i="12"/>
  <c r="G164" i="12"/>
  <c r="E164" i="12"/>
  <c r="D164" i="12"/>
  <c r="C164" i="12"/>
  <c r="B164" i="12"/>
  <c r="A164" i="12"/>
  <c r="G163" i="12"/>
  <c r="E163" i="12"/>
  <c r="D163" i="12"/>
  <c r="C163" i="12"/>
  <c r="B163" i="12"/>
  <c r="A163" i="12"/>
  <c r="G162" i="12"/>
  <c r="E162" i="12"/>
  <c r="D162" i="12"/>
  <c r="C162" i="12"/>
  <c r="B162" i="12"/>
  <c r="A162" i="12"/>
  <c r="G161" i="12"/>
  <c r="E161" i="12"/>
  <c r="D161" i="12"/>
  <c r="C161" i="12"/>
  <c r="B161" i="12"/>
  <c r="A161" i="12"/>
  <c r="G160" i="12"/>
  <c r="E160" i="12"/>
  <c r="D160" i="12"/>
  <c r="C160" i="12"/>
  <c r="B160" i="12"/>
  <c r="A160" i="12"/>
  <c r="G159" i="12"/>
  <c r="E159" i="12"/>
  <c r="D159" i="12"/>
  <c r="C159" i="12"/>
  <c r="B159" i="12"/>
  <c r="A159" i="12"/>
  <c r="G158" i="12"/>
  <c r="E158" i="12"/>
  <c r="D158" i="12"/>
  <c r="C158" i="12"/>
  <c r="B158" i="12"/>
  <c r="A158" i="12"/>
  <c r="G157" i="12"/>
  <c r="E157" i="12"/>
  <c r="D157" i="12"/>
  <c r="C157" i="12"/>
  <c r="B157" i="12"/>
  <c r="A157" i="12"/>
  <c r="G156" i="12"/>
  <c r="E156" i="12"/>
  <c r="D156" i="12"/>
  <c r="C156" i="12"/>
  <c r="B156" i="12"/>
  <c r="A156" i="12"/>
  <c r="G155" i="12"/>
  <c r="E155" i="12"/>
  <c r="D155" i="12"/>
  <c r="C155" i="12"/>
  <c r="B155" i="12"/>
  <c r="A155" i="12"/>
  <c r="G154" i="12"/>
  <c r="E154" i="12"/>
  <c r="D154" i="12"/>
  <c r="C154" i="12"/>
  <c r="B154" i="12"/>
  <c r="A154" i="12"/>
  <c r="G153" i="12"/>
  <c r="E153" i="12"/>
  <c r="D153" i="12"/>
  <c r="C153" i="12"/>
  <c r="B153" i="12"/>
  <c r="A153" i="12"/>
  <c r="G152" i="12"/>
  <c r="E152" i="12"/>
  <c r="D152" i="12"/>
  <c r="C152" i="12"/>
  <c r="B152" i="12"/>
  <c r="A152" i="12"/>
  <c r="G151" i="12"/>
  <c r="E151" i="12"/>
  <c r="D151" i="12"/>
  <c r="C151" i="12"/>
  <c r="B151" i="12"/>
  <c r="A151" i="12"/>
  <c r="G150" i="12"/>
  <c r="E150" i="12"/>
  <c r="D150" i="12"/>
  <c r="C150" i="12"/>
  <c r="B150" i="12"/>
  <c r="A150" i="12"/>
  <c r="G149" i="12"/>
  <c r="E149" i="12"/>
  <c r="D149" i="12"/>
  <c r="C149" i="12"/>
  <c r="B149" i="12"/>
  <c r="A149" i="12"/>
  <c r="G148" i="12"/>
  <c r="E148" i="12"/>
  <c r="D148" i="12"/>
  <c r="C148" i="12"/>
  <c r="B148" i="12"/>
  <c r="A148" i="12"/>
  <c r="G147" i="12"/>
  <c r="E147" i="12"/>
  <c r="D147" i="12"/>
  <c r="C147" i="12"/>
  <c r="B147" i="12"/>
  <c r="A147" i="12"/>
  <c r="G146" i="12"/>
  <c r="E146" i="12"/>
  <c r="D146" i="12"/>
  <c r="C146" i="12"/>
  <c r="B146" i="12"/>
  <c r="A146" i="12"/>
  <c r="G145" i="12"/>
  <c r="E145" i="12"/>
  <c r="D145" i="12"/>
  <c r="C145" i="12"/>
  <c r="B145" i="12"/>
  <c r="A145" i="12"/>
  <c r="G144" i="12"/>
  <c r="E144" i="12"/>
  <c r="D144" i="12"/>
  <c r="C144" i="12"/>
  <c r="B144" i="12"/>
  <c r="A144" i="12"/>
  <c r="G143" i="12"/>
  <c r="E143" i="12"/>
  <c r="D143" i="12"/>
  <c r="C143" i="12"/>
  <c r="B143" i="12"/>
  <c r="A143" i="12"/>
  <c r="G142" i="12"/>
  <c r="E142" i="12"/>
  <c r="D142" i="12"/>
  <c r="C142" i="12"/>
  <c r="B142" i="12"/>
  <c r="A142" i="12"/>
  <c r="G141" i="12"/>
  <c r="E141" i="12"/>
  <c r="D141" i="12"/>
  <c r="C141" i="12"/>
  <c r="B141" i="12"/>
  <c r="A141" i="12"/>
  <c r="G140" i="12"/>
  <c r="E140" i="12"/>
  <c r="D140" i="12"/>
  <c r="C140" i="12"/>
  <c r="B140" i="12"/>
  <c r="A140" i="12"/>
  <c r="G139" i="12"/>
  <c r="E139" i="12"/>
  <c r="D139" i="12"/>
  <c r="C139" i="12"/>
  <c r="B139" i="12"/>
  <c r="A139" i="12"/>
  <c r="G138" i="12"/>
  <c r="E138" i="12"/>
  <c r="D138" i="12"/>
  <c r="C138" i="12"/>
  <c r="B138" i="12"/>
  <c r="A138" i="12"/>
  <c r="G137" i="12"/>
  <c r="E137" i="12"/>
  <c r="D137" i="12"/>
  <c r="C137" i="12"/>
  <c r="B137" i="12"/>
  <c r="A137" i="12"/>
  <c r="G136" i="12"/>
  <c r="E136" i="12"/>
  <c r="D136" i="12"/>
  <c r="C136" i="12"/>
  <c r="B136" i="12"/>
  <c r="A136" i="12"/>
  <c r="G135" i="12"/>
  <c r="E135" i="12"/>
  <c r="D135" i="12"/>
  <c r="C135" i="12"/>
  <c r="B135" i="12"/>
  <c r="A135" i="12"/>
  <c r="G134" i="12"/>
  <c r="E134" i="12"/>
  <c r="D134" i="12"/>
  <c r="C134" i="12"/>
  <c r="B134" i="12"/>
  <c r="A134" i="12"/>
  <c r="G133" i="12"/>
  <c r="E133" i="12"/>
  <c r="D133" i="12"/>
  <c r="C133" i="12"/>
  <c r="B133" i="12"/>
  <c r="A133" i="12"/>
  <c r="G132" i="12"/>
  <c r="E132" i="12"/>
  <c r="D132" i="12"/>
  <c r="C132" i="12"/>
  <c r="B132" i="12"/>
  <c r="A132" i="12"/>
  <c r="G131" i="12"/>
  <c r="E131" i="12"/>
  <c r="D131" i="12"/>
  <c r="C131" i="12"/>
  <c r="B131" i="12"/>
  <c r="A131" i="12"/>
  <c r="G130" i="12"/>
  <c r="E130" i="12"/>
  <c r="D130" i="12"/>
  <c r="C130" i="12"/>
  <c r="B130" i="12"/>
  <c r="A130" i="12"/>
  <c r="G129" i="12"/>
  <c r="E129" i="12"/>
  <c r="D129" i="12"/>
  <c r="C129" i="12"/>
  <c r="B129" i="12"/>
  <c r="A129" i="12"/>
  <c r="G128" i="12"/>
  <c r="E128" i="12"/>
  <c r="D128" i="12"/>
  <c r="C128" i="12"/>
  <c r="B128" i="12"/>
  <c r="A128" i="12"/>
  <c r="G127" i="12"/>
  <c r="E127" i="12"/>
  <c r="D127" i="12"/>
  <c r="C127" i="12"/>
  <c r="B127" i="12"/>
  <c r="A127" i="12"/>
  <c r="G126" i="12"/>
  <c r="E126" i="12"/>
  <c r="D126" i="12"/>
  <c r="C126" i="12"/>
  <c r="B126" i="12"/>
  <c r="A126" i="12"/>
  <c r="G125" i="12"/>
  <c r="E125" i="12"/>
  <c r="D125" i="12"/>
  <c r="C125" i="12"/>
  <c r="B125" i="12"/>
  <c r="A125" i="12"/>
  <c r="G124" i="12"/>
  <c r="E124" i="12"/>
  <c r="D124" i="12"/>
  <c r="C124" i="12"/>
  <c r="B124" i="12"/>
  <c r="A124" i="12"/>
  <c r="G123" i="12"/>
  <c r="E123" i="12"/>
  <c r="D123" i="12"/>
  <c r="C123" i="12"/>
  <c r="B123" i="12"/>
  <c r="A123" i="12"/>
  <c r="G122" i="12"/>
  <c r="E122" i="12"/>
  <c r="D122" i="12"/>
  <c r="C122" i="12"/>
  <c r="B122" i="12"/>
  <c r="A122" i="12"/>
  <c r="G121" i="12"/>
  <c r="E121" i="12"/>
  <c r="D121" i="12"/>
  <c r="C121" i="12"/>
  <c r="B121" i="12"/>
  <c r="A121" i="12"/>
  <c r="G120" i="12"/>
  <c r="E120" i="12"/>
  <c r="D120" i="12"/>
  <c r="C120" i="12"/>
  <c r="B120" i="12"/>
  <c r="A120" i="12"/>
  <c r="G119" i="12"/>
  <c r="E119" i="12"/>
  <c r="D119" i="12"/>
  <c r="C119" i="12"/>
  <c r="B119" i="12"/>
  <c r="A119" i="12"/>
  <c r="G118" i="12"/>
  <c r="E118" i="12"/>
  <c r="D118" i="12"/>
  <c r="C118" i="12"/>
  <c r="B118" i="12"/>
  <c r="A118" i="12"/>
  <c r="G117" i="12"/>
  <c r="E117" i="12"/>
  <c r="D117" i="12"/>
  <c r="C117" i="12"/>
  <c r="B117" i="12"/>
  <c r="A117" i="12"/>
  <c r="G116" i="12"/>
  <c r="E116" i="12"/>
  <c r="D116" i="12"/>
  <c r="C116" i="12"/>
  <c r="B116" i="12"/>
  <c r="A116" i="12"/>
  <c r="G115" i="12"/>
  <c r="E115" i="12"/>
  <c r="D115" i="12"/>
  <c r="C115" i="12"/>
  <c r="B115" i="12"/>
  <c r="A115" i="12"/>
  <c r="G114" i="12"/>
  <c r="E114" i="12"/>
  <c r="D114" i="12"/>
  <c r="C114" i="12"/>
  <c r="B114" i="12"/>
  <c r="A114" i="12"/>
  <c r="G113" i="12"/>
  <c r="E113" i="12"/>
  <c r="D113" i="12"/>
  <c r="C113" i="12"/>
  <c r="B113" i="12"/>
  <c r="A113" i="12"/>
  <c r="G112" i="12"/>
  <c r="E112" i="12"/>
  <c r="D112" i="12"/>
  <c r="C112" i="12"/>
  <c r="B112" i="12"/>
  <c r="A112" i="12"/>
  <c r="G111" i="12"/>
  <c r="E111" i="12"/>
  <c r="D111" i="12"/>
  <c r="C111" i="12"/>
  <c r="B111" i="12"/>
  <c r="A111" i="12"/>
  <c r="G110" i="12"/>
  <c r="E110" i="12"/>
  <c r="D110" i="12"/>
  <c r="C110" i="12"/>
  <c r="B110" i="12"/>
  <c r="A110" i="12"/>
  <c r="G109" i="12"/>
  <c r="E109" i="12"/>
  <c r="D109" i="12"/>
  <c r="C109" i="12"/>
  <c r="B109" i="12"/>
  <c r="A109" i="12"/>
  <c r="G108" i="12"/>
  <c r="E108" i="12"/>
  <c r="D108" i="12"/>
  <c r="C108" i="12"/>
  <c r="B108" i="12"/>
  <c r="A108" i="12"/>
  <c r="G107" i="12"/>
  <c r="E107" i="12"/>
  <c r="D107" i="12"/>
  <c r="C107" i="12"/>
  <c r="B107" i="12"/>
  <c r="A107" i="12"/>
  <c r="G106" i="12"/>
  <c r="E106" i="12"/>
  <c r="D106" i="12"/>
  <c r="C106" i="12"/>
  <c r="B106" i="12"/>
  <c r="A106" i="12"/>
  <c r="G105" i="12"/>
  <c r="E105" i="12"/>
  <c r="D105" i="12"/>
  <c r="C105" i="12"/>
  <c r="B105" i="12"/>
  <c r="A105" i="12"/>
  <c r="G104" i="12"/>
  <c r="E104" i="12"/>
  <c r="D104" i="12"/>
  <c r="C104" i="12"/>
  <c r="B104" i="12"/>
  <c r="A104" i="12"/>
  <c r="G103" i="12"/>
  <c r="E103" i="12"/>
  <c r="D103" i="12"/>
  <c r="C103" i="12"/>
  <c r="B103" i="12"/>
  <c r="A103" i="12"/>
  <c r="G102" i="12"/>
  <c r="E102" i="12"/>
  <c r="D102" i="12"/>
  <c r="C102" i="12"/>
  <c r="B102" i="12"/>
  <c r="A102" i="12"/>
  <c r="G101" i="12"/>
  <c r="E101" i="12"/>
  <c r="D101" i="12"/>
  <c r="C101" i="12"/>
  <c r="B101" i="12"/>
  <c r="A101" i="12"/>
  <c r="G100" i="12"/>
  <c r="E100" i="12"/>
  <c r="D100" i="12"/>
  <c r="C100" i="12"/>
  <c r="B100" i="12"/>
  <c r="A100" i="12"/>
  <c r="G99" i="12"/>
  <c r="E99" i="12"/>
  <c r="D99" i="12"/>
  <c r="C99" i="12"/>
  <c r="B99" i="12"/>
  <c r="A99" i="12"/>
  <c r="G98" i="12"/>
  <c r="E98" i="12"/>
  <c r="D98" i="12"/>
  <c r="C98" i="12"/>
  <c r="B98" i="12"/>
  <c r="A98" i="12"/>
  <c r="G97" i="12"/>
  <c r="E97" i="12"/>
  <c r="D97" i="12"/>
  <c r="C97" i="12"/>
  <c r="B97" i="12"/>
  <c r="A97" i="12"/>
  <c r="G96" i="12"/>
  <c r="E96" i="12"/>
  <c r="D96" i="12"/>
  <c r="C96" i="12"/>
  <c r="B96" i="12"/>
  <c r="A96" i="12"/>
  <c r="G95" i="12"/>
  <c r="E95" i="12"/>
  <c r="D95" i="12"/>
  <c r="C95" i="12"/>
  <c r="B95" i="12"/>
  <c r="A95" i="12"/>
  <c r="G94" i="12"/>
  <c r="E94" i="12"/>
  <c r="D94" i="12"/>
  <c r="C94" i="12"/>
  <c r="B94" i="12"/>
  <c r="A94" i="12"/>
  <c r="G93" i="12"/>
  <c r="E93" i="12"/>
  <c r="D93" i="12"/>
  <c r="C93" i="12"/>
  <c r="B93" i="12"/>
  <c r="A93" i="12"/>
  <c r="G92" i="12"/>
  <c r="E92" i="12"/>
  <c r="D92" i="12"/>
  <c r="C92" i="12"/>
  <c r="B92" i="12"/>
  <c r="A92" i="12"/>
  <c r="G91" i="12"/>
  <c r="E91" i="12"/>
  <c r="D91" i="12"/>
  <c r="C91" i="12"/>
  <c r="B91" i="12"/>
  <c r="A91" i="12"/>
  <c r="G90" i="12"/>
  <c r="E90" i="12"/>
  <c r="D90" i="12"/>
  <c r="C90" i="12"/>
  <c r="B90" i="12"/>
  <c r="A90" i="12"/>
  <c r="G89" i="12"/>
  <c r="E89" i="12"/>
  <c r="D89" i="12"/>
  <c r="C89" i="12"/>
  <c r="B89" i="12"/>
  <c r="A89" i="12"/>
  <c r="G88" i="12"/>
  <c r="E88" i="12"/>
  <c r="D88" i="12"/>
  <c r="C88" i="12"/>
  <c r="B88" i="12"/>
  <c r="A88" i="12"/>
  <c r="G87" i="12"/>
  <c r="E87" i="12"/>
  <c r="D87" i="12"/>
  <c r="C87" i="12"/>
  <c r="B87" i="12"/>
  <c r="A87" i="12"/>
  <c r="G86" i="12"/>
  <c r="E86" i="12"/>
  <c r="D86" i="12"/>
  <c r="C86" i="12"/>
  <c r="B86" i="12"/>
  <c r="A86" i="12"/>
  <c r="G85" i="12"/>
  <c r="E85" i="12"/>
  <c r="D85" i="12"/>
  <c r="C85" i="12"/>
  <c r="B85" i="12"/>
  <c r="A85" i="12"/>
  <c r="G84" i="12"/>
  <c r="E84" i="12"/>
  <c r="D84" i="12"/>
  <c r="C84" i="12"/>
  <c r="B84" i="12"/>
  <c r="A84" i="12"/>
  <c r="G83" i="12"/>
  <c r="E83" i="12"/>
  <c r="D83" i="12"/>
  <c r="C83" i="12"/>
  <c r="B83" i="12"/>
  <c r="A83" i="12"/>
  <c r="G82" i="12"/>
  <c r="E82" i="12"/>
  <c r="D82" i="12"/>
  <c r="C82" i="12"/>
  <c r="B82" i="12"/>
  <c r="A82" i="12"/>
  <c r="G81" i="12"/>
  <c r="E81" i="12"/>
  <c r="D81" i="12"/>
  <c r="C81" i="12"/>
  <c r="B81" i="12"/>
  <c r="A81" i="12"/>
  <c r="G80" i="12"/>
  <c r="E80" i="12"/>
  <c r="D80" i="12"/>
  <c r="C80" i="12"/>
  <c r="B80" i="12"/>
  <c r="A80" i="12"/>
  <c r="G79" i="12"/>
  <c r="E79" i="12"/>
  <c r="D79" i="12"/>
  <c r="C79" i="12"/>
  <c r="B79" i="12"/>
  <c r="A79" i="12"/>
  <c r="G78" i="12"/>
  <c r="E78" i="12"/>
  <c r="D78" i="12"/>
  <c r="C78" i="12"/>
  <c r="B78" i="12"/>
  <c r="A78" i="12"/>
  <c r="G77" i="12"/>
  <c r="E77" i="12"/>
  <c r="D77" i="12"/>
  <c r="C77" i="12"/>
  <c r="B77" i="12"/>
  <c r="A77" i="12"/>
  <c r="G76" i="12"/>
  <c r="E76" i="12"/>
  <c r="D76" i="12"/>
  <c r="C76" i="12"/>
  <c r="B76" i="12"/>
  <c r="A76" i="12"/>
  <c r="G75" i="12"/>
  <c r="E75" i="12"/>
  <c r="D75" i="12"/>
  <c r="C75" i="12"/>
  <c r="B75" i="12"/>
  <c r="A75" i="12"/>
  <c r="G74" i="12"/>
  <c r="E74" i="12"/>
  <c r="D74" i="12"/>
  <c r="C74" i="12"/>
  <c r="B74" i="12"/>
  <c r="A74" i="12"/>
  <c r="G73" i="12"/>
  <c r="E73" i="12"/>
  <c r="D73" i="12"/>
  <c r="C73" i="12"/>
  <c r="B73" i="12"/>
  <c r="A73" i="12"/>
  <c r="G72" i="12"/>
  <c r="E72" i="12"/>
  <c r="D72" i="12"/>
  <c r="C72" i="12"/>
  <c r="B72" i="12"/>
  <c r="A72" i="12"/>
  <c r="G71" i="12"/>
  <c r="E71" i="12"/>
  <c r="D71" i="12"/>
  <c r="C71" i="12"/>
  <c r="B71" i="12"/>
  <c r="A71" i="12"/>
  <c r="G70" i="12"/>
  <c r="E70" i="12"/>
  <c r="D70" i="12"/>
  <c r="C70" i="12"/>
  <c r="B70" i="12"/>
  <c r="A70" i="12"/>
  <c r="G69" i="12"/>
  <c r="E69" i="12"/>
  <c r="D69" i="12"/>
  <c r="C69" i="12"/>
  <c r="B69" i="12"/>
  <c r="A69" i="12"/>
  <c r="G68" i="12"/>
  <c r="E68" i="12"/>
  <c r="D68" i="12"/>
  <c r="C68" i="12"/>
  <c r="B68" i="12"/>
  <c r="A68" i="12"/>
  <c r="G67" i="12"/>
  <c r="E67" i="12"/>
  <c r="D67" i="12"/>
  <c r="C67" i="12"/>
  <c r="B67" i="12"/>
  <c r="A67" i="12"/>
  <c r="G66" i="12"/>
  <c r="E66" i="12"/>
  <c r="D66" i="12"/>
  <c r="C66" i="12"/>
  <c r="B66" i="12"/>
  <c r="A66" i="12"/>
  <c r="G65" i="12"/>
  <c r="E65" i="12"/>
  <c r="D65" i="12"/>
  <c r="C65" i="12"/>
  <c r="B65" i="12"/>
  <c r="A65" i="12"/>
  <c r="G64" i="12"/>
  <c r="E64" i="12"/>
  <c r="D64" i="12"/>
  <c r="C64" i="12"/>
  <c r="B64" i="12"/>
  <c r="A64" i="12"/>
  <c r="G63" i="12"/>
  <c r="E63" i="12"/>
  <c r="D63" i="12"/>
  <c r="C63" i="12"/>
  <c r="B63" i="12"/>
  <c r="A63" i="12"/>
  <c r="G62" i="12"/>
  <c r="E62" i="12"/>
  <c r="D62" i="12"/>
  <c r="C62" i="12"/>
  <c r="B62" i="12"/>
  <c r="A62" i="12"/>
  <c r="G61" i="12"/>
  <c r="E61" i="12"/>
  <c r="D61" i="12"/>
  <c r="C61" i="12"/>
  <c r="B61" i="12"/>
  <c r="A61" i="12"/>
  <c r="G60" i="12"/>
  <c r="E60" i="12"/>
  <c r="D60" i="12"/>
  <c r="C60" i="12"/>
  <c r="B60" i="12"/>
  <c r="A60" i="12"/>
  <c r="G59" i="12"/>
  <c r="E59" i="12"/>
  <c r="D59" i="12"/>
  <c r="C59" i="12"/>
  <c r="B59" i="12"/>
  <c r="A59" i="12"/>
  <c r="G58" i="12"/>
  <c r="E58" i="12"/>
  <c r="D58" i="12"/>
  <c r="C58" i="12"/>
  <c r="B58" i="12"/>
  <c r="A58" i="12"/>
  <c r="G57" i="12"/>
  <c r="E57" i="12"/>
  <c r="D57" i="12"/>
  <c r="C57" i="12"/>
  <c r="B57" i="12"/>
  <c r="A57" i="12"/>
  <c r="G56" i="12"/>
  <c r="E56" i="12"/>
  <c r="D56" i="12"/>
  <c r="C56" i="12"/>
  <c r="B56" i="12"/>
  <c r="A56" i="12"/>
  <c r="G55" i="12"/>
  <c r="E55" i="12"/>
  <c r="D55" i="12"/>
  <c r="C55" i="12"/>
  <c r="B55" i="12"/>
  <c r="A55" i="12"/>
  <c r="G54" i="12"/>
  <c r="E54" i="12"/>
  <c r="D54" i="12"/>
  <c r="C54" i="12"/>
  <c r="B54" i="12"/>
  <c r="A54" i="12"/>
  <c r="G53" i="12"/>
  <c r="E53" i="12"/>
  <c r="D53" i="12"/>
  <c r="C53" i="12"/>
  <c r="B53" i="12"/>
  <c r="A53" i="12"/>
  <c r="G52" i="12"/>
  <c r="E52" i="12"/>
  <c r="D52" i="12"/>
  <c r="C52" i="12"/>
  <c r="B52" i="12"/>
  <c r="A52" i="12"/>
  <c r="G51" i="12"/>
  <c r="E51" i="12"/>
  <c r="D51" i="12"/>
  <c r="C51" i="12"/>
  <c r="B51" i="12"/>
  <c r="A51" i="12"/>
  <c r="G50" i="12"/>
  <c r="E50" i="12"/>
  <c r="D50" i="12"/>
  <c r="C50" i="12"/>
  <c r="B50" i="12"/>
  <c r="A50" i="12"/>
  <c r="G49" i="12"/>
  <c r="E49" i="12"/>
  <c r="D49" i="12"/>
  <c r="C49" i="12"/>
  <c r="B49" i="12"/>
  <c r="A49" i="12"/>
  <c r="G48" i="12"/>
  <c r="E48" i="12"/>
  <c r="D48" i="12"/>
  <c r="C48" i="12"/>
  <c r="B48" i="12"/>
  <c r="A48" i="12"/>
  <c r="G47" i="12"/>
  <c r="E47" i="12"/>
  <c r="D47" i="12"/>
  <c r="C47" i="12"/>
  <c r="B47" i="12"/>
  <c r="A47" i="12"/>
  <c r="G46" i="12"/>
  <c r="E46" i="12"/>
  <c r="D46" i="12"/>
  <c r="C46" i="12"/>
  <c r="B46" i="12"/>
  <c r="A46" i="12"/>
  <c r="G45" i="12"/>
  <c r="E45" i="12"/>
  <c r="D45" i="12"/>
  <c r="C45" i="12"/>
  <c r="B45" i="12"/>
  <c r="A45" i="12"/>
  <c r="G44" i="12"/>
  <c r="E44" i="12"/>
  <c r="D44" i="12"/>
  <c r="C44" i="12"/>
  <c r="B44" i="12"/>
  <c r="A44" i="12"/>
  <c r="G43" i="12"/>
  <c r="E43" i="12"/>
  <c r="D43" i="12"/>
  <c r="C43" i="12"/>
  <c r="B43" i="12"/>
  <c r="A43" i="12"/>
  <c r="G42" i="12"/>
  <c r="E42" i="12"/>
  <c r="D42" i="12"/>
  <c r="C42" i="12"/>
  <c r="B42" i="12"/>
  <c r="A42" i="12"/>
  <c r="G41" i="12"/>
  <c r="E41" i="12"/>
  <c r="D41" i="12"/>
  <c r="C41" i="12"/>
  <c r="B41" i="12"/>
  <c r="A41" i="12"/>
  <c r="G40" i="12"/>
  <c r="E40" i="12"/>
  <c r="D40" i="12"/>
  <c r="C40" i="12"/>
  <c r="B40" i="12"/>
  <c r="A40" i="12"/>
  <c r="G39" i="12"/>
  <c r="E39" i="12"/>
  <c r="D39" i="12"/>
  <c r="C39" i="12"/>
  <c r="B39" i="12"/>
  <c r="A39" i="12"/>
  <c r="G38" i="12"/>
  <c r="E38" i="12"/>
  <c r="D38" i="12"/>
  <c r="C38" i="12"/>
  <c r="B38" i="12"/>
  <c r="A38" i="12"/>
  <c r="G37" i="12"/>
  <c r="E37" i="12"/>
  <c r="D37" i="12"/>
  <c r="C37" i="12"/>
  <c r="B37" i="12"/>
  <c r="A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E36" i="12"/>
  <c r="D36" i="12"/>
  <c r="C36" i="12"/>
  <c r="B36" i="12"/>
  <c r="A36" i="12"/>
  <c r="E35" i="12"/>
  <c r="D35" i="12"/>
  <c r="C35" i="12"/>
  <c r="B35" i="12"/>
  <c r="A35" i="12"/>
  <c r="E34" i="12"/>
  <c r="D34" i="12"/>
  <c r="C34" i="12"/>
  <c r="B34" i="12"/>
  <c r="A34" i="12"/>
  <c r="E33" i="12"/>
  <c r="D33" i="12"/>
  <c r="C33" i="12"/>
  <c r="B33" i="12"/>
  <c r="A33" i="12"/>
  <c r="E32" i="12"/>
  <c r="D32" i="12"/>
  <c r="C32" i="12"/>
  <c r="B32" i="12"/>
  <c r="A32" i="12"/>
  <c r="E31" i="12"/>
  <c r="D31" i="12"/>
  <c r="C31" i="12"/>
  <c r="B31" i="12"/>
  <c r="A31" i="12"/>
  <c r="E30" i="12"/>
  <c r="D30" i="12"/>
  <c r="C30" i="12"/>
  <c r="B30" i="12"/>
  <c r="A30" i="12"/>
  <c r="E29" i="12"/>
  <c r="D29" i="12"/>
  <c r="C29" i="12"/>
  <c r="B29" i="12"/>
  <c r="A29" i="12"/>
  <c r="E28" i="12"/>
  <c r="D28" i="12"/>
  <c r="C28" i="12"/>
  <c r="B28" i="12"/>
  <c r="A28" i="12"/>
  <c r="E27" i="12"/>
  <c r="D27" i="12"/>
  <c r="C27" i="12"/>
  <c r="B27" i="12"/>
  <c r="A27" i="12"/>
  <c r="E26" i="12"/>
  <c r="D26" i="12"/>
  <c r="C26" i="12"/>
  <c r="B26" i="12"/>
  <c r="A26" i="12"/>
  <c r="E25" i="12"/>
  <c r="D25" i="12"/>
  <c r="C25" i="12"/>
  <c r="B25" i="12"/>
  <c r="A25" i="12"/>
  <c r="E24" i="12"/>
  <c r="D24" i="12"/>
  <c r="C24" i="12"/>
  <c r="B24" i="12"/>
  <c r="A24" i="12"/>
  <c r="E23" i="12"/>
  <c r="D23" i="12"/>
  <c r="C23" i="12"/>
  <c r="B23" i="12"/>
  <c r="A23" i="12"/>
  <c r="E22" i="12"/>
  <c r="D22" i="12"/>
  <c r="C22" i="12"/>
  <c r="B22" i="12"/>
  <c r="A22" i="12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D2" i="12"/>
  <c r="E2" i="12"/>
  <c r="C2" i="12"/>
  <c r="B2" i="12"/>
  <c r="A2" i="12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F3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U3" i="3"/>
  <c r="X3" i="3" s="1"/>
  <c r="M35" i="2"/>
  <c r="L35" i="2"/>
  <c r="I35" i="2"/>
  <c r="M34" i="2"/>
  <c r="L34" i="2"/>
  <c r="I34" i="2"/>
  <c r="M33" i="2"/>
  <c r="L33" i="2"/>
  <c r="I33" i="2"/>
  <c r="M32" i="2"/>
  <c r="L32" i="2"/>
  <c r="I32" i="2"/>
  <c r="M31" i="2"/>
  <c r="L31" i="2"/>
  <c r="I31" i="2"/>
  <c r="M30" i="2"/>
  <c r="L30" i="2"/>
  <c r="I30" i="2"/>
  <c r="M29" i="2"/>
  <c r="L29" i="2"/>
  <c r="I29" i="2"/>
  <c r="M28" i="2"/>
  <c r="L28" i="2"/>
  <c r="I28" i="2"/>
  <c r="M27" i="2"/>
  <c r="L27" i="2"/>
  <c r="I27" i="2"/>
  <c r="M26" i="2"/>
  <c r="L26" i="2"/>
  <c r="I26" i="2"/>
  <c r="M25" i="2"/>
  <c r="L25" i="2"/>
  <c r="I25" i="2"/>
  <c r="M24" i="2"/>
  <c r="L24" i="2"/>
  <c r="I24" i="2"/>
  <c r="M23" i="2"/>
  <c r="L23" i="2"/>
  <c r="I23" i="2"/>
  <c r="M22" i="2"/>
  <c r="L22" i="2"/>
  <c r="I22" i="2"/>
  <c r="M21" i="2"/>
  <c r="L21" i="2"/>
  <c r="I21" i="2"/>
  <c r="M20" i="2"/>
  <c r="L20" i="2"/>
  <c r="I20" i="2"/>
  <c r="M19" i="2"/>
  <c r="L19" i="2"/>
  <c r="I19" i="2"/>
  <c r="M18" i="2"/>
  <c r="L18" i="2"/>
  <c r="I18" i="2"/>
  <c r="M17" i="2"/>
  <c r="L17" i="2"/>
  <c r="I17" i="2"/>
  <c r="M16" i="2"/>
  <c r="L16" i="2"/>
  <c r="I16" i="2"/>
  <c r="M15" i="2"/>
  <c r="L15" i="2"/>
  <c r="I15" i="2"/>
  <c r="M14" i="2"/>
  <c r="L14" i="2"/>
  <c r="I14" i="2"/>
  <c r="M13" i="2"/>
  <c r="L13" i="2"/>
  <c r="I13" i="2"/>
  <c r="M12" i="2"/>
  <c r="L12" i="2"/>
  <c r="I12" i="2"/>
  <c r="M11" i="2"/>
  <c r="L11" i="2"/>
  <c r="I11" i="2"/>
  <c r="M10" i="2"/>
  <c r="L10" i="2"/>
  <c r="I10" i="2"/>
  <c r="M9" i="2"/>
  <c r="L9" i="2"/>
  <c r="I9" i="2"/>
  <c r="M8" i="2"/>
  <c r="L8" i="2"/>
  <c r="I8" i="2"/>
  <c r="L7" i="2"/>
  <c r="M7" i="2"/>
  <c r="I7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L7" i="1"/>
  <c r="I7" i="1"/>
  <c r="K156" i="1"/>
  <c r="J156" i="1"/>
  <c r="I156" i="1"/>
  <c r="K155" i="1"/>
  <c r="J155" i="1"/>
  <c r="I155" i="1"/>
  <c r="K154" i="1"/>
  <c r="J154" i="1"/>
  <c r="I154" i="1"/>
  <c r="K153" i="1"/>
  <c r="J153" i="1"/>
  <c r="I153" i="1"/>
  <c r="K152" i="1"/>
  <c r="J152" i="1"/>
  <c r="I152" i="1"/>
  <c r="K151" i="1"/>
  <c r="J151" i="1"/>
  <c r="I151" i="1"/>
  <c r="K150" i="1"/>
  <c r="J150" i="1"/>
  <c r="I150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H96" i="1"/>
  <c r="H124" i="1"/>
  <c r="H134" i="1"/>
  <c r="G110" i="1"/>
  <c r="G87" i="1"/>
  <c r="G86" i="1"/>
  <c r="H132" i="1"/>
  <c r="H114" i="1"/>
  <c r="G127" i="1"/>
  <c r="G136" i="1"/>
  <c r="G103" i="1"/>
  <c r="G9" i="1"/>
  <c r="G11" i="1"/>
  <c r="G135" i="1"/>
  <c r="H126" i="1"/>
  <c r="G115" i="1"/>
  <c r="G118" i="1"/>
  <c r="G89" i="1"/>
  <c r="H121" i="1"/>
  <c r="G88" i="1"/>
  <c r="G123" i="1"/>
  <c r="H110" i="1"/>
  <c r="G129" i="1"/>
  <c r="H102" i="1"/>
  <c r="G111" i="1"/>
  <c r="H12" i="1"/>
  <c r="G85" i="1"/>
  <c r="G8" i="1"/>
  <c r="G117" i="1"/>
  <c r="H104" i="1"/>
  <c r="G95" i="1"/>
  <c r="G105" i="1"/>
  <c r="G99" i="1"/>
  <c r="H116" i="1"/>
  <c r="H87" i="1"/>
  <c r="H89" i="1"/>
  <c r="G96" i="1"/>
  <c r="G106" i="1"/>
  <c r="H120" i="1"/>
  <c r="H99" i="1"/>
  <c r="H9" i="1"/>
  <c r="G91" i="1"/>
  <c r="H117" i="1"/>
  <c r="H94" i="1"/>
  <c r="G126" i="1"/>
  <c r="H90" i="1"/>
  <c r="G94" i="1"/>
  <c r="H100" i="1"/>
  <c r="G98" i="1"/>
  <c r="H130" i="1"/>
  <c r="G112" i="1"/>
  <c r="G97" i="1"/>
  <c r="G125" i="1"/>
  <c r="G7" i="1"/>
  <c r="H97" i="1"/>
  <c r="G130" i="1"/>
  <c r="H13" i="1"/>
  <c r="H10" i="1"/>
  <c r="H131" i="1"/>
  <c r="H128" i="1"/>
  <c r="G131" i="1"/>
  <c r="G113" i="1"/>
  <c r="G12" i="1"/>
  <c r="G92" i="1"/>
  <c r="H93" i="1"/>
  <c r="H115" i="1"/>
  <c r="H125" i="1"/>
  <c r="G133" i="1"/>
  <c r="G102" i="1"/>
  <c r="G132" i="1"/>
  <c r="H127" i="1"/>
  <c r="H98" i="1"/>
  <c r="G119" i="1"/>
  <c r="G93" i="1"/>
  <c r="G124" i="1"/>
  <c r="G100" i="1"/>
  <c r="H91" i="1"/>
  <c r="H107" i="1"/>
  <c r="H7" i="1"/>
  <c r="G121" i="1"/>
  <c r="H11" i="1"/>
  <c r="H111" i="1"/>
  <c r="G128" i="1"/>
  <c r="H108" i="1"/>
  <c r="G10" i="1"/>
  <c r="H106" i="1"/>
  <c r="H105" i="1"/>
  <c r="H101" i="1"/>
  <c r="G13" i="1"/>
  <c r="G122" i="1"/>
  <c r="H133" i="1"/>
  <c r="H123" i="1"/>
  <c r="H119" i="1"/>
  <c r="H135" i="1"/>
  <c r="H103" i="1"/>
  <c r="H85" i="1"/>
  <c r="H95" i="1"/>
  <c r="H129" i="1"/>
  <c r="G134" i="1"/>
  <c r="G114" i="1"/>
  <c r="H122" i="1"/>
  <c r="H109" i="1"/>
  <c r="H88" i="1"/>
  <c r="H86" i="1"/>
  <c r="H136" i="1"/>
  <c r="G107" i="1"/>
  <c r="G120" i="1"/>
  <c r="G108" i="1"/>
  <c r="G104" i="1"/>
  <c r="H8" i="1"/>
  <c r="H118" i="1"/>
  <c r="H92" i="1"/>
  <c r="H113" i="1"/>
  <c r="G116" i="1"/>
  <c r="G101" i="1"/>
  <c r="G90" i="1"/>
  <c r="H112" i="1"/>
  <c r="G109" i="1"/>
  <c r="V3" i="3" l="1"/>
  <c r="U4" i="3"/>
  <c r="W3" i="3"/>
  <c r="F137" i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H149" i="1"/>
  <c r="G15" i="1"/>
  <c r="H17" i="1"/>
  <c r="G149" i="1"/>
  <c r="H15" i="1"/>
  <c r="G17" i="1"/>
  <c r="G18" i="1"/>
  <c r="G14" i="1"/>
  <c r="H16" i="1"/>
  <c r="H14" i="1"/>
  <c r="G16" i="1"/>
  <c r="H18" i="1"/>
  <c r="W4" i="3" l="1"/>
  <c r="X4" i="3"/>
  <c r="V4" i="3"/>
  <c r="U5" i="3"/>
  <c r="F150" i="1"/>
  <c r="G19" i="1"/>
  <c r="H19" i="1"/>
  <c r="H150" i="1"/>
  <c r="G150" i="1"/>
  <c r="U6" i="3" l="1"/>
  <c r="W5" i="3"/>
  <c r="X5" i="3"/>
  <c r="V5" i="3"/>
  <c r="F151" i="1"/>
  <c r="H20" i="1"/>
  <c r="G20" i="1"/>
  <c r="G151" i="1"/>
  <c r="H151" i="1"/>
  <c r="U7" i="3" l="1"/>
  <c r="X6" i="3"/>
  <c r="W6" i="3"/>
  <c r="V6" i="3"/>
  <c r="F152" i="1"/>
  <c r="H21" i="1"/>
  <c r="G152" i="1"/>
  <c r="H152" i="1"/>
  <c r="G21" i="1"/>
  <c r="U8" i="3" l="1"/>
  <c r="V7" i="3"/>
  <c r="X7" i="3"/>
  <c r="W7" i="3"/>
  <c r="U9" i="3" l="1"/>
  <c r="W8" i="3"/>
  <c r="X8" i="3"/>
  <c r="V8" i="3"/>
  <c r="U10" i="3" l="1"/>
  <c r="X9" i="3"/>
  <c r="W9" i="3"/>
  <c r="V9" i="3"/>
  <c r="U11" i="3" l="1"/>
  <c r="V10" i="3"/>
  <c r="W10" i="3"/>
  <c r="X10" i="3"/>
  <c r="M113" i="3"/>
  <c r="L197" i="3"/>
  <c r="P180" i="3"/>
  <c r="O84" i="3"/>
  <c r="L172" i="3"/>
  <c r="O218" i="3"/>
  <c r="N98" i="3"/>
  <c r="R231" i="3"/>
  <c r="N156" i="3"/>
  <c r="L114" i="3"/>
  <c r="P207" i="3"/>
  <c r="N11" i="3"/>
  <c r="M228" i="3"/>
  <c r="H129" i="3"/>
  <c r="P195" i="3"/>
  <c r="P170" i="3"/>
  <c r="L68" i="3"/>
  <c r="N198" i="3"/>
  <c r="O138" i="3"/>
  <c r="G53" i="3"/>
  <c r="N74" i="3"/>
  <c r="P187" i="3"/>
  <c r="N76" i="3"/>
  <c r="L222" i="3"/>
  <c r="L107" i="3"/>
  <c r="O4" i="3"/>
  <c r="N10" i="3"/>
  <c r="O190" i="3"/>
  <c r="O137" i="3"/>
  <c r="L179" i="3"/>
  <c r="G133" i="3"/>
  <c r="M192" i="3"/>
  <c r="M130" i="3"/>
  <c r="L83" i="3"/>
  <c r="H143" i="3"/>
  <c r="I23" i="3"/>
  <c r="N120" i="3"/>
  <c r="N30" i="3"/>
  <c r="O192" i="3"/>
  <c r="Q113" i="3"/>
  <c r="Q150" i="3"/>
  <c r="H23" i="3"/>
  <c r="I37" i="3"/>
  <c r="H90" i="3"/>
  <c r="R167" i="3"/>
  <c r="R54" i="3"/>
  <c r="L46" i="3"/>
  <c r="O191" i="3"/>
  <c r="N97" i="3"/>
  <c r="M41" i="3"/>
  <c r="L207" i="3"/>
  <c r="R19" i="3"/>
  <c r="O119" i="3"/>
  <c r="Q50" i="3"/>
  <c r="P131" i="3"/>
  <c r="M110" i="3"/>
  <c r="O176" i="3"/>
  <c r="Q112" i="3"/>
  <c r="M77" i="3"/>
  <c r="L121" i="3"/>
  <c r="H97" i="3"/>
  <c r="N69" i="3"/>
  <c r="P211" i="3"/>
  <c r="I42" i="3"/>
  <c r="O150" i="3"/>
  <c r="R159" i="3"/>
  <c r="G26" i="3"/>
  <c r="N44" i="3"/>
  <c r="N83" i="3"/>
  <c r="M111" i="3"/>
  <c r="O16" i="3"/>
  <c r="I154" i="3"/>
  <c r="L88" i="3"/>
  <c r="I144" i="3"/>
  <c r="O15" i="3"/>
  <c r="M223" i="3"/>
  <c r="M182" i="3"/>
  <c r="N153" i="3"/>
  <c r="P104" i="3"/>
  <c r="P161" i="3"/>
  <c r="O60" i="3"/>
  <c r="I26" i="3"/>
  <c r="N160" i="3"/>
  <c r="Q153" i="3"/>
  <c r="Q41" i="3"/>
  <c r="O148" i="3"/>
  <c r="L87" i="3"/>
  <c r="N29" i="3"/>
  <c r="M146" i="3"/>
  <c r="I32" i="3"/>
  <c r="N90" i="3"/>
  <c r="R113" i="3"/>
  <c r="I138" i="3"/>
  <c r="L181" i="3"/>
  <c r="M18" i="3"/>
  <c r="Q125" i="3"/>
  <c r="E70" i="3"/>
  <c r="P11" i="3"/>
  <c r="M67" i="3"/>
  <c r="L220" i="3"/>
  <c r="O217" i="3"/>
  <c r="H81" i="3"/>
  <c r="H6" i="3"/>
  <c r="Q30" i="3"/>
  <c r="G62" i="3"/>
  <c r="Q224" i="3"/>
  <c r="M37" i="3"/>
  <c r="Q197" i="3"/>
  <c r="O80" i="3"/>
  <c r="H47" i="3"/>
  <c r="G141" i="3"/>
  <c r="H12" i="3"/>
  <c r="P141" i="3"/>
  <c r="R177" i="3"/>
  <c r="P169" i="3"/>
  <c r="M208" i="3"/>
  <c r="G30" i="3"/>
  <c r="M120" i="3"/>
  <c r="H77" i="3"/>
  <c r="Q138" i="3"/>
  <c r="N102" i="3"/>
  <c r="G90" i="3"/>
  <c r="O129" i="3"/>
  <c r="N227" i="3"/>
  <c r="O103" i="3"/>
  <c r="G12" i="3"/>
  <c r="O133" i="3"/>
  <c r="R45" i="3"/>
  <c r="P146" i="3"/>
  <c r="Q154" i="3"/>
  <c r="O206" i="3"/>
  <c r="G28" i="3"/>
  <c r="H102" i="3"/>
  <c r="L100" i="3"/>
  <c r="L131" i="3"/>
  <c r="R172" i="3"/>
  <c r="L117" i="3"/>
  <c r="O23" i="3"/>
  <c r="N180" i="3"/>
  <c r="Q173" i="3"/>
  <c r="P184" i="3"/>
  <c r="O174" i="3"/>
  <c r="R76" i="3"/>
  <c r="M47" i="3"/>
  <c r="O127" i="3"/>
  <c r="R134" i="3"/>
  <c r="N66" i="3"/>
  <c r="H55" i="3"/>
  <c r="P111" i="3"/>
  <c r="P47" i="3"/>
  <c r="H11" i="3"/>
  <c r="H112" i="3"/>
  <c r="I41" i="3"/>
  <c r="F117" i="3"/>
  <c r="L29" i="3"/>
  <c r="O167" i="3"/>
  <c r="O204" i="3"/>
  <c r="Q213" i="3"/>
  <c r="G95" i="3"/>
  <c r="P192" i="3"/>
  <c r="O24" i="3"/>
  <c r="Q141" i="3"/>
  <c r="N216" i="3"/>
  <c r="M78" i="3"/>
  <c r="O219" i="3"/>
  <c r="I16" i="3"/>
  <c r="Q200" i="3"/>
  <c r="R118" i="3"/>
  <c r="L95" i="3"/>
  <c r="G50" i="3"/>
  <c r="L39" i="3"/>
  <c r="H20" i="3"/>
  <c r="N18" i="3"/>
  <c r="Q147" i="3"/>
  <c r="P61" i="3"/>
  <c r="R156" i="3"/>
  <c r="P196" i="3"/>
  <c r="N71" i="3"/>
  <c r="P38" i="3"/>
  <c r="H30" i="3"/>
  <c r="G104" i="3"/>
  <c r="R49" i="3"/>
  <c r="M152" i="3"/>
  <c r="H9" i="3"/>
  <c r="H59" i="3"/>
  <c r="N72" i="3"/>
  <c r="M181" i="3"/>
  <c r="P127" i="3"/>
  <c r="Q24" i="3"/>
  <c r="R221" i="3"/>
  <c r="I39" i="3"/>
  <c r="I92" i="3"/>
  <c r="H109" i="3"/>
  <c r="M158" i="3"/>
  <c r="Q77" i="3"/>
  <c r="I61" i="3"/>
  <c r="P188" i="3"/>
  <c r="M14" i="3"/>
  <c r="O162" i="3"/>
  <c r="M9" i="3"/>
  <c r="N135" i="3"/>
  <c r="L223" i="3"/>
  <c r="H15" i="3"/>
  <c r="I78" i="3"/>
  <c r="O209" i="3"/>
  <c r="R202" i="3"/>
  <c r="P49" i="3"/>
  <c r="H44" i="3"/>
  <c r="I108" i="3"/>
  <c r="P78" i="3"/>
  <c r="N51" i="3"/>
  <c r="O51" i="3"/>
  <c r="M72" i="3"/>
  <c r="G100" i="3"/>
  <c r="N150" i="3"/>
  <c r="O183" i="3"/>
  <c r="M90" i="3"/>
  <c r="L148" i="3"/>
  <c r="Q220" i="3"/>
  <c r="R189" i="3"/>
  <c r="L142" i="3"/>
  <c r="M166" i="3"/>
  <c r="I63" i="3"/>
  <c r="O18" i="3"/>
  <c r="N212" i="3"/>
  <c r="R121" i="3"/>
  <c r="F106" i="3"/>
  <c r="Q206" i="3"/>
  <c r="G65" i="3"/>
  <c r="N52" i="3"/>
  <c r="Q46" i="3"/>
  <c r="P94" i="3"/>
  <c r="N205" i="3"/>
  <c r="G102" i="3"/>
  <c r="Q36" i="3"/>
  <c r="P186" i="3"/>
  <c r="N194" i="3"/>
  <c r="Q74" i="3"/>
  <c r="O25" i="3"/>
  <c r="R145" i="3"/>
  <c r="R161" i="3"/>
  <c r="M169" i="3"/>
  <c r="Q137" i="3"/>
  <c r="H110" i="3"/>
  <c r="I60" i="3"/>
  <c r="G19" i="3"/>
  <c r="R99" i="3"/>
  <c r="H142" i="3"/>
  <c r="M207" i="3"/>
  <c r="O202" i="3"/>
  <c r="R20" i="3"/>
  <c r="Q39" i="3"/>
  <c r="R67" i="3"/>
  <c r="R183" i="3"/>
  <c r="O168" i="3"/>
  <c r="Q225" i="3"/>
  <c r="N128" i="3"/>
  <c r="R51" i="3"/>
  <c r="N141" i="3"/>
  <c r="M6" i="3"/>
  <c r="P133" i="3"/>
  <c r="R208" i="3"/>
  <c r="I84" i="3"/>
  <c r="H61" i="3"/>
  <c r="R151" i="3"/>
  <c r="N118" i="3"/>
  <c r="I116" i="3"/>
  <c r="L141" i="3"/>
  <c r="P179" i="3"/>
  <c r="M50" i="3"/>
  <c r="P23" i="3"/>
  <c r="Q192" i="3"/>
  <c r="R229" i="3"/>
  <c r="O220" i="3"/>
  <c r="P13" i="3"/>
  <c r="R122" i="3"/>
  <c r="Q107" i="3"/>
  <c r="P130" i="3"/>
  <c r="L192" i="3"/>
  <c r="Q101" i="3"/>
  <c r="R69" i="3"/>
  <c r="Q146" i="3"/>
  <c r="R61" i="3"/>
  <c r="R83" i="3"/>
  <c r="M123" i="3"/>
  <c r="M52" i="3"/>
  <c r="L9" i="3"/>
  <c r="N226" i="3"/>
  <c r="H25" i="3"/>
  <c r="Q187" i="3"/>
  <c r="P27" i="3"/>
  <c r="I51" i="3"/>
  <c r="N59" i="3"/>
  <c r="R6" i="3"/>
  <c r="I89" i="3"/>
  <c r="L56" i="3"/>
  <c r="M12" i="3"/>
  <c r="L11" i="3"/>
  <c r="L144" i="3"/>
  <c r="H74" i="3"/>
  <c r="H133" i="3"/>
  <c r="N219" i="3"/>
  <c r="L122" i="3"/>
  <c r="Q142" i="3"/>
  <c r="M126" i="3"/>
  <c r="R68" i="3"/>
  <c r="O11" i="3"/>
  <c r="P178" i="3"/>
  <c r="M86" i="3"/>
  <c r="M101" i="3"/>
  <c r="R197" i="3"/>
  <c r="N148" i="3"/>
  <c r="H34" i="3"/>
  <c r="O169" i="3"/>
  <c r="L27" i="3"/>
  <c r="O26" i="3"/>
  <c r="R97" i="3"/>
  <c r="P208" i="3"/>
  <c r="M127" i="3"/>
  <c r="N174" i="3"/>
  <c r="R22" i="3"/>
  <c r="M98" i="3"/>
  <c r="L102" i="3"/>
  <c r="L145" i="3"/>
  <c r="P43" i="3"/>
  <c r="L125" i="3"/>
  <c r="I97" i="3"/>
  <c r="Q217" i="3"/>
  <c r="G4" i="3"/>
  <c r="Q223" i="3"/>
  <c r="H119" i="3"/>
  <c r="M24" i="3"/>
  <c r="O175" i="3"/>
  <c r="N215" i="3"/>
  <c r="G106" i="3"/>
  <c r="L123" i="3"/>
  <c r="Q29" i="3"/>
  <c r="M148" i="3"/>
  <c r="N119" i="3"/>
  <c r="H49" i="3"/>
  <c r="R191" i="3"/>
  <c r="O30" i="3"/>
  <c r="Q126" i="3"/>
  <c r="P5" i="3"/>
  <c r="I99" i="3"/>
  <c r="P29" i="3"/>
  <c r="O157" i="3"/>
  <c r="N95" i="3"/>
  <c r="B5" i="3"/>
  <c r="P89" i="3"/>
  <c r="H135" i="3"/>
  <c r="P124" i="3"/>
  <c r="P3" i="3"/>
  <c r="O90" i="3"/>
  <c r="Q55" i="3"/>
  <c r="R148" i="3"/>
  <c r="N47" i="3"/>
  <c r="G94" i="3"/>
  <c r="H17" i="3"/>
  <c r="O173" i="3"/>
  <c r="Q170" i="3"/>
  <c r="N209" i="3"/>
  <c r="R201" i="3"/>
  <c r="G126" i="3"/>
  <c r="O104" i="3"/>
  <c r="M27" i="3"/>
  <c r="O193" i="3"/>
  <c r="O73" i="3"/>
  <c r="I49" i="3"/>
  <c r="M151" i="3"/>
  <c r="O5" i="3"/>
  <c r="Q159" i="3"/>
  <c r="P72" i="3"/>
  <c r="Q99" i="3"/>
  <c r="Q189" i="3"/>
  <c r="I150" i="3"/>
  <c r="Q186" i="3"/>
  <c r="R216" i="3"/>
  <c r="P217" i="3"/>
  <c r="G64" i="3"/>
  <c r="G136" i="3"/>
  <c r="P115" i="3"/>
  <c r="Q87" i="3"/>
  <c r="L79" i="3"/>
  <c r="M99" i="3"/>
  <c r="M71" i="3"/>
  <c r="N217" i="3"/>
  <c r="L41" i="3"/>
  <c r="L127" i="3"/>
  <c r="N185" i="3"/>
  <c r="I109" i="3"/>
  <c r="M57" i="3"/>
  <c r="M145" i="3"/>
  <c r="G125" i="3"/>
  <c r="H123" i="3"/>
  <c r="M85" i="3"/>
  <c r="O161" i="3"/>
  <c r="O107" i="3"/>
  <c r="R227" i="3"/>
  <c r="L129" i="3"/>
  <c r="R12" i="3"/>
  <c r="O85" i="3"/>
  <c r="P30" i="3"/>
  <c r="L219" i="3"/>
  <c r="N168" i="3"/>
  <c r="L199" i="3"/>
  <c r="O116" i="3"/>
  <c r="P110" i="3"/>
  <c r="I29" i="3"/>
  <c r="M131" i="3"/>
  <c r="L195" i="3"/>
  <c r="H65" i="3"/>
  <c r="G22" i="3"/>
  <c r="L151" i="3"/>
  <c r="O72" i="3"/>
  <c r="O56" i="3"/>
  <c r="M164" i="3"/>
  <c r="H98" i="3"/>
  <c r="N196" i="3"/>
  <c r="G120" i="3"/>
  <c r="H76" i="3"/>
  <c r="M210" i="3"/>
  <c r="L162" i="3"/>
  <c r="O215" i="3"/>
  <c r="P44" i="3"/>
  <c r="N155" i="3"/>
  <c r="L201" i="3"/>
  <c r="R120" i="3"/>
  <c r="N78" i="3"/>
  <c r="L170" i="3"/>
  <c r="Q191" i="3"/>
  <c r="P189" i="3"/>
  <c r="R29" i="3"/>
  <c r="O83" i="3"/>
  <c r="H150" i="3"/>
  <c r="P213" i="3"/>
  <c r="N182" i="3"/>
  <c r="O155" i="3"/>
  <c r="L47" i="3"/>
  <c r="G75" i="3"/>
  <c r="P37" i="3"/>
  <c r="N109" i="3"/>
  <c r="Q127" i="3"/>
  <c r="Q37" i="3"/>
  <c r="I75" i="3"/>
  <c r="G103" i="3"/>
  <c r="H149" i="3"/>
  <c r="L183" i="3"/>
  <c r="G122" i="3"/>
  <c r="P231" i="3"/>
  <c r="N53" i="3"/>
  <c r="I54" i="3"/>
  <c r="O61" i="3"/>
  <c r="L54" i="3"/>
  <c r="R7" i="3"/>
  <c r="N42" i="3"/>
  <c r="G59" i="3"/>
  <c r="Q25" i="3"/>
  <c r="L97" i="3"/>
  <c r="M198" i="3"/>
  <c r="I146" i="3"/>
  <c r="O198" i="3"/>
  <c r="I8" i="3"/>
  <c r="Q120" i="3"/>
  <c r="N147" i="3"/>
  <c r="N230" i="3"/>
  <c r="O76" i="3"/>
  <c r="L5" i="3"/>
  <c r="Q15" i="3"/>
  <c r="N193" i="3"/>
  <c r="O131" i="3"/>
  <c r="M230" i="3"/>
  <c r="G143" i="3"/>
  <c r="G48" i="3"/>
  <c r="H62" i="3"/>
  <c r="M186" i="3"/>
  <c r="G155" i="3"/>
  <c r="I10" i="3"/>
  <c r="Q32" i="3"/>
  <c r="O66" i="3"/>
  <c r="R175" i="3"/>
  <c r="Q85" i="3"/>
  <c r="I22" i="3"/>
  <c r="G101" i="3"/>
  <c r="R108" i="3"/>
  <c r="P15" i="3"/>
  <c r="O126" i="3"/>
  <c r="N231" i="3"/>
  <c r="Q102" i="3"/>
  <c r="L20" i="3"/>
  <c r="I137" i="3"/>
  <c r="Q48" i="3"/>
  <c r="O12" i="3"/>
  <c r="L50" i="3"/>
  <c r="L70" i="3"/>
  <c r="P36" i="3"/>
  <c r="Q228" i="3"/>
  <c r="F113" i="3"/>
  <c r="Q144" i="3"/>
  <c r="Q193" i="3"/>
  <c r="G60" i="3"/>
  <c r="L14" i="3"/>
  <c r="I34" i="3"/>
  <c r="R147" i="3"/>
  <c r="H46" i="3"/>
  <c r="R215" i="3"/>
  <c r="Q61" i="3"/>
  <c r="P75" i="3"/>
  <c r="L184" i="3"/>
  <c r="N37" i="3"/>
  <c r="G69" i="3"/>
  <c r="P128" i="3"/>
  <c r="N152" i="3"/>
  <c r="M222" i="3"/>
  <c r="G127" i="3"/>
  <c r="H45" i="3"/>
  <c r="N179" i="3"/>
  <c r="R164" i="3"/>
  <c r="H101" i="3"/>
  <c r="P219" i="3"/>
  <c r="H27" i="3"/>
  <c r="N15" i="3"/>
  <c r="N157" i="3"/>
  <c r="N26" i="3"/>
  <c r="O212" i="3"/>
  <c r="H24" i="3"/>
  <c r="I64" i="3"/>
  <c r="I44" i="3"/>
  <c r="G108" i="3"/>
  <c r="L229" i="3"/>
  <c r="M91" i="3"/>
  <c r="Q128" i="3"/>
  <c r="M8" i="3"/>
  <c r="P226" i="3"/>
  <c r="H14" i="3"/>
  <c r="M11" i="3"/>
  <c r="M108" i="3"/>
  <c r="G13" i="3"/>
  <c r="G32" i="3"/>
  <c r="L33" i="3"/>
  <c r="M185" i="3"/>
  <c r="L13" i="3"/>
  <c r="O231" i="3"/>
  <c r="N117" i="3"/>
  <c r="L119" i="3"/>
  <c r="Q10" i="3"/>
  <c r="L78" i="3"/>
  <c r="Q89" i="3"/>
  <c r="G84" i="3"/>
  <c r="P83" i="3"/>
  <c r="L108" i="3"/>
  <c r="M10" i="3"/>
  <c r="P52" i="3"/>
  <c r="H69" i="3"/>
  <c r="R128" i="3"/>
  <c r="O87" i="3"/>
  <c r="E109" i="3"/>
  <c r="O170" i="3"/>
  <c r="B15" i="3"/>
  <c r="O163" i="3"/>
  <c r="M155" i="3"/>
  <c r="L49" i="3"/>
  <c r="I148" i="3"/>
  <c r="L38" i="3"/>
  <c r="G6" i="3"/>
  <c r="N68" i="3"/>
  <c r="N85" i="3"/>
  <c r="I4" i="3"/>
  <c r="P119" i="3"/>
  <c r="Q106" i="3"/>
  <c r="L146" i="3"/>
  <c r="L156" i="3"/>
  <c r="R130" i="3"/>
  <c r="I126" i="3"/>
  <c r="R111" i="3"/>
  <c r="L200" i="3"/>
  <c r="R65" i="3"/>
  <c r="Q156" i="3"/>
  <c r="R123" i="3"/>
  <c r="I28" i="3"/>
  <c r="O53" i="3"/>
  <c r="M178" i="3"/>
  <c r="I7" i="3"/>
  <c r="P149" i="3"/>
  <c r="O147" i="3"/>
  <c r="G3" i="3"/>
  <c r="Q76" i="3"/>
  <c r="B9" i="3"/>
  <c r="H85" i="3"/>
  <c r="G111" i="3"/>
  <c r="I48" i="3"/>
  <c r="N40" i="3"/>
  <c r="M30" i="3"/>
  <c r="R185" i="3"/>
  <c r="Q6" i="3"/>
  <c r="M84" i="3"/>
  <c r="R211" i="3"/>
  <c r="Q171" i="3"/>
  <c r="M202" i="3"/>
  <c r="H37" i="3"/>
  <c r="P177" i="3"/>
  <c r="M25" i="3"/>
  <c r="P17" i="3"/>
  <c r="M62" i="3"/>
  <c r="R154" i="3"/>
  <c r="Q190" i="3"/>
  <c r="R16" i="3"/>
  <c r="I125" i="3"/>
  <c r="G41" i="3"/>
  <c r="P25" i="3"/>
  <c r="N206" i="3"/>
  <c r="I122" i="3"/>
  <c r="O114" i="3"/>
  <c r="L80" i="3"/>
  <c r="G154" i="3"/>
  <c r="L155" i="3"/>
  <c r="R91" i="3"/>
  <c r="Q54" i="3"/>
  <c r="M60" i="3"/>
  <c r="M64" i="3"/>
  <c r="G79" i="3"/>
  <c r="Q70" i="3"/>
  <c r="P173" i="3"/>
  <c r="M189" i="3"/>
  <c r="Q100" i="3"/>
  <c r="P120" i="3"/>
  <c r="R217" i="3"/>
  <c r="N223" i="3"/>
  <c r="H4" i="3"/>
  <c r="R13" i="3"/>
  <c r="N143" i="3"/>
  <c r="P22" i="3"/>
  <c r="O74" i="3"/>
  <c r="M200" i="3"/>
  <c r="Q7" i="3"/>
  <c r="I110" i="3"/>
  <c r="N104" i="3"/>
  <c r="M217" i="3"/>
  <c r="O122" i="3"/>
  <c r="L85" i="3"/>
  <c r="H72" i="3"/>
  <c r="F56" i="3"/>
  <c r="L147" i="3"/>
  <c r="Q204" i="3"/>
  <c r="R14" i="3"/>
  <c r="L226" i="3"/>
  <c r="G55" i="3"/>
  <c r="N188" i="3"/>
  <c r="R182" i="3"/>
  <c r="M45" i="3"/>
  <c r="M105" i="3"/>
  <c r="O41" i="3"/>
  <c r="M95" i="3"/>
  <c r="P28" i="3"/>
  <c r="M34" i="3"/>
  <c r="R41" i="3"/>
  <c r="H41" i="3"/>
  <c r="O196" i="3"/>
  <c r="R81" i="3"/>
  <c r="P95" i="3"/>
  <c r="O95" i="3"/>
  <c r="L224" i="3"/>
  <c r="I9" i="3"/>
  <c r="H91" i="3"/>
  <c r="L112" i="3"/>
  <c r="R58" i="3"/>
  <c r="P65" i="3"/>
  <c r="M168" i="3"/>
  <c r="L190" i="3"/>
  <c r="L205" i="3"/>
  <c r="L132" i="3"/>
  <c r="R187" i="3"/>
  <c r="O130" i="3"/>
  <c r="P106" i="3"/>
  <c r="R206" i="3"/>
  <c r="N130" i="3"/>
  <c r="L231" i="3"/>
  <c r="R152" i="3"/>
  <c r="H111" i="3"/>
  <c r="Q133" i="3"/>
  <c r="I143" i="3"/>
  <c r="Q103" i="3"/>
  <c r="P201" i="3"/>
  <c r="N93" i="3"/>
  <c r="Q148" i="3"/>
  <c r="P155" i="3"/>
  <c r="Q158" i="3"/>
  <c r="N23" i="3"/>
  <c r="G96" i="3"/>
  <c r="R35" i="3"/>
  <c r="M121" i="3"/>
  <c r="L187" i="3"/>
  <c r="R75" i="3"/>
  <c r="L159" i="3"/>
  <c r="Q47" i="3"/>
  <c r="Q81" i="3"/>
  <c r="N203" i="3"/>
  <c r="H139" i="3"/>
  <c r="O185" i="3"/>
  <c r="H48" i="3"/>
  <c r="H52" i="3"/>
  <c r="P197" i="3"/>
  <c r="N121" i="3"/>
  <c r="G115" i="3"/>
  <c r="R220" i="3"/>
  <c r="P139" i="3"/>
  <c r="Q5" i="3"/>
  <c r="I71" i="3"/>
  <c r="P81" i="3"/>
  <c r="R158" i="3"/>
  <c r="I46" i="3"/>
  <c r="L186" i="3"/>
  <c r="Q124" i="3"/>
  <c r="L105" i="3"/>
  <c r="M187" i="3"/>
  <c r="L225" i="3"/>
  <c r="O33" i="3"/>
  <c r="Q226" i="3"/>
  <c r="L37" i="3"/>
  <c r="M161" i="3"/>
  <c r="G142" i="3"/>
  <c r="G147" i="3"/>
  <c r="O89" i="3"/>
  <c r="H31" i="3"/>
  <c r="H13" i="3"/>
  <c r="N87" i="3"/>
  <c r="I50" i="3"/>
  <c r="Q90" i="3"/>
  <c r="M160" i="3"/>
  <c r="N100" i="3"/>
  <c r="N48" i="3"/>
  <c r="N22" i="3"/>
  <c r="Q71" i="3"/>
  <c r="R205" i="3"/>
  <c r="P159" i="3"/>
  <c r="M137" i="3"/>
  <c r="O152" i="3"/>
  <c r="L18" i="3"/>
  <c r="M156" i="3"/>
  <c r="L90" i="3"/>
  <c r="M82" i="3"/>
  <c r="M128" i="3"/>
  <c r="H93" i="3"/>
  <c r="O229" i="3"/>
  <c r="F105" i="3"/>
  <c r="M106" i="3"/>
  <c r="R138" i="3"/>
  <c r="I52" i="3"/>
  <c r="P129" i="3"/>
  <c r="O52" i="3"/>
  <c r="Q11" i="3"/>
  <c r="Q42" i="3"/>
  <c r="O62" i="3"/>
  <c r="R39" i="3"/>
  <c r="I13" i="3"/>
  <c r="O230" i="3"/>
  <c r="P154" i="3"/>
  <c r="R125" i="3"/>
  <c r="H145" i="3"/>
  <c r="L175" i="3"/>
  <c r="H94" i="3"/>
  <c r="I6" i="3"/>
  <c r="P32" i="3"/>
  <c r="G35" i="3"/>
  <c r="E117" i="3"/>
  <c r="P86" i="3"/>
  <c r="H117" i="3"/>
  <c r="O31" i="3"/>
  <c r="G61" i="3"/>
  <c r="G43" i="3"/>
  <c r="R207" i="3"/>
  <c r="N181" i="3"/>
  <c r="O205" i="3"/>
  <c r="G20" i="3"/>
  <c r="N32" i="3"/>
  <c r="H16" i="3"/>
  <c r="I113" i="3"/>
  <c r="R112" i="3"/>
  <c r="R119" i="3"/>
  <c r="H113" i="3"/>
  <c r="M138" i="3"/>
  <c r="Q212" i="3"/>
  <c r="Q63" i="3"/>
  <c r="N149" i="3"/>
  <c r="P107" i="3"/>
  <c r="F12" i="3"/>
  <c r="H148" i="3"/>
  <c r="G99" i="3"/>
  <c r="L180" i="3"/>
  <c r="L158" i="3"/>
  <c r="O223" i="3"/>
  <c r="M89" i="3"/>
  <c r="L120" i="3"/>
  <c r="L12" i="3"/>
  <c r="L217" i="3"/>
  <c r="N197" i="3"/>
  <c r="O78" i="3"/>
  <c r="P103" i="3"/>
  <c r="O142" i="3"/>
  <c r="R64" i="3"/>
  <c r="I79" i="3"/>
  <c r="H144" i="3"/>
  <c r="R87" i="3"/>
  <c r="R11" i="3"/>
  <c r="I112" i="3"/>
  <c r="Q165" i="3"/>
  <c r="M129" i="3"/>
  <c r="L96" i="3"/>
  <c r="M94" i="3"/>
  <c r="N190" i="3"/>
  <c r="O109" i="3"/>
  <c r="M170" i="3"/>
  <c r="N16" i="3"/>
  <c r="O160" i="3"/>
  <c r="P156" i="3"/>
  <c r="I66" i="3"/>
  <c r="O7" i="3"/>
  <c r="R44" i="3"/>
  <c r="M92" i="3"/>
  <c r="L74" i="3"/>
  <c r="N75" i="3"/>
  <c r="M44" i="3"/>
  <c r="P8" i="3"/>
  <c r="I11" i="3"/>
  <c r="N159" i="3"/>
  <c r="N208" i="3"/>
  <c r="L176" i="3"/>
  <c r="O182" i="3"/>
  <c r="N211" i="3"/>
  <c r="P229" i="3"/>
  <c r="I94" i="3"/>
  <c r="P34" i="3"/>
  <c r="H124" i="3"/>
  <c r="O214" i="3"/>
  <c r="L161" i="3"/>
  <c r="M136" i="3"/>
  <c r="L208" i="3"/>
  <c r="O199" i="3"/>
  <c r="M31" i="3"/>
  <c r="E62" i="3"/>
  <c r="Q13" i="3"/>
  <c r="Q86" i="3"/>
  <c r="G33" i="3"/>
  <c r="N36" i="3"/>
  <c r="R230" i="3"/>
  <c r="O195" i="3"/>
  <c r="Q108" i="3"/>
  <c r="N84" i="3"/>
  <c r="I82" i="3"/>
  <c r="G70" i="3"/>
  <c r="L203" i="3"/>
  <c r="Q161" i="3"/>
  <c r="R79" i="3"/>
  <c r="I135" i="3"/>
  <c r="P193" i="3"/>
  <c r="M33" i="3"/>
  <c r="N46" i="3"/>
  <c r="Q122" i="3"/>
  <c r="I93" i="3"/>
  <c r="I27" i="3"/>
  <c r="P105" i="3"/>
  <c r="H130" i="3"/>
  <c r="Q216" i="3"/>
  <c r="Q219" i="3"/>
  <c r="M7" i="3"/>
  <c r="O177" i="3"/>
  <c r="P76" i="3"/>
  <c r="Q229" i="3"/>
  <c r="L42" i="3"/>
  <c r="P12" i="3"/>
  <c r="M218" i="3"/>
  <c r="R72" i="3"/>
  <c r="Q26" i="3"/>
  <c r="P171" i="3"/>
  <c r="L81" i="3"/>
  <c r="O57" i="3"/>
  <c r="P7" i="3"/>
  <c r="N142" i="3"/>
  <c r="P113" i="3"/>
  <c r="P33" i="3"/>
  <c r="N166" i="3"/>
  <c r="M225" i="3"/>
  <c r="M125" i="3"/>
  <c r="L191" i="3"/>
  <c r="N70" i="3"/>
  <c r="L134" i="3"/>
  <c r="N131" i="3"/>
  <c r="H21" i="3"/>
  <c r="Q149" i="3"/>
  <c r="P96" i="3"/>
  <c r="R106" i="3"/>
  <c r="R89" i="3"/>
  <c r="G89" i="3"/>
  <c r="G56" i="3"/>
  <c r="O17" i="3"/>
  <c r="H29" i="3"/>
  <c r="Q4" i="3"/>
  <c r="L24" i="3"/>
  <c r="N218" i="3"/>
  <c r="G49" i="3"/>
  <c r="G67" i="3"/>
  <c r="O210" i="3"/>
  <c r="R137" i="3"/>
  <c r="M17" i="3"/>
  <c r="R90" i="3"/>
  <c r="N110" i="3"/>
  <c r="I128" i="3"/>
  <c r="G88" i="3"/>
  <c r="M70" i="3"/>
  <c r="I153" i="3"/>
  <c r="Q167" i="3"/>
  <c r="O151" i="3"/>
  <c r="Q180" i="3"/>
  <c r="L89" i="3"/>
  <c r="Q140" i="3"/>
  <c r="O172" i="3"/>
  <c r="N134" i="3"/>
  <c r="O102" i="3"/>
  <c r="P182" i="3"/>
  <c r="I57" i="3"/>
  <c r="P117" i="3"/>
  <c r="M26" i="3"/>
  <c r="L118" i="3"/>
  <c r="M203" i="3"/>
  <c r="N82" i="3"/>
  <c r="I86" i="3"/>
  <c r="P200" i="3"/>
  <c r="G18" i="3"/>
  <c r="O93" i="3"/>
  <c r="R32" i="3"/>
  <c r="F14" i="3"/>
  <c r="H134" i="3"/>
  <c r="P142" i="3"/>
  <c r="P26" i="3"/>
  <c r="I40" i="3"/>
  <c r="Q21" i="3"/>
  <c r="M59" i="3"/>
  <c r="R168" i="3"/>
  <c r="R171" i="3"/>
  <c r="M22" i="3"/>
  <c r="N186" i="3"/>
  <c r="P97" i="3"/>
  <c r="O46" i="3"/>
  <c r="I14" i="3"/>
  <c r="H56" i="3"/>
  <c r="N58" i="3"/>
  <c r="N170" i="3"/>
  <c r="O99" i="3"/>
  <c r="G138" i="3"/>
  <c r="Q45" i="3"/>
  <c r="H22" i="3"/>
  <c r="N86" i="3"/>
  <c r="I80" i="3"/>
  <c r="O92" i="3"/>
  <c r="N7" i="3"/>
  <c r="O29" i="3"/>
  <c r="H105" i="3"/>
  <c r="O75" i="3"/>
  <c r="O121" i="3"/>
  <c r="M211" i="3"/>
  <c r="R103" i="3"/>
  <c r="R200" i="3"/>
  <c r="L133" i="3"/>
  <c r="G85" i="3"/>
  <c r="R78" i="3"/>
  <c r="F43" i="3"/>
  <c r="I123" i="3"/>
  <c r="O97" i="3"/>
  <c r="L6" i="3"/>
  <c r="R10" i="3"/>
  <c r="Q183" i="3"/>
  <c r="P132" i="3"/>
  <c r="H28" i="3"/>
  <c r="R166" i="3"/>
  <c r="O187" i="3"/>
  <c r="P112" i="3"/>
  <c r="P59" i="3"/>
  <c r="I90" i="3"/>
  <c r="I133" i="3"/>
  <c r="O64" i="3"/>
  <c r="Q202" i="3"/>
  <c r="O70" i="3"/>
  <c r="H39" i="3"/>
  <c r="I119" i="3"/>
  <c r="G91" i="3"/>
  <c r="I140" i="3"/>
  <c r="I83" i="3"/>
  <c r="Q51" i="3"/>
  <c r="O166" i="3"/>
  <c r="M49" i="3"/>
  <c r="Q44" i="3"/>
  <c r="N133" i="3"/>
  <c r="G5" i="3"/>
  <c r="L227" i="3"/>
  <c r="O98" i="3"/>
  <c r="R34" i="3"/>
  <c r="L153" i="3"/>
  <c r="N14" i="3"/>
  <c r="P114" i="3"/>
  <c r="O44" i="3"/>
  <c r="R24" i="3"/>
  <c r="E93" i="3"/>
  <c r="O47" i="3"/>
  <c r="Q188" i="3"/>
  <c r="F108" i="3"/>
  <c r="G151" i="3"/>
  <c r="N108" i="3"/>
  <c r="Q91" i="3"/>
  <c r="I55" i="3"/>
  <c r="L189" i="3"/>
  <c r="Q65" i="3"/>
  <c r="L63" i="3"/>
  <c r="R160" i="3"/>
  <c r="Q73" i="3"/>
  <c r="I100" i="3"/>
  <c r="E47" i="3"/>
  <c r="L177" i="3"/>
  <c r="P198" i="3"/>
  <c r="H127" i="3"/>
  <c r="L196" i="3"/>
  <c r="L82" i="3"/>
  <c r="G105" i="3"/>
  <c r="R194" i="3"/>
  <c r="N132" i="3"/>
  <c r="G117" i="3"/>
  <c r="Q231" i="3"/>
  <c r="G10" i="3"/>
  <c r="R46" i="3"/>
  <c r="O55" i="3"/>
  <c r="O222" i="3"/>
  <c r="P74" i="3"/>
  <c r="G146" i="3"/>
  <c r="P101" i="3"/>
  <c r="L40" i="3"/>
  <c r="M15" i="3"/>
  <c r="Q98" i="3"/>
  <c r="R43" i="3"/>
  <c r="L206" i="3"/>
  <c r="Q22" i="3"/>
  <c r="G130" i="3"/>
  <c r="Q164" i="3"/>
  <c r="M183" i="3"/>
  <c r="L106" i="3"/>
  <c r="I12" i="3"/>
  <c r="P84" i="3"/>
  <c r="Q9" i="3"/>
  <c r="R173" i="3"/>
  <c r="M134" i="3"/>
  <c r="H75" i="3"/>
  <c r="G54" i="3"/>
  <c r="Q35" i="3"/>
  <c r="M36" i="3"/>
  <c r="E4" i="3"/>
  <c r="O164" i="3"/>
  <c r="H67" i="3"/>
  <c r="H57" i="3"/>
  <c r="L178" i="3"/>
  <c r="N122" i="3"/>
  <c r="N204" i="3"/>
  <c r="L168" i="3"/>
  <c r="R222" i="3"/>
  <c r="R169" i="3"/>
  <c r="N20" i="3"/>
  <c r="Q207" i="3"/>
  <c r="Q169" i="3"/>
  <c r="P48" i="3"/>
  <c r="N137" i="3"/>
  <c r="M16" i="3"/>
  <c r="P157" i="3"/>
  <c r="P50" i="3"/>
  <c r="R144" i="3"/>
  <c r="O158" i="3"/>
  <c r="R31" i="3"/>
  <c r="N183" i="3"/>
  <c r="N41" i="3"/>
  <c r="R150" i="3"/>
  <c r="H70" i="3"/>
  <c r="M68" i="3"/>
  <c r="R66" i="3"/>
  <c r="N54" i="3"/>
  <c r="N57" i="3"/>
  <c r="P45" i="3"/>
  <c r="N214" i="3"/>
  <c r="M197" i="3"/>
  <c r="R26" i="3"/>
  <c r="G121" i="3"/>
  <c r="M221" i="3"/>
  <c r="R50" i="3"/>
  <c r="P88" i="3"/>
  <c r="L211" i="3"/>
  <c r="O188" i="3"/>
  <c r="H154" i="3"/>
  <c r="G25" i="3"/>
  <c r="N21" i="3"/>
  <c r="Q222" i="3"/>
  <c r="R135" i="3"/>
  <c r="H19" i="3"/>
  <c r="L91" i="3"/>
  <c r="I114" i="3"/>
  <c r="O135" i="3"/>
  <c r="G93" i="3"/>
  <c r="M143" i="3"/>
  <c r="O108" i="3"/>
  <c r="N73" i="3"/>
  <c r="R198" i="3"/>
  <c r="R184" i="3"/>
  <c r="I147" i="3"/>
  <c r="L143" i="3"/>
  <c r="P216" i="3"/>
  <c r="N207" i="3"/>
  <c r="H33" i="3"/>
  <c r="O82" i="3"/>
  <c r="G63" i="3"/>
  <c r="D15" i="3"/>
  <c r="H100" i="3"/>
  <c r="Q62" i="3"/>
  <c r="P57" i="3"/>
  <c r="Q145" i="3"/>
  <c r="Q155" i="3"/>
  <c r="O194" i="3"/>
  <c r="N88" i="3"/>
  <c r="H115" i="3"/>
  <c r="Q182" i="3"/>
  <c r="R179" i="3"/>
  <c r="H120" i="3"/>
  <c r="L45" i="3"/>
  <c r="N189" i="3"/>
  <c r="P91" i="3"/>
  <c r="L171" i="3"/>
  <c r="H42" i="3"/>
  <c r="M147" i="3"/>
  <c r="M144" i="3"/>
  <c r="L139" i="3"/>
  <c r="O6" i="3"/>
  <c r="O8" i="3"/>
  <c r="Q172" i="3"/>
  <c r="L188" i="3"/>
  <c r="M100" i="3"/>
  <c r="H5" i="3"/>
  <c r="G98" i="3"/>
  <c r="M190" i="3"/>
  <c r="I77" i="3"/>
  <c r="M65" i="3"/>
  <c r="H68" i="3"/>
  <c r="Q175" i="3"/>
  <c r="Q143" i="3"/>
  <c r="L8" i="3"/>
  <c r="G131" i="3"/>
  <c r="N177" i="3"/>
  <c r="H104" i="3"/>
  <c r="O22" i="3"/>
  <c r="M56" i="3"/>
  <c r="G87" i="3"/>
  <c r="I30" i="3"/>
  <c r="N25" i="3"/>
  <c r="M51" i="3"/>
  <c r="L51" i="3"/>
  <c r="Q23" i="3"/>
  <c r="N49" i="3"/>
  <c r="M154" i="3"/>
  <c r="N80" i="3"/>
  <c r="L194" i="3"/>
  <c r="O40" i="3"/>
  <c r="N220" i="3"/>
  <c r="H107" i="3"/>
  <c r="R21" i="3"/>
  <c r="L26" i="3"/>
  <c r="H73" i="3"/>
  <c r="L218" i="3"/>
  <c r="N12" i="3"/>
  <c r="Q92" i="3"/>
  <c r="N158" i="3"/>
  <c r="Q19" i="3"/>
  <c r="N126" i="3"/>
  <c r="O32" i="3"/>
  <c r="R57" i="3"/>
  <c r="Q134" i="3"/>
  <c r="R17" i="3"/>
  <c r="M5" i="3"/>
  <c r="N164" i="3"/>
  <c r="G47" i="3"/>
  <c r="N191" i="3"/>
  <c r="N4" i="3"/>
  <c r="H63" i="3"/>
  <c r="I103" i="3"/>
  <c r="G82" i="3"/>
  <c r="O201" i="3"/>
  <c r="O9" i="3"/>
  <c r="P151" i="3"/>
  <c r="M35" i="3"/>
  <c r="Q52" i="3"/>
  <c r="P143" i="3"/>
  <c r="M219" i="3"/>
  <c r="O179" i="3"/>
  <c r="H38" i="3"/>
  <c r="P214" i="3"/>
  <c r="M4" i="3"/>
  <c r="R94" i="3"/>
  <c r="M114" i="3"/>
  <c r="Q121" i="3"/>
  <c r="L115" i="3"/>
  <c r="Q104" i="3"/>
  <c r="Q198" i="3"/>
  <c r="O58" i="3"/>
  <c r="L110" i="3"/>
  <c r="I81" i="3"/>
  <c r="O77" i="3"/>
  <c r="I130" i="3"/>
  <c r="R25" i="3"/>
  <c r="P40" i="3"/>
  <c r="L154" i="3"/>
  <c r="M175" i="3"/>
  <c r="M193" i="3"/>
  <c r="L44" i="3"/>
  <c r="P227" i="3"/>
  <c r="R199" i="3"/>
  <c r="L58" i="3"/>
  <c r="L55" i="3"/>
  <c r="M188" i="3"/>
  <c r="R223" i="3"/>
  <c r="I20" i="3"/>
  <c r="M40" i="3"/>
  <c r="R188" i="3"/>
  <c r="L104" i="3"/>
  <c r="H121" i="3"/>
  <c r="H66" i="3"/>
  <c r="O14" i="3"/>
  <c r="H99" i="3"/>
  <c r="O146" i="3"/>
  <c r="O36" i="3"/>
  <c r="M21" i="3"/>
  <c r="Q72" i="3"/>
  <c r="N201" i="3"/>
  <c r="H132" i="3"/>
  <c r="H87" i="3"/>
  <c r="M55" i="3"/>
  <c r="Q203" i="3"/>
  <c r="M209" i="3"/>
  <c r="Q199" i="3"/>
  <c r="N34" i="3"/>
  <c r="R80" i="3"/>
  <c r="P35" i="3"/>
  <c r="M109" i="3"/>
  <c r="P58" i="3"/>
  <c r="R40" i="3"/>
  <c r="N222" i="3"/>
  <c r="G72" i="3"/>
  <c r="I69" i="3"/>
  <c r="L31" i="3"/>
  <c r="M104" i="3"/>
  <c r="P224" i="3"/>
  <c r="R218" i="3"/>
  <c r="Q117" i="3"/>
  <c r="O69" i="3"/>
  <c r="N224" i="3"/>
  <c r="Q67" i="3"/>
  <c r="G97" i="3"/>
  <c r="Q40" i="3"/>
  <c r="L214" i="3"/>
  <c r="O54" i="3"/>
  <c r="N161" i="3"/>
  <c r="G71" i="3"/>
  <c r="O165" i="3"/>
  <c r="N19" i="3"/>
  <c r="O180" i="3"/>
  <c r="N228" i="3"/>
  <c r="R142" i="3"/>
  <c r="Q201" i="3"/>
  <c r="L113" i="3"/>
  <c r="M81" i="3"/>
  <c r="P221" i="3"/>
  <c r="M28" i="3"/>
  <c r="R228" i="3"/>
  <c r="N114" i="3"/>
  <c r="L213" i="3"/>
  <c r="M201" i="3"/>
  <c r="N94" i="3"/>
  <c r="L167" i="3"/>
  <c r="P66" i="3"/>
  <c r="G29" i="3"/>
  <c r="P220" i="3"/>
  <c r="P116" i="3"/>
  <c r="Q28" i="3"/>
  <c r="N200" i="3"/>
  <c r="P152" i="3"/>
  <c r="L64" i="3"/>
  <c r="R176" i="3"/>
  <c r="P209" i="3"/>
  <c r="G92" i="3"/>
  <c r="G152" i="3"/>
  <c r="I129" i="3"/>
  <c r="R210" i="3"/>
  <c r="L34" i="3"/>
  <c r="M73" i="3"/>
  <c r="L19" i="3"/>
  <c r="O156" i="3"/>
  <c r="N6" i="3"/>
  <c r="M141" i="3"/>
  <c r="M179" i="3"/>
  <c r="P191" i="3"/>
  <c r="R86" i="3"/>
  <c r="P121" i="3"/>
  <c r="O59" i="3"/>
  <c r="Q69" i="3"/>
  <c r="P172" i="3"/>
  <c r="H71" i="3"/>
  <c r="O132" i="3"/>
  <c r="Q221" i="3"/>
  <c r="Q49" i="3"/>
  <c r="R195" i="3"/>
  <c r="H86" i="3"/>
  <c r="O144" i="3"/>
  <c r="I136" i="3"/>
  <c r="L36" i="3"/>
  <c r="Q214" i="3"/>
  <c r="G118" i="3"/>
  <c r="R88" i="3"/>
  <c r="M220" i="3"/>
  <c r="G86" i="3"/>
  <c r="E51" i="3"/>
  <c r="I56" i="3"/>
  <c r="P215" i="3"/>
  <c r="M75" i="3"/>
  <c r="M135" i="3"/>
  <c r="M157" i="3"/>
  <c r="G7" i="3"/>
  <c r="R149" i="3"/>
  <c r="P206" i="3"/>
  <c r="Q209" i="3"/>
  <c r="O45" i="3"/>
  <c r="R56" i="3"/>
  <c r="M61" i="3"/>
  <c r="L210" i="3"/>
  <c r="P126" i="3"/>
  <c r="P102" i="3"/>
  <c r="L69" i="3"/>
  <c r="N27" i="3"/>
  <c r="P185" i="3"/>
  <c r="G40" i="3"/>
  <c r="I19" i="3"/>
  <c r="R126" i="3"/>
  <c r="O128" i="3"/>
  <c r="N107" i="3"/>
  <c r="G74" i="3"/>
  <c r="E42" i="3"/>
  <c r="P62" i="3"/>
  <c r="O49" i="3"/>
  <c r="P144" i="3"/>
  <c r="Q17" i="3"/>
  <c r="M96" i="3"/>
  <c r="H18" i="3"/>
  <c r="I74" i="3"/>
  <c r="M159" i="3"/>
  <c r="N8" i="3"/>
  <c r="P64" i="3"/>
  <c r="I121" i="3"/>
  <c r="L128" i="3"/>
  <c r="M76" i="3"/>
  <c r="P39" i="3"/>
  <c r="N38" i="3"/>
  <c r="R139" i="3"/>
  <c r="M13" i="3"/>
  <c r="R133" i="3"/>
  <c r="O208" i="3"/>
  <c r="Q163" i="3"/>
  <c r="H146" i="3"/>
  <c r="N28" i="3"/>
  <c r="I117" i="3"/>
  <c r="Q78" i="3"/>
  <c r="L21" i="3"/>
  <c r="P60" i="3"/>
  <c r="G107" i="3"/>
  <c r="P90" i="3"/>
  <c r="N172" i="3"/>
  <c r="M93" i="3"/>
  <c r="N178" i="3"/>
  <c r="M165" i="3"/>
  <c r="Q43" i="3"/>
  <c r="G42" i="3"/>
  <c r="P16" i="3"/>
  <c r="R48" i="3"/>
  <c r="R136" i="3"/>
  <c r="L152" i="3"/>
  <c r="R3" i="3"/>
  <c r="N163" i="3"/>
  <c r="L35" i="3"/>
  <c r="G128" i="3"/>
  <c r="G8" i="3"/>
  <c r="N105" i="3"/>
  <c r="R131" i="3"/>
  <c r="L212" i="3"/>
  <c r="H137" i="3"/>
  <c r="G119" i="3"/>
  <c r="M79" i="3"/>
  <c r="M174" i="3"/>
  <c r="N129" i="3"/>
  <c r="L62" i="3"/>
  <c r="N162" i="3"/>
  <c r="L157" i="3"/>
  <c r="H7" i="3"/>
  <c r="I152" i="3"/>
  <c r="I124" i="3"/>
  <c r="L23" i="3"/>
  <c r="Q184" i="3"/>
  <c r="G145" i="3"/>
  <c r="G66" i="3"/>
  <c r="G129" i="3"/>
  <c r="G36" i="3"/>
  <c r="P68" i="3"/>
  <c r="H125" i="3"/>
  <c r="E23" i="3"/>
  <c r="I35" i="3"/>
  <c r="M162" i="3"/>
  <c r="M20" i="3"/>
  <c r="G149" i="3"/>
  <c r="N127" i="3"/>
  <c r="G27" i="3"/>
  <c r="I134" i="3"/>
  <c r="H84" i="3"/>
  <c r="H126" i="3"/>
  <c r="N61" i="3"/>
  <c r="P92" i="3"/>
  <c r="O91" i="3"/>
  <c r="R155" i="3"/>
  <c r="I43" i="3"/>
  <c r="M176" i="3"/>
  <c r="Q157" i="3"/>
  <c r="R180" i="3"/>
  <c r="O34" i="3"/>
  <c r="Q110" i="3"/>
  <c r="P99" i="3"/>
  <c r="O81" i="3"/>
  <c r="N151" i="3"/>
  <c r="N195" i="3"/>
  <c r="R165" i="3"/>
  <c r="P222" i="3"/>
  <c r="M38" i="3"/>
  <c r="L28" i="3"/>
  <c r="F60" i="3"/>
  <c r="L209" i="3"/>
  <c r="H92" i="3"/>
  <c r="Q181" i="3"/>
  <c r="Q93" i="3"/>
  <c r="Q109" i="3"/>
  <c r="I58" i="3"/>
  <c r="H36" i="3"/>
  <c r="L77" i="3"/>
  <c r="Q208" i="3"/>
  <c r="O37" i="3"/>
  <c r="R219" i="3"/>
  <c r="L103" i="3"/>
  <c r="I45" i="3"/>
  <c r="Q210" i="3"/>
  <c r="O67" i="3"/>
  <c r="L173" i="3"/>
  <c r="M74" i="3"/>
  <c r="M83" i="3"/>
  <c r="I38" i="3"/>
  <c r="G137" i="3"/>
  <c r="P87" i="3"/>
  <c r="N96" i="3"/>
  <c r="O149" i="3"/>
  <c r="O143" i="3"/>
  <c r="O35" i="3"/>
  <c r="L25" i="3"/>
  <c r="R107" i="3"/>
  <c r="L65" i="3"/>
  <c r="O197" i="3"/>
  <c r="I142" i="3"/>
  <c r="O65" i="3"/>
  <c r="R15" i="3"/>
  <c r="N17" i="3"/>
  <c r="L169" i="3"/>
  <c r="O20" i="3"/>
  <c r="P218" i="3"/>
  <c r="L48" i="3"/>
  <c r="Q79" i="3"/>
  <c r="M48" i="3"/>
  <c r="R124" i="3"/>
  <c r="P163" i="3"/>
  <c r="M216" i="3"/>
  <c r="N213" i="3"/>
  <c r="M87" i="3"/>
  <c r="P147" i="3"/>
  <c r="L7" i="3"/>
  <c r="L185" i="3"/>
  <c r="I96" i="3"/>
  <c r="O134" i="3"/>
  <c r="P148" i="3"/>
  <c r="R186" i="3"/>
  <c r="P109" i="3"/>
  <c r="M172" i="3"/>
  <c r="G83" i="3"/>
  <c r="R93" i="3"/>
  <c r="O153" i="3"/>
  <c r="P160" i="3"/>
  <c r="P55" i="3"/>
  <c r="Q177" i="3"/>
  <c r="M88" i="3"/>
  <c r="G140" i="3"/>
  <c r="R52" i="3"/>
  <c r="N64" i="3"/>
  <c r="O154" i="3"/>
  <c r="N145" i="3"/>
  <c r="R60" i="3"/>
  <c r="O113" i="3"/>
  <c r="O50" i="3"/>
  <c r="N136" i="3"/>
  <c r="H50" i="3"/>
  <c r="M227" i="3"/>
  <c r="R30" i="3"/>
  <c r="R71" i="3"/>
  <c r="M117" i="3"/>
  <c r="N144" i="3"/>
  <c r="M119" i="3"/>
  <c r="H108" i="3"/>
  <c r="R214" i="3"/>
  <c r="O106" i="3"/>
  <c r="Q118" i="3"/>
  <c r="N165" i="3"/>
  <c r="Q64" i="3"/>
  <c r="H118" i="3"/>
  <c r="H140" i="3"/>
  <c r="M184" i="3"/>
  <c r="L204" i="3"/>
  <c r="G14" i="3"/>
  <c r="P10" i="3"/>
  <c r="Q58" i="3"/>
  <c r="R36" i="3"/>
  <c r="R146" i="3"/>
  <c r="M63" i="3"/>
  <c r="H116" i="3"/>
  <c r="O216" i="3"/>
  <c r="P190" i="3"/>
  <c r="R4" i="3"/>
  <c r="O71" i="3"/>
  <c r="M177" i="3"/>
  <c r="L221" i="3"/>
  <c r="N167" i="3"/>
  <c r="R114" i="3"/>
  <c r="I25" i="3"/>
  <c r="R42" i="3"/>
  <c r="O117" i="3"/>
  <c r="R85" i="3"/>
  <c r="R174" i="3"/>
  <c r="G23" i="3"/>
  <c r="P212" i="3"/>
  <c r="P122" i="3"/>
  <c r="Q12" i="3"/>
  <c r="M231" i="3"/>
  <c r="L193" i="3"/>
  <c r="P70" i="3"/>
  <c r="P18" i="3"/>
  <c r="H155" i="3"/>
  <c r="Q116" i="3"/>
  <c r="N24" i="3"/>
  <c r="L99" i="3"/>
  <c r="R73" i="3"/>
  <c r="Q111" i="3"/>
  <c r="L84" i="3"/>
  <c r="N103" i="3"/>
  <c r="G34" i="3"/>
  <c r="I141" i="3"/>
  <c r="E113" i="3"/>
  <c r="G123" i="3"/>
  <c r="I87" i="3"/>
  <c r="N138" i="3"/>
  <c r="Q218" i="3"/>
  <c r="G78" i="3"/>
  <c r="L4" i="3"/>
  <c r="M180" i="3"/>
  <c r="N111" i="3"/>
  <c r="E14" i="3"/>
  <c r="P223" i="3"/>
  <c r="I118" i="3"/>
  <c r="R192" i="3"/>
  <c r="Q34" i="3"/>
  <c r="H122" i="3"/>
  <c r="G46" i="3"/>
  <c r="E19" i="3"/>
  <c r="L71" i="3"/>
  <c r="R8" i="3"/>
  <c r="G57" i="3"/>
  <c r="N210" i="3"/>
  <c r="Q152" i="3"/>
  <c r="P41" i="3"/>
  <c r="R157" i="3"/>
  <c r="O63" i="3"/>
  <c r="P174" i="3"/>
  <c r="N65" i="3"/>
  <c r="I115" i="3"/>
  <c r="N139" i="3"/>
  <c r="N146" i="3"/>
  <c r="O94" i="3"/>
  <c r="P46" i="3"/>
  <c r="G31" i="3"/>
  <c r="R209" i="3"/>
  <c r="Q88" i="3"/>
  <c r="Q176" i="3"/>
  <c r="L73" i="3"/>
  <c r="Q123" i="3"/>
  <c r="L130" i="3"/>
  <c r="M142" i="3"/>
  <c r="Q8" i="3"/>
  <c r="I70" i="3"/>
  <c r="G17" i="3"/>
  <c r="R55" i="3"/>
  <c r="O48" i="3"/>
  <c r="N33" i="3"/>
  <c r="Q215" i="3"/>
  <c r="M39" i="3"/>
  <c r="O100" i="3"/>
  <c r="G134" i="3"/>
  <c r="N81" i="3"/>
  <c r="I155" i="3"/>
  <c r="R5" i="3"/>
  <c r="P123" i="3"/>
  <c r="I127" i="3"/>
  <c r="M69" i="3"/>
  <c r="O181" i="3"/>
  <c r="L163" i="3"/>
  <c r="R224" i="3"/>
  <c r="Q139" i="3"/>
  <c r="O225" i="3"/>
  <c r="Q105" i="3"/>
  <c r="L230" i="3"/>
  <c r="N192" i="3"/>
  <c r="R162" i="3"/>
  <c r="N5" i="3"/>
  <c r="R127" i="3"/>
  <c r="G68" i="3"/>
  <c r="Q84" i="3"/>
  <c r="L228" i="3"/>
  <c r="H58" i="3"/>
  <c r="P51" i="3"/>
  <c r="N115" i="3"/>
  <c r="M42" i="3"/>
  <c r="F21" i="3"/>
  <c r="P54" i="3"/>
  <c r="H43" i="3"/>
  <c r="Q195" i="3"/>
  <c r="L126" i="3"/>
  <c r="M212" i="3"/>
  <c r="G73" i="3"/>
  <c r="O115" i="3"/>
  <c r="M191" i="3"/>
  <c r="I145" i="3"/>
  <c r="P63" i="3"/>
  <c r="P205" i="3"/>
  <c r="Q162" i="3"/>
  <c r="O186" i="3"/>
  <c r="Q27" i="3"/>
  <c r="L43" i="3"/>
  <c r="G113" i="3"/>
  <c r="R213" i="3"/>
  <c r="L165" i="3"/>
  <c r="O112" i="3"/>
  <c r="I76" i="3"/>
  <c r="Q38" i="3"/>
  <c r="L57" i="3"/>
  <c r="N184" i="3"/>
  <c r="L198" i="3"/>
  <c r="I67" i="3"/>
  <c r="P181" i="3"/>
  <c r="I104" i="3"/>
  <c r="Q96" i="3"/>
  <c r="P77" i="3"/>
  <c r="I105" i="3"/>
  <c r="R96" i="3"/>
  <c r="H114" i="3"/>
  <c r="R74" i="3"/>
  <c r="P85" i="3"/>
  <c r="I21" i="3"/>
  <c r="R9" i="3"/>
  <c r="G112" i="3"/>
  <c r="N106" i="3"/>
  <c r="H60" i="3"/>
  <c r="F46" i="3"/>
  <c r="G38" i="3"/>
  <c r="N31" i="3"/>
  <c r="Q115" i="3"/>
  <c r="L150" i="3"/>
  <c r="P21" i="3"/>
  <c r="P100" i="3"/>
  <c r="M163" i="3"/>
  <c r="M32" i="3"/>
  <c r="H147" i="3"/>
  <c r="L66" i="3"/>
  <c r="I120" i="3"/>
  <c r="G58" i="3"/>
  <c r="Q194" i="3"/>
  <c r="I68" i="3"/>
  <c r="H10" i="3"/>
  <c r="H152" i="3"/>
  <c r="R116" i="3"/>
  <c r="I3" i="3"/>
  <c r="R132" i="3"/>
  <c r="N187" i="3"/>
  <c r="O105" i="3"/>
  <c r="N9" i="3"/>
  <c r="P166" i="3"/>
  <c r="N99" i="3"/>
  <c r="O228" i="3"/>
  <c r="M167" i="3"/>
  <c r="N112" i="3"/>
  <c r="O27" i="3"/>
  <c r="N77" i="3"/>
  <c r="N123" i="3"/>
  <c r="M103" i="3"/>
  <c r="O226" i="3"/>
  <c r="L32" i="3"/>
  <c r="L59" i="3"/>
  <c r="Q196" i="3"/>
  <c r="R225" i="3"/>
  <c r="G114" i="3"/>
  <c r="P69" i="3"/>
  <c r="R37" i="3"/>
  <c r="O86" i="3"/>
  <c r="L15" i="3"/>
  <c r="I132" i="3"/>
  <c r="R70" i="3"/>
  <c r="I107" i="3"/>
  <c r="O140" i="3"/>
  <c r="L86" i="3"/>
  <c r="Q82" i="3"/>
  <c r="Q14" i="3"/>
  <c r="R170" i="3"/>
  <c r="N176" i="3"/>
  <c r="P158" i="3"/>
  <c r="E103" i="3"/>
  <c r="I101" i="3"/>
  <c r="P56" i="3"/>
  <c r="L61" i="3"/>
  <c r="R143" i="3"/>
  <c r="R98" i="3"/>
  <c r="I62" i="3"/>
  <c r="I36" i="3"/>
  <c r="G21" i="3"/>
  <c r="I24" i="3"/>
  <c r="M54" i="3"/>
  <c r="M215" i="3"/>
  <c r="L93" i="3"/>
  <c r="R23" i="3"/>
  <c r="Q56" i="3"/>
  <c r="R47" i="3"/>
  <c r="P225" i="3"/>
  <c r="L72" i="3"/>
  <c r="E121" i="3"/>
  <c r="L67" i="3"/>
  <c r="Q136" i="3"/>
  <c r="O227" i="3"/>
  <c r="M107" i="3"/>
  <c r="P42" i="3"/>
  <c r="L182" i="3"/>
  <c r="L111" i="3"/>
  <c r="P194" i="3"/>
  <c r="R104" i="3"/>
  <c r="Q114" i="3"/>
  <c r="Q3" i="3"/>
  <c r="P14" i="3"/>
  <c r="L116" i="3"/>
  <c r="H138" i="3"/>
  <c r="R82" i="3"/>
  <c r="Q119" i="3"/>
  <c r="M173" i="3"/>
  <c r="H106" i="3"/>
  <c r="O123" i="3"/>
  <c r="P145" i="3"/>
  <c r="Q75" i="3"/>
  <c r="R153" i="3"/>
  <c r="H153" i="3"/>
  <c r="N92" i="3"/>
  <c r="I131" i="3"/>
  <c r="Q95" i="3"/>
  <c r="L164" i="3"/>
  <c r="I111" i="3"/>
  <c r="O200" i="3"/>
  <c r="L53" i="3"/>
  <c r="M199" i="3"/>
  <c r="H54" i="3"/>
  <c r="O43" i="3"/>
  <c r="O221" i="3"/>
  <c r="R84" i="3"/>
  <c r="N113" i="3"/>
  <c r="Q53" i="3"/>
  <c r="H95" i="3"/>
  <c r="P183" i="3"/>
  <c r="G110" i="3"/>
  <c r="P175" i="3"/>
  <c r="P136" i="3"/>
  <c r="G51" i="3"/>
  <c r="M29" i="3"/>
  <c r="N67" i="3"/>
  <c r="O136" i="3"/>
  <c r="P176" i="3"/>
  <c r="I73" i="3"/>
  <c r="Q94" i="3"/>
  <c r="M132" i="3"/>
  <c r="N55" i="3"/>
  <c r="H26" i="3"/>
  <c r="G9" i="3"/>
  <c r="N50" i="3"/>
  <c r="M205" i="3"/>
  <c r="H89" i="3"/>
  <c r="L160" i="3"/>
  <c r="O120" i="3"/>
  <c r="Q59" i="3"/>
  <c r="Q179" i="3"/>
  <c r="O171" i="3"/>
  <c r="G76" i="3"/>
  <c r="I15" i="3"/>
  <c r="O38" i="3"/>
  <c r="O211" i="3"/>
  <c r="R100" i="3"/>
  <c r="O10" i="3"/>
  <c r="L174" i="3"/>
  <c r="M226" i="3"/>
  <c r="M133" i="3"/>
  <c r="H128" i="3"/>
  <c r="I106" i="3"/>
  <c r="O13" i="3"/>
  <c r="I151" i="3"/>
  <c r="O21" i="3"/>
  <c r="P138" i="3"/>
  <c r="O79" i="3"/>
  <c r="L22" i="3"/>
  <c r="P164" i="3"/>
  <c r="I65" i="3"/>
  <c r="N89" i="3"/>
  <c r="L216" i="3"/>
  <c r="M206" i="3"/>
  <c r="H3" i="3"/>
  <c r="O178" i="3"/>
  <c r="M58" i="3"/>
  <c r="L52" i="3"/>
  <c r="R105" i="3"/>
  <c r="Q97" i="3"/>
  <c r="P79" i="3"/>
  <c r="N175" i="3"/>
  <c r="M116" i="3"/>
  <c r="M196" i="3"/>
  <c r="I98" i="3"/>
  <c r="H78" i="3"/>
  <c r="H35" i="3"/>
  <c r="G132" i="3"/>
  <c r="P9" i="3"/>
  <c r="H103" i="3"/>
  <c r="N35" i="3"/>
  <c r="E75" i="3"/>
  <c r="M139" i="3"/>
  <c r="M97" i="3"/>
  <c r="P82" i="3"/>
  <c r="O101" i="3"/>
  <c r="N91" i="3"/>
  <c r="F94" i="3"/>
  <c r="R102" i="3"/>
  <c r="R95" i="3"/>
  <c r="R109" i="3"/>
  <c r="I5" i="3"/>
  <c r="G109" i="3"/>
  <c r="F139" i="3"/>
  <c r="Q132" i="3"/>
  <c r="E80" i="3"/>
  <c r="L16" i="3"/>
  <c r="M115" i="3"/>
  <c r="G80" i="3"/>
  <c r="M229" i="3"/>
  <c r="G139" i="3"/>
  <c r="R101" i="3"/>
  <c r="O118" i="3"/>
  <c r="G16" i="3"/>
  <c r="H51" i="3"/>
  <c r="H83" i="3"/>
  <c r="M149" i="3"/>
  <c r="M118" i="3"/>
  <c r="N125" i="3"/>
  <c r="Q16" i="3"/>
  <c r="N79" i="3"/>
  <c r="I53" i="3"/>
  <c r="Q227" i="3"/>
  <c r="R181" i="3"/>
  <c r="Q160" i="3"/>
  <c r="Q174" i="3"/>
  <c r="P24" i="3"/>
  <c r="G44" i="3"/>
  <c r="M43" i="3"/>
  <c r="R53" i="3"/>
  <c r="N63" i="3"/>
  <c r="O111" i="3"/>
  <c r="R18" i="3"/>
  <c r="I139" i="3"/>
  <c r="P53" i="3"/>
  <c r="M23" i="3"/>
  <c r="G77" i="3"/>
  <c r="O28" i="3"/>
  <c r="H136" i="3"/>
  <c r="M195" i="3"/>
  <c r="Q60" i="3"/>
  <c r="Q83" i="3"/>
  <c r="Q57" i="3"/>
  <c r="M171" i="3"/>
  <c r="O224" i="3"/>
  <c r="L98" i="3"/>
  <c r="Q66" i="3"/>
  <c r="L10" i="3"/>
  <c r="R196" i="3"/>
  <c r="O213" i="3"/>
  <c r="M122" i="3"/>
  <c r="H64" i="3"/>
  <c r="P228" i="3"/>
  <c r="G124" i="3"/>
  <c r="R140" i="3"/>
  <c r="O203" i="3"/>
  <c r="Q80" i="3"/>
  <c r="F73" i="3"/>
  <c r="L215" i="3"/>
  <c r="H79" i="3"/>
  <c r="H32" i="3"/>
  <c r="H40" i="3"/>
  <c r="N202" i="3"/>
  <c r="Q211" i="3"/>
  <c r="Q31" i="3"/>
  <c r="M214" i="3"/>
  <c r="I33" i="3"/>
  <c r="R204" i="3"/>
  <c r="H151" i="3"/>
  <c r="P134" i="3"/>
  <c r="L17" i="3"/>
  <c r="O124" i="3"/>
  <c r="O42" i="3"/>
  <c r="I88" i="3"/>
  <c r="O88" i="3"/>
  <c r="H8" i="3"/>
  <c r="N56" i="3"/>
  <c r="Q230" i="3"/>
  <c r="M150" i="3"/>
  <c r="R129" i="3"/>
  <c r="I17" i="3"/>
  <c r="R28" i="3"/>
  <c r="P202" i="3"/>
  <c r="L136" i="3"/>
  <c r="O96" i="3"/>
  <c r="H82" i="3"/>
  <c r="R92" i="3"/>
  <c r="H96" i="3"/>
  <c r="Q205" i="3"/>
  <c r="R190" i="3"/>
  <c r="G15" i="3"/>
  <c r="I149" i="3"/>
  <c r="M124" i="3"/>
  <c r="G81" i="3"/>
  <c r="R226" i="3"/>
  <c r="I59" i="3"/>
  <c r="N45" i="3"/>
  <c r="O125" i="3"/>
  <c r="O68" i="3"/>
  <c r="L101" i="3"/>
  <c r="P165" i="3"/>
  <c r="G150" i="3"/>
  <c r="P140" i="3"/>
  <c r="M204" i="3"/>
  <c r="M53" i="3"/>
  <c r="I91" i="3"/>
  <c r="R115" i="3"/>
  <c r="G135" i="3"/>
  <c r="P230" i="3"/>
  <c r="P6" i="3"/>
  <c r="P73" i="3"/>
  <c r="O184" i="3"/>
  <c r="I18" i="3"/>
  <c r="H80" i="3"/>
  <c r="R203" i="3"/>
  <c r="N140" i="3"/>
  <c r="L149" i="3"/>
  <c r="L76" i="3"/>
  <c r="N154" i="3"/>
  <c r="Q130" i="3"/>
  <c r="L166" i="3"/>
  <c r="O207" i="3"/>
  <c r="L75" i="3"/>
  <c r="P167" i="3"/>
  <c r="R63" i="3"/>
  <c r="P108" i="3"/>
  <c r="G148" i="3"/>
  <c r="Q166" i="3"/>
  <c r="M112" i="3"/>
  <c r="P150" i="3"/>
  <c r="O19" i="3"/>
  <c r="P67" i="3"/>
  <c r="P118" i="3"/>
  <c r="H141" i="3"/>
  <c r="Q185" i="3"/>
  <c r="H53" i="3"/>
  <c r="R110" i="3"/>
  <c r="M66" i="3"/>
  <c r="Q129" i="3"/>
  <c r="G45" i="3"/>
  <c r="N124" i="3"/>
  <c r="L60" i="3"/>
  <c r="R77" i="3"/>
  <c r="R59" i="3"/>
  <c r="N43" i="3"/>
  <c r="P98" i="3"/>
  <c r="P135" i="3"/>
  <c r="P71" i="3"/>
  <c r="O189" i="3"/>
  <c r="P204" i="3"/>
  <c r="P153" i="3"/>
  <c r="G52" i="3"/>
  <c r="I102" i="3"/>
  <c r="Q20" i="3"/>
  <c r="M140" i="3"/>
  <c r="Q135" i="3"/>
  <c r="O159" i="3"/>
  <c r="P137" i="3"/>
  <c r="M224" i="3"/>
  <c r="P203" i="3"/>
  <c r="I72" i="3"/>
  <c r="M153" i="3"/>
  <c r="R62" i="3"/>
  <c r="H131" i="3"/>
  <c r="R33" i="3"/>
  <c r="O110" i="3"/>
  <c r="N171" i="3"/>
  <c r="N225" i="3"/>
  <c r="P93" i="3"/>
  <c r="M213" i="3"/>
  <c r="G116" i="3"/>
  <c r="P168" i="3"/>
  <c r="P125" i="3"/>
  <c r="L135" i="3"/>
  <c r="G153" i="3"/>
  <c r="P19" i="3"/>
  <c r="Q168" i="3"/>
  <c r="O139" i="3"/>
  <c r="I47" i="3"/>
  <c r="L109" i="3"/>
  <c r="O141" i="3"/>
  <c r="N116" i="3"/>
  <c r="Q33" i="3"/>
  <c r="P4" i="3"/>
  <c r="I95" i="3"/>
  <c r="M194" i="3"/>
  <c r="P31" i="3"/>
  <c r="M46" i="3"/>
  <c r="L92" i="3"/>
  <c r="O145" i="3"/>
  <c r="P162" i="3"/>
  <c r="R163" i="3"/>
  <c r="N199" i="3"/>
  <c r="G37" i="3"/>
  <c r="Q68" i="3"/>
  <c r="L30" i="3"/>
  <c r="Q131" i="3"/>
  <c r="L94" i="3"/>
  <c r="N101" i="3"/>
  <c r="R117" i="3"/>
  <c r="Q151" i="3"/>
  <c r="L138" i="3"/>
  <c r="Q178" i="3"/>
  <c r="R212" i="3"/>
  <c r="M80" i="3"/>
  <c r="P20" i="3"/>
  <c r="O39" i="3"/>
  <c r="P199" i="3"/>
  <c r="H88" i="3"/>
  <c r="N173" i="3"/>
  <c r="M102" i="3"/>
  <c r="L137" i="3"/>
  <c r="L202" i="3"/>
  <c r="G39" i="3"/>
  <c r="P210" i="3"/>
  <c r="R141" i="3"/>
  <c r="N221" i="3"/>
  <c r="G11" i="3"/>
  <c r="N60" i="3"/>
  <c r="Q18" i="3"/>
  <c r="R27" i="3"/>
  <c r="N13" i="3"/>
  <c r="I31" i="3"/>
  <c r="N62" i="3"/>
  <c r="G24" i="3"/>
  <c r="M19" i="3"/>
  <c r="I85" i="3"/>
  <c r="L140" i="3"/>
  <c r="N229" i="3"/>
  <c r="R193" i="3"/>
  <c r="N39" i="3"/>
  <c r="G144" i="3"/>
  <c r="L124" i="3"/>
  <c r="N169" i="3"/>
  <c r="P80" i="3"/>
  <c r="R38" i="3"/>
  <c r="R178" i="3"/>
  <c r="B10" i="3"/>
  <c r="U12" i="3" l="1"/>
  <c r="X11" i="3"/>
  <c r="W11" i="3"/>
  <c r="V11" i="3"/>
  <c r="B13" i="3"/>
  <c r="E31" i="3"/>
  <c r="F19" i="3"/>
  <c r="F103" i="3"/>
  <c r="F85" i="3"/>
  <c r="U13" i="3" l="1"/>
  <c r="V12" i="3"/>
  <c r="X12" i="3"/>
  <c r="W12" i="3"/>
  <c r="E116" i="3"/>
  <c r="E60" i="3"/>
  <c r="F124" i="3"/>
  <c r="C12" i="3"/>
  <c r="F90" i="3"/>
  <c r="E44" i="3"/>
  <c r="U14" i="3" l="1"/>
  <c r="X13" i="3"/>
  <c r="V13" i="3"/>
  <c r="W13" i="3"/>
  <c r="B16" i="3"/>
  <c r="F18" i="3"/>
  <c r="F122" i="3"/>
  <c r="U15" i="3" l="1"/>
  <c r="X14" i="3"/>
  <c r="W14" i="3"/>
  <c r="V14" i="3"/>
  <c r="F130" i="3"/>
  <c r="U16" i="3" l="1"/>
  <c r="V15" i="3"/>
  <c r="W15" i="3"/>
  <c r="X15" i="3"/>
  <c r="E15" i="3"/>
  <c r="E118" i="3"/>
  <c r="E49" i="3"/>
  <c r="D16" i="3"/>
  <c r="E97" i="3"/>
  <c r="F123" i="3"/>
  <c r="E131" i="3"/>
  <c r="E139" i="3"/>
  <c r="D12" i="3"/>
  <c r="F91" i="3"/>
  <c r="F9" i="3"/>
  <c r="U17" i="3" l="1"/>
  <c r="X16" i="3"/>
  <c r="W16" i="3"/>
  <c r="V16" i="3"/>
  <c r="F25" i="3"/>
  <c r="E8" i="3"/>
  <c r="E55" i="3"/>
  <c r="C6" i="3"/>
  <c r="F37" i="3"/>
  <c r="F49" i="3"/>
  <c r="E127" i="3"/>
  <c r="C4" i="3"/>
  <c r="D14" i="3"/>
  <c r="E7" i="3"/>
  <c r="F138" i="3"/>
  <c r="B4" i="3"/>
  <c r="F59" i="3"/>
  <c r="U18" i="3" l="1"/>
  <c r="W17" i="3"/>
  <c r="V17" i="3"/>
  <c r="X17" i="3"/>
  <c r="B12" i="3"/>
  <c r="E34" i="3"/>
  <c r="E22" i="3"/>
  <c r="E132" i="3"/>
  <c r="E107" i="3"/>
  <c r="E137" i="3"/>
  <c r="E30" i="3"/>
  <c r="U19" i="3" l="1"/>
  <c r="V18" i="3"/>
  <c r="X18" i="3"/>
  <c r="W18" i="3"/>
  <c r="E133" i="3"/>
  <c r="U20" i="3" l="1"/>
  <c r="X19" i="3"/>
  <c r="W19" i="3"/>
  <c r="V19" i="3"/>
  <c r="E124" i="3"/>
  <c r="F78" i="3"/>
  <c r="F132" i="3"/>
  <c r="F107" i="3"/>
  <c r="C7" i="3"/>
  <c r="E9" i="3"/>
  <c r="F54" i="3"/>
  <c r="E86" i="3"/>
  <c r="F112" i="3"/>
  <c r="U21" i="3" l="1"/>
  <c r="V20" i="3"/>
  <c r="X20" i="3"/>
  <c r="W20" i="3"/>
  <c r="C11" i="3"/>
  <c r="E87" i="3"/>
  <c r="E126" i="3"/>
  <c r="E39" i="3"/>
  <c r="E36" i="3"/>
  <c r="U22" i="3" l="1"/>
  <c r="V21" i="3"/>
  <c r="X21" i="3"/>
  <c r="W21" i="3"/>
  <c r="F137" i="3"/>
  <c r="F70" i="3"/>
  <c r="E40" i="3"/>
  <c r="E50" i="3"/>
  <c r="F38" i="3"/>
  <c r="U23" i="3" l="1"/>
  <c r="X22" i="3"/>
  <c r="W22" i="3"/>
  <c r="V22" i="3"/>
  <c r="C15" i="3"/>
  <c r="O3" i="3"/>
  <c r="F101" i="3"/>
  <c r="U24" i="3" l="1"/>
  <c r="X23" i="3"/>
  <c r="W23" i="3"/>
  <c r="V23" i="3"/>
  <c r="E128" i="3"/>
  <c r="F57" i="3"/>
  <c r="F65" i="3"/>
  <c r="F115" i="3"/>
  <c r="E37" i="3"/>
  <c r="U25" i="3" l="1"/>
  <c r="V24" i="3"/>
  <c r="X24" i="3"/>
  <c r="W24" i="3"/>
  <c r="F62" i="3"/>
  <c r="F7" i="3"/>
  <c r="C13" i="3"/>
  <c r="U26" i="3" l="1"/>
  <c r="X25" i="3"/>
  <c r="V25" i="3"/>
  <c r="W25" i="3"/>
  <c r="L3" i="3"/>
  <c r="E85" i="3"/>
  <c r="U27" i="3" l="1"/>
  <c r="V26" i="3"/>
  <c r="X26" i="3"/>
  <c r="W26" i="3"/>
  <c r="F84" i="3"/>
  <c r="F128" i="3"/>
  <c r="E35" i="3"/>
  <c r="E106" i="3"/>
  <c r="F114" i="3"/>
  <c r="F34" i="3"/>
  <c r="U28" i="3" l="1"/>
  <c r="X27" i="3"/>
  <c r="W27" i="3"/>
  <c r="V27" i="3"/>
  <c r="E33" i="3"/>
  <c r="F95" i="3"/>
  <c r="F79" i="3"/>
  <c r="C3" i="3"/>
  <c r="E18" i="3"/>
  <c r="E76" i="3"/>
  <c r="E99" i="3"/>
  <c r="E104" i="3"/>
  <c r="F68" i="3"/>
  <c r="F53" i="3"/>
  <c r="F121" i="3"/>
  <c r="E78" i="3"/>
  <c r="F17" i="3"/>
  <c r="E24" i="3"/>
  <c r="F3" i="3"/>
  <c r="E136" i="3"/>
  <c r="M3" i="3"/>
  <c r="U29" i="3" l="1"/>
  <c r="V28" i="3"/>
  <c r="W28" i="3"/>
  <c r="X28" i="3"/>
  <c r="E105" i="3"/>
  <c r="E27" i="3"/>
  <c r="E102" i="3"/>
  <c r="F40" i="3"/>
  <c r="E134" i="3"/>
  <c r="E135" i="3"/>
  <c r="F67" i="3"/>
  <c r="D86" i="3"/>
  <c r="E110" i="3"/>
  <c r="F96" i="3"/>
  <c r="E79" i="3"/>
  <c r="U30" i="3" l="1"/>
  <c r="W29" i="3"/>
  <c r="X29" i="3"/>
  <c r="V29" i="3"/>
  <c r="D5" i="3"/>
  <c r="F51" i="3"/>
  <c r="F23" i="3"/>
  <c r="B8" i="3"/>
  <c r="F120" i="3"/>
  <c r="E100" i="3"/>
  <c r="E52" i="3"/>
  <c r="F135" i="3"/>
  <c r="C14" i="3"/>
  <c r="F104" i="3"/>
  <c r="D4" i="3"/>
  <c r="F41" i="3"/>
  <c r="F100" i="3"/>
  <c r="F52" i="3"/>
  <c r="C86" i="3"/>
  <c r="E98" i="3"/>
  <c r="F24" i="3"/>
  <c r="D9" i="3"/>
  <c r="F39" i="3"/>
  <c r="E48" i="3"/>
  <c r="E13" i="3"/>
  <c r="F22" i="3"/>
  <c r="F88" i="3"/>
  <c r="F74" i="3"/>
  <c r="B3" i="3"/>
  <c r="E56" i="3"/>
  <c r="E92" i="3"/>
  <c r="E125" i="3"/>
  <c r="D8" i="3"/>
  <c r="C8" i="3"/>
  <c r="E74" i="3"/>
  <c r="F111" i="3"/>
  <c r="E130" i="3"/>
  <c r="C9" i="3"/>
  <c r="U31" i="3" l="1"/>
  <c r="X30" i="3"/>
  <c r="W30" i="3"/>
  <c r="V30" i="3"/>
  <c r="F61" i="3"/>
  <c r="F30" i="3"/>
  <c r="F99" i="3"/>
  <c r="F35" i="3"/>
  <c r="F82" i="3"/>
  <c r="F93" i="3"/>
  <c r="E25" i="3"/>
  <c r="F125" i="3"/>
  <c r="F126" i="3"/>
  <c r="E68" i="3"/>
  <c r="F27" i="3"/>
  <c r="E81" i="3"/>
  <c r="F55" i="3"/>
  <c r="E12" i="3"/>
  <c r="F36" i="3"/>
  <c r="E57" i="3"/>
  <c r="F32" i="3"/>
  <c r="F134" i="3"/>
  <c r="E96" i="3"/>
  <c r="F77" i="3"/>
  <c r="E29" i="3"/>
  <c r="E84" i="3"/>
  <c r="E45" i="3"/>
  <c r="E73" i="3"/>
  <c r="U32" i="3" l="1"/>
  <c r="W31" i="3"/>
  <c r="V31" i="3"/>
  <c r="X31" i="3"/>
  <c r="F119" i="3"/>
  <c r="F118" i="3"/>
  <c r="F44" i="3"/>
  <c r="B6" i="3"/>
  <c r="F31" i="3"/>
  <c r="F133" i="3"/>
  <c r="F92" i="3"/>
  <c r="F81" i="3"/>
  <c r="F64" i="3"/>
  <c r="U33" i="3" l="1"/>
  <c r="X32" i="3"/>
  <c r="W32" i="3"/>
  <c r="V32" i="3"/>
  <c r="F136" i="3"/>
  <c r="F13" i="3"/>
  <c r="F5" i="3"/>
  <c r="F83" i="3"/>
  <c r="F10" i="3"/>
  <c r="F116" i="3"/>
  <c r="E59" i="3"/>
  <c r="E119" i="3"/>
  <c r="E10" i="3"/>
  <c r="E72" i="3"/>
  <c r="E111" i="3"/>
  <c r="D3" i="3"/>
  <c r="B7" i="3"/>
  <c r="E91" i="3"/>
  <c r="E77" i="3"/>
  <c r="Z3" i="3" l="1"/>
  <c r="U34" i="3"/>
  <c r="W33" i="3"/>
  <c r="V33" i="3"/>
  <c r="X33" i="3"/>
  <c r="F47" i="3"/>
  <c r="E94" i="3"/>
  <c r="E28" i="3"/>
  <c r="F97" i="3"/>
  <c r="E69" i="3"/>
  <c r="F42" i="3"/>
  <c r="E95" i="3"/>
  <c r="F16" i="3"/>
  <c r="E38" i="3"/>
  <c r="F129" i="3"/>
  <c r="F48" i="3"/>
  <c r="F72" i="3"/>
  <c r="E6" i="3"/>
  <c r="F63" i="3"/>
  <c r="E123" i="3"/>
  <c r="E21" i="3"/>
  <c r="U35" i="3" l="1"/>
  <c r="W34" i="3"/>
  <c r="V34" i="3"/>
  <c r="X34" i="3"/>
  <c r="B14" i="3"/>
  <c r="E43" i="3"/>
  <c r="C16" i="3"/>
  <c r="D13" i="3"/>
  <c r="E58" i="3"/>
  <c r="F66" i="3"/>
  <c r="F4" i="3"/>
  <c r="E5" i="3"/>
  <c r="E46" i="3"/>
  <c r="E32" i="3"/>
  <c r="E3" i="3"/>
  <c r="F20" i="3"/>
  <c r="E67" i="3"/>
  <c r="F131" i="3"/>
  <c r="E66" i="3"/>
  <c r="E108" i="3"/>
  <c r="E54" i="3"/>
  <c r="E65" i="3"/>
  <c r="E129" i="3"/>
  <c r="E63" i="3"/>
  <c r="D7" i="3"/>
  <c r="E89" i="3"/>
  <c r="E83" i="3"/>
  <c r="E71" i="3"/>
  <c r="U36" i="3" l="1"/>
  <c r="W35" i="3"/>
  <c r="X35" i="3"/>
  <c r="V35" i="3"/>
  <c r="D11" i="3"/>
  <c r="F71" i="3"/>
  <c r="D6" i="3"/>
  <c r="F50" i="3"/>
  <c r="F6" i="3"/>
  <c r="E88" i="3"/>
  <c r="F76" i="3"/>
  <c r="F109" i="3"/>
  <c r="E115" i="3"/>
  <c r="E41" i="3"/>
  <c r="E20" i="3"/>
  <c r="E101" i="3"/>
  <c r="F86" i="3"/>
  <c r="F11" i="3"/>
  <c r="U37" i="3" l="1"/>
  <c r="X36" i="3"/>
  <c r="V36" i="3"/>
  <c r="W36" i="3"/>
  <c r="E53" i="3"/>
  <c r="U38" i="3" l="1"/>
  <c r="V37" i="3"/>
  <c r="X37" i="3"/>
  <c r="W37" i="3"/>
  <c r="F58" i="3"/>
  <c r="U39" i="3" l="1"/>
  <c r="X38" i="3"/>
  <c r="W38" i="3"/>
  <c r="V38" i="3"/>
  <c r="F110" i="3"/>
  <c r="U40" i="3" l="1"/>
  <c r="V39" i="3"/>
  <c r="W39" i="3"/>
  <c r="X39" i="3"/>
  <c r="E122" i="3"/>
  <c r="E114" i="3"/>
  <c r="C5" i="3"/>
  <c r="F87" i="3"/>
  <c r="F80" i="3"/>
  <c r="D10" i="3"/>
  <c r="E120" i="3"/>
  <c r="U41" i="3" l="1"/>
  <c r="W40" i="3"/>
  <c r="V40" i="3"/>
  <c r="X40" i="3"/>
  <c r="F45" i="3"/>
  <c r="F102" i="3"/>
  <c r="C10" i="3"/>
  <c r="E64" i="3"/>
  <c r="F8" i="3"/>
  <c r="E138" i="3"/>
  <c r="E11" i="3"/>
  <c r="F26" i="3"/>
  <c r="F89" i="3"/>
  <c r="N3" i="3"/>
  <c r="F33" i="3"/>
  <c r="E16" i="3"/>
  <c r="E90" i="3"/>
  <c r="U42" i="3" l="1"/>
  <c r="V41" i="3"/>
  <c r="X41" i="3"/>
  <c r="W41" i="3"/>
  <c r="F15" i="3"/>
  <c r="E17" i="3"/>
  <c r="E82" i="3"/>
  <c r="F69" i="3"/>
  <c r="F28" i="3"/>
  <c r="E61" i="3"/>
  <c r="F98" i="3"/>
  <c r="F75" i="3"/>
  <c r="U43" i="3" l="1"/>
  <c r="V42" i="3"/>
  <c r="W42" i="3"/>
  <c r="X42" i="3"/>
  <c r="E26" i="3"/>
  <c r="B17" i="3"/>
  <c r="E112" i="3"/>
  <c r="C17" i="3"/>
  <c r="F29" i="3"/>
  <c r="D17" i="3"/>
  <c r="B11" i="3"/>
  <c r="F127" i="3"/>
  <c r="U44" i="3" l="1"/>
  <c r="X43" i="3"/>
  <c r="W43" i="3"/>
  <c r="V43" i="3"/>
  <c r="Z11" i="3"/>
  <c r="AA42" i="3"/>
  <c r="AA12" i="3"/>
  <c r="AA14" i="3"/>
  <c r="AA34" i="3"/>
  <c r="AA16" i="3"/>
  <c r="AA32" i="3"/>
  <c r="Z14" i="3"/>
  <c r="AA25" i="3"/>
  <c r="AA39" i="3"/>
  <c r="AA10" i="3"/>
  <c r="AA7" i="3"/>
  <c r="AA38" i="3"/>
  <c r="AA22" i="3"/>
  <c r="Z7" i="3"/>
  <c r="AA40" i="3"/>
  <c r="Z6" i="3"/>
  <c r="AA41" i="3"/>
  <c r="AA20" i="3"/>
  <c r="AA13" i="3"/>
  <c r="AA28" i="3"/>
  <c r="AA30" i="3"/>
  <c r="AA6" i="3"/>
  <c r="AA36" i="3"/>
  <c r="Z8" i="3"/>
  <c r="AA5" i="3"/>
  <c r="AA33" i="3"/>
  <c r="AA4" i="3"/>
  <c r="AA26" i="3"/>
  <c r="AA3" i="3"/>
  <c r="AA27" i="3"/>
  <c r="AA19" i="3"/>
  <c r="Z12" i="3"/>
  <c r="AA31" i="3"/>
  <c r="AA23" i="3"/>
  <c r="Z4" i="3"/>
  <c r="AA15" i="3"/>
  <c r="AA9" i="3"/>
  <c r="Z16" i="3"/>
  <c r="AA21" i="3"/>
  <c r="AA24" i="3"/>
  <c r="Z13" i="3"/>
  <c r="AA18" i="3"/>
  <c r="Z10" i="3"/>
  <c r="AA11" i="3"/>
  <c r="AA35" i="3"/>
  <c r="AA29" i="3"/>
  <c r="AA17" i="3"/>
  <c r="Z9" i="3"/>
  <c r="Z5" i="3"/>
  <c r="AA8" i="3"/>
  <c r="AA37" i="3"/>
  <c r="Z15" i="3"/>
  <c r="F153" i="1"/>
  <c r="Z17" i="3"/>
  <c r="H22" i="1"/>
  <c r="G22" i="1"/>
  <c r="H153" i="1"/>
  <c r="G153" i="1"/>
  <c r="B18" i="3"/>
  <c r="D18" i="3"/>
  <c r="C18" i="3"/>
  <c r="AA43" i="3" l="1"/>
  <c r="U45" i="3"/>
  <c r="V44" i="3"/>
  <c r="W44" i="3"/>
  <c r="X44" i="3"/>
  <c r="F154" i="1"/>
  <c r="Z18" i="3"/>
  <c r="G154" i="1"/>
  <c r="H154" i="1"/>
  <c r="H23" i="1"/>
  <c r="G23" i="1"/>
  <c r="B19" i="3"/>
  <c r="D19" i="3"/>
  <c r="C19" i="3"/>
  <c r="AA44" i="3" l="1"/>
  <c r="U46" i="3"/>
  <c r="V45" i="3"/>
  <c r="X45" i="3"/>
  <c r="W45" i="3"/>
  <c r="F155" i="1"/>
  <c r="Z19" i="3"/>
  <c r="H24" i="1"/>
  <c r="G24" i="1"/>
  <c r="H155" i="1"/>
  <c r="G155" i="1"/>
  <c r="B20" i="3"/>
  <c r="C20" i="3"/>
  <c r="D20" i="3"/>
  <c r="AA45" i="3" l="1"/>
  <c r="U47" i="3"/>
  <c r="X46" i="3"/>
  <c r="W46" i="3"/>
  <c r="V46" i="3"/>
  <c r="F156" i="1"/>
  <c r="Z20" i="3"/>
  <c r="H25" i="1"/>
  <c r="G156" i="1"/>
  <c r="G25" i="1"/>
  <c r="H156" i="1"/>
  <c r="D21" i="3"/>
  <c r="C21" i="3"/>
  <c r="B21" i="3"/>
  <c r="AA46" i="3" l="1"/>
  <c r="U48" i="3"/>
  <c r="X47" i="3"/>
  <c r="W47" i="3"/>
  <c r="V47" i="3"/>
  <c r="Z21" i="3"/>
  <c r="H26" i="1"/>
  <c r="G26" i="1"/>
  <c r="C22" i="3"/>
  <c r="B22" i="3"/>
  <c r="D22" i="3"/>
  <c r="AA47" i="3" l="1"/>
  <c r="U49" i="3"/>
  <c r="X48" i="3"/>
  <c r="W48" i="3"/>
  <c r="V48" i="3"/>
  <c r="Z22" i="3"/>
  <c r="G27" i="1"/>
  <c r="H27" i="1"/>
  <c r="C23" i="3"/>
  <c r="B23" i="3"/>
  <c r="D23" i="3"/>
  <c r="AA48" i="3" l="1"/>
  <c r="U50" i="3"/>
  <c r="W49" i="3"/>
  <c r="V49" i="3"/>
  <c r="X49" i="3"/>
  <c r="Z23" i="3"/>
  <c r="G28" i="1"/>
  <c r="H28" i="1"/>
  <c r="D24" i="3"/>
  <c r="B24" i="3"/>
  <c r="C24" i="3"/>
  <c r="AA49" i="3" l="1"/>
  <c r="U51" i="3"/>
  <c r="X50" i="3"/>
  <c r="W50" i="3"/>
  <c r="V50" i="3"/>
  <c r="Z24" i="3"/>
  <c r="G29" i="1"/>
  <c r="H29" i="1"/>
  <c r="D25" i="3"/>
  <c r="B25" i="3"/>
  <c r="C25" i="3"/>
  <c r="AA50" i="3" l="1"/>
  <c r="U52" i="3"/>
  <c r="X51" i="3"/>
  <c r="W51" i="3"/>
  <c r="V51" i="3"/>
  <c r="Z25" i="3"/>
  <c r="H30" i="1"/>
  <c r="G30" i="1"/>
  <c r="B26" i="3"/>
  <c r="C26" i="3"/>
  <c r="D26" i="3"/>
  <c r="AA51" i="3" l="1"/>
  <c r="U53" i="3"/>
  <c r="V52" i="3"/>
  <c r="X52" i="3"/>
  <c r="W52" i="3"/>
  <c r="Z26" i="3"/>
  <c r="H31" i="1"/>
  <c r="G31" i="1"/>
  <c r="B27" i="3"/>
  <c r="D27" i="3"/>
  <c r="C27" i="3"/>
  <c r="AA52" i="3" l="1"/>
  <c r="U54" i="3"/>
  <c r="V53" i="3"/>
  <c r="X53" i="3"/>
  <c r="W53" i="3"/>
  <c r="Z27" i="3"/>
  <c r="G32" i="1"/>
  <c r="H32" i="1"/>
  <c r="D28" i="3"/>
  <c r="B28" i="3"/>
  <c r="C28" i="3"/>
  <c r="AA53" i="3" l="1"/>
  <c r="U55" i="3"/>
  <c r="X54" i="3"/>
  <c r="W54" i="3"/>
  <c r="V54" i="3"/>
  <c r="Z28" i="3"/>
  <c r="H33" i="1"/>
  <c r="G33" i="1"/>
  <c r="D29" i="3"/>
  <c r="C29" i="3"/>
  <c r="B29" i="3"/>
  <c r="AA54" i="3" l="1"/>
  <c r="U56" i="3"/>
  <c r="W55" i="3"/>
  <c r="X55" i="3"/>
  <c r="V55" i="3"/>
  <c r="Z29" i="3"/>
  <c r="H34" i="1"/>
  <c r="G34" i="1"/>
  <c r="D30" i="3"/>
  <c r="C30" i="3"/>
  <c r="B30" i="3"/>
  <c r="AA55" i="3" l="1"/>
  <c r="U57" i="3"/>
  <c r="X56" i="3"/>
  <c r="W56" i="3"/>
  <c r="V56" i="3"/>
  <c r="Z30" i="3"/>
  <c r="H35" i="1"/>
  <c r="G35" i="1"/>
  <c r="B31" i="3"/>
  <c r="D31" i="3"/>
  <c r="C31" i="3"/>
  <c r="AA56" i="3" l="1"/>
  <c r="U58" i="3"/>
  <c r="X57" i="3"/>
  <c r="W57" i="3"/>
  <c r="V57" i="3"/>
  <c r="Z31" i="3"/>
  <c r="H36" i="1"/>
  <c r="G36" i="1"/>
  <c r="C32" i="3"/>
  <c r="B32" i="3"/>
  <c r="D32" i="3"/>
  <c r="AA57" i="3" l="1"/>
  <c r="U59" i="3"/>
  <c r="X58" i="3"/>
  <c r="W58" i="3"/>
  <c r="V58" i="3"/>
  <c r="Z32" i="3"/>
  <c r="G37" i="1"/>
  <c r="H37" i="1"/>
  <c r="C33" i="3"/>
  <c r="D33" i="3"/>
  <c r="B33" i="3"/>
  <c r="AA58" i="3" l="1"/>
  <c r="U60" i="3"/>
  <c r="X59" i="3"/>
  <c r="W59" i="3"/>
  <c r="V59" i="3"/>
  <c r="Z33" i="3"/>
  <c r="H38" i="1"/>
  <c r="G38" i="1"/>
  <c r="D34" i="3"/>
  <c r="B34" i="3"/>
  <c r="C34" i="3"/>
  <c r="AA59" i="3" l="1"/>
  <c r="U61" i="3"/>
  <c r="V60" i="3"/>
  <c r="W60" i="3"/>
  <c r="X60" i="3"/>
  <c r="Z34" i="3"/>
  <c r="H39" i="1"/>
  <c r="G39" i="1"/>
  <c r="C35" i="3"/>
  <c r="B35" i="3"/>
  <c r="D35" i="3"/>
  <c r="AA60" i="3" l="1"/>
  <c r="U62" i="3"/>
  <c r="X61" i="3"/>
  <c r="V61" i="3"/>
  <c r="W61" i="3"/>
  <c r="Z35" i="3"/>
  <c r="G40" i="1"/>
  <c r="H40" i="1"/>
  <c r="D36" i="3"/>
  <c r="C36" i="3"/>
  <c r="B36" i="3"/>
  <c r="AA61" i="3" l="1"/>
  <c r="U63" i="3"/>
  <c r="W62" i="3"/>
  <c r="V62" i="3"/>
  <c r="X62" i="3"/>
  <c r="Z36" i="3"/>
  <c r="G41" i="1"/>
  <c r="H41" i="1"/>
  <c r="C37" i="3"/>
  <c r="D37" i="3"/>
  <c r="B37" i="3"/>
  <c r="AA62" i="3" l="1"/>
  <c r="U64" i="3"/>
  <c r="X63" i="3"/>
  <c r="W63" i="3"/>
  <c r="V63" i="3"/>
  <c r="Z37" i="3"/>
  <c r="G42" i="1"/>
  <c r="H42" i="1"/>
  <c r="B38" i="3"/>
  <c r="C38" i="3"/>
  <c r="D38" i="3"/>
  <c r="AA63" i="3" l="1"/>
  <c r="U65" i="3"/>
  <c r="X64" i="3"/>
  <c r="W64" i="3"/>
  <c r="V64" i="3"/>
  <c r="Z38" i="3"/>
  <c r="H43" i="1"/>
  <c r="G43" i="1"/>
  <c r="D39" i="3"/>
  <c r="B39" i="3"/>
  <c r="C39" i="3"/>
  <c r="AA64" i="3" l="1"/>
  <c r="U66" i="3"/>
  <c r="W65" i="3"/>
  <c r="V65" i="3"/>
  <c r="X65" i="3"/>
  <c r="Z39" i="3"/>
  <c r="H44" i="1"/>
  <c r="G44" i="1"/>
  <c r="C40" i="3"/>
  <c r="B40" i="3"/>
  <c r="D40" i="3"/>
  <c r="AA65" i="3" l="1"/>
  <c r="U67" i="3"/>
  <c r="V66" i="3"/>
  <c r="W66" i="3"/>
  <c r="X66" i="3"/>
  <c r="Z40" i="3"/>
  <c r="H45" i="1"/>
  <c r="G45" i="1"/>
  <c r="D41" i="3"/>
  <c r="B41" i="3"/>
  <c r="C41" i="3"/>
  <c r="AA66" i="3" l="1"/>
  <c r="U68" i="3"/>
  <c r="W67" i="3"/>
  <c r="X67" i="3"/>
  <c r="V67" i="3"/>
  <c r="Z41" i="3"/>
  <c r="G46" i="1"/>
  <c r="H46" i="1"/>
  <c r="D42" i="3"/>
  <c r="B42" i="3"/>
  <c r="C42" i="3"/>
  <c r="AA67" i="3" l="1"/>
  <c r="U69" i="3"/>
  <c r="V68" i="3"/>
  <c r="W68" i="3"/>
  <c r="X68" i="3"/>
  <c r="Z42" i="3"/>
  <c r="G47" i="1"/>
  <c r="H47" i="1"/>
  <c r="C43" i="3"/>
  <c r="B43" i="3"/>
  <c r="D43" i="3"/>
  <c r="AA68" i="3" l="1"/>
  <c r="U70" i="3"/>
  <c r="X69" i="3"/>
  <c r="W69" i="3"/>
  <c r="V69" i="3"/>
  <c r="Z43" i="3"/>
  <c r="H48" i="1"/>
  <c r="G48" i="1"/>
  <c r="B44" i="3"/>
  <c r="D44" i="3"/>
  <c r="C44" i="3"/>
  <c r="AA69" i="3" l="1"/>
  <c r="U71" i="3"/>
  <c r="X70" i="3"/>
  <c r="W70" i="3"/>
  <c r="V70" i="3"/>
  <c r="Z44" i="3"/>
  <c r="G49" i="1"/>
  <c r="H49" i="1"/>
  <c r="C45" i="3"/>
  <c r="B45" i="3"/>
  <c r="D45" i="3"/>
  <c r="AA70" i="3" l="1"/>
  <c r="U72" i="3"/>
  <c r="X71" i="3"/>
  <c r="W71" i="3"/>
  <c r="V71" i="3"/>
  <c r="Z45" i="3"/>
  <c r="G50" i="1"/>
  <c r="H50" i="1"/>
  <c r="B46" i="3"/>
  <c r="D46" i="3"/>
  <c r="C46" i="3"/>
  <c r="AA71" i="3" l="1"/>
  <c r="U73" i="3"/>
  <c r="W72" i="3"/>
  <c r="V72" i="3"/>
  <c r="X72" i="3"/>
  <c r="Z46" i="3"/>
  <c r="H51" i="1"/>
  <c r="G51" i="1"/>
  <c r="B47" i="3"/>
  <c r="D47" i="3"/>
  <c r="C47" i="3"/>
  <c r="AA72" i="3" l="1"/>
  <c r="U74" i="3"/>
  <c r="W73" i="3"/>
  <c r="V73" i="3"/>
  <c r="X73" i="3"/>
  <c r="Z47" i="3"/>
  <c r="H52" i="1"/>
  <c r="G52" i="1"/>
  <c r="C48" i="3"/>
  <c r="B48" i="3"/>
  <c r="D48" i="3"/>
  <c r="AA73" i="3" l="1"/>
  <c r="U75" i="3"/>
  <c r="V74" i="3"/>
  <c r="W74" i="3"/>
  <c r="X74" i="3"/>
  <c r="Z48" i="3"/>
  <c r="G53" i="1"/>
  <c r="H53" i="1"/>
  <c r="C49" i="3"/>
  <c r="B49" i="3"/>
  <c r="D49" i="3"/>
  <c r="AA74" i="3" l="1"/>
  <c r="U76" i="3"/>
  <c r="X75" i="3"/>
  <c r="W75" i="3"/>
  <c r="V75" i="3"/>
  <c r="Z49" i="3"/>
  <c r="G54" i="1"/>
  <c r="H54" i="1"/>
  <c r="B50" i="3"/>
  <c r="D50" i="3"/>
  <c r="C50" i="3"/>
  <c r="AA75" i="3" l="1"/>
  <c r="U77" i="3"/>
  <c r="X76" i="3"/>
  <c r="W76" i="3"/>
  <c r="V76" i="3"/>
  <c r="Z50" i="3"/>
  <c r="G55" i="1"/>
  <c r="H55" i="1"/>
  <c r="D51" i="3"/>
  <c r="C51" i="3"/>
  <c r="B51" i="3"/>
  <c r="AA76" i="3" l="1"/>
  <c r="U78" i="3"/>
  <c r="X77" i="3"/>
  <c r="W77" i="3"/>
  <c r="V77" i="3"/>
  <c r="Z51" i="3"/>
  <c r="G56" i="1"/>
  <c r="H56" i="1"/>
  <c r="C52" i="3"/>
  <c r="D52" i="3"/>
  <c r="B52" i="3"/>
  <c r="AA77" i="3" l="1"/>
  <c r="U79" i="3"/>
  <c r="X78" i="3"/>
  <c r="W78" i="3"/>
  <c r="V78" i="3"/>
  <c r="Z52" i="3"/>
  <c r="G57" i="1"/>
  <c r="H57" i="1"/>
  <c r="D53" i="3"/>
  <c r="C53" i="3"/>
  <c r="B53" i="3"/>
  <c r="AA78" i="3" l="1"/>
  <c r="U80" i="3"/>
  <c r="W79" i="3"/>
  <c r="V79" i="3"/>
  <c r="X79" i="3"/>
  <c r="Z53" i="3"/>
  <c r="G58" i="1"/>
  <c r="H58" i="1"/>
  <c r="B54" i="3"/>
  <c r="C54" i="3"/>
  <c r="D54" i="3"/>
  <c r="AA79" i="3" l="1"/>
  <c r="U81" i="3"/>
  <c r="X80" i="3"/>
  <c r="W80" i="3"/>
  <c r="V80" i="3"/>
  <c r="Z54" i="3"/>
  <c r="G59" i="1"/>
  <c r="H59" i="1"/>
  <c r="C55" i="3"/>
  <c r="B55" i="3"/>
  <c r="D55" i="3"/>
  <c r="AA80" i="3" l="1"/>
  <c r="U82" i="3"/>
  <c r="X81" i="3"/>
  <c r="W81" i="3"/>
  <c r="V81" i="3"/>
  <c r="Z55" i="3"/>
  <c r="H60" i="1"/>
  <c r="G60" i="1"/>
  <c r="D56" i="3"/>
  <c r="C56" i="3"/>
  <c r="B56" i="3"/>
  <c r="AA81" i="3" l="1"/>
  <c r="U83" i="3"/>
  <c r="X82" i="3"/>
  <c r="W82" i="3"/>
  <c r="V82" i="3"/>
  <c r="Z56" i="3"/>
  <c r="G61" i="1"/>
  <c r="H61" i="1"/>
  <c r="C57" i="3"/>
  <c r="B57" i="3"/>
  <c r="D57" i="3"/>
  <c r="AA82" i="3" l="1"/>
  <c r="U84" i="3"/>
  <c r="X83" i="3"/>
  <c r="W83" i="3"/>
  <c r="V83" i="3"/>
  <c r="Z57" i="3"/>
  <c r="G62" i="1"/>
  <c r="H62" i="1"/>
  <c r="D58" i="3"/>
  <c r="C58" i="3"/>
  <c r="B58" i="3"/>
  <c r="AA83" i="3" l="1"/>
  <c r="U85" i="3"/>
  <c r="X84" i="3"/>
  <c r="V84" i="3"/>
  <c r="W84" i="3"/>
  <c r="Z58" i="3"/>
  <c r="H63" i="1"/>
  <c r="G63" i="1"/>
  <c r="D59" i="3"/>
  <c r="B59" i="3"/>
  <c r="C59" i="3"/>
  <c r="AA84" i="3" l="1"/>
  <c r="U86" i="3"/>
  <c r="V85" i="3"/>
  <c r="X85" i="3"/>
  <c r="W85" i="3"/>
  <c r="Z59" i="3"/>
  <c r="G64" i="1"/>
  <c r="H64" i="1"/>
  <c r="D60" i="3"/>
  <c r="C60" i="3"/>
  <c r="B60" i="3"/>
  <c r="AA85" i="3" l="1"/>
  <c r="U87" i="3"/>
  <c r="X86" i="3"/>
  <c r="W86" i="3"/>
  <c r="V86" i="3"/>
  <c r="Z60" i="3"/>
  <c r="H65" i="1"/>
  <c r="G65" i="1"/>
  <c r="B61" i="3"/>
  <c r="D61" i="3"/>
  <c r="C61" i="3"/>
  <c r="AA86" i="3" l="1"/>
  <c r="U88" i="3"/>
  <c r="X87" i="3"/>
  <c r="W87" i="3"/>
  <c r="V87" i="3"/>
  <c r="Z61" i="3"/>
  <c r="G66" i="1"/>
  <c r="H66" i="1"/>
  <c r="B62" i="3"/>
  <c r="C62" i="3"/>
  <c r="D62" i="3"/>
  <c r="AA87" i="3" l="1"/>
  <c r="U89" i="3"/>
  <c r="X88" i="3"/>
  <c r="W88" i="3"/>
  <c r="V88" i="3"/>
  <c r="Z62" i="3"/>
  <c r="H67" i="1"/>
  <c r="G67" i="1"/>
  <c r="D63" i="3"/>
  <c r="B63" i="3"/>
  <c r="C63" i="3"/>
  <c r="AA88" i="3" l="1"/>
  <c r="U90" i="3"/>
  <c r="X89" i="3"/>
  <c r="W89" i="3"/>
  <c r="V89" i="3"/>
  <c r="Z63" i="3"/>
  <c r="H68" i="1"/>
  <c r="G68" i="1"/>
  <c r="D64" i="3"/>
  <c r="C64" i="3"/>
  <c r="B64" i="3"/>
  <c r="AA89" i="3" l="1"/>
  <c r="U91" i="3"/>
  <c r="W90" i="3"/>
  <c r="V90" i="3"/>
  <c r="X90" i="3"/>
  <c r="Z64" i="3"/>
  <c r="H69" i="1"/>
  <c r="G69" i="1"/>
  <c r="D65" i="3"/>
  <c r="B65" i="3"/>
  <c r="C65" i="3"/>
  <c r="AA90" i="3" l="1"/>
  <c r="U92" i="3"/>
  <c r="X91" i="3"/>
  <c r="V91" i="3"/>
  <c r="W91" i="3"/>
  <c r="Z65" i="3"/>
  <c r="H70" i="1"/>
  <c r="G70" i="1"/>
  <c r="C66" i="3"/>
  <c r="D66" i="3"/>
  <c r="B66" i="3"/>
  <c r="AA91" i="3" l="1"/>
  <c r="U93" i="3"/>
  <c r="X92" i="3"/>
  <c r="W92" i="3"/>
  <c r="V92" i="3"/>
  <c r="Z66" i="3"/>
  <c r="G71" i="1"/>
  <c r="H71" i="1"/>
  <c r="B67" i="3"/>
  <c r="D67" i="3"/>
  <c r="C67" i="3"/>
  <c r="AA92" i="3" l="1"/>
  <c r="U94" i="3"/>
  <c r="X93" i="3"/>
  <c r="W93" i="3"/>
  <c r="V93" i="3"/>
  <c r="Z67" i="3"/>
  <c r="G72" i="1"/>
  <c r="H72" i="1"/>
  <c r="B68" i="3"/>
  <c r="D68" i="3"/>
  <c r="C68" i="3"/>
  <c r="AA93" i="3" l="1"/>
  <c r="U95" i="3"/>
  <c r="X94" i="3"/>
  <c r="W94" i="3"/>
  <c r="V94" i="3"/>
  <c r="Z68" i="3"/>
  <c r="G73" i="1"/>
  <c r="H73" i="1"/>
  <c r="D69" i="3"/>
  <c r="B69" i="3"/>
  <c r="C69" i="3"/>
  <c r="AA94" i="3" l="1"/>
  <c r="U96" i="3"/>
  <c r="X95" i="3"/>
  <c r="W95" i="3"/>
  <c r="V95" i="3"/>
  <c r="Z69" i="3"/>
  <c r="H74" i="1"/>
  <c r="G74" i="1"/>
  <c r="D70" i="3"/>
  <c r="C70" i="3"/>
  <c r="B70" i="3"/>
  <c r="AA95" i="3" l="1"/>
  <c r="U97" i="3"/>
  <c r="X96" i="3"/>
  <c r="W96" i="3"/>
  <c r="V96" i="3"/>
  <c r="Z70" i="3"/>
  <c r="H75" i="1"/>
  <c r="G75" i="1"/>
  <c r="B71" i="3"/>
  <c r="C71" i="3"/>
  <c r="D71" i="3"/>
  <c r="AA96" i="3" l="1"/>
  <c r="U98" i="3"/>
  <c r="X97" i="3"/>
  <c r="W97" i="3"/>
  <c r="V97" i="3"/>
  <c r="Z71" i="3"/>
  <c r="G76" i="1"/>
  <c r="H76" i="1"/>
  <c r="B72" i="3"/>
  <c r="C72" i="3"/>
  <c r="D72" i="3"/>
  <c r="AA97" i="3" l="1"/>
  <c r="U99" i="3"/>
  <c r="X98" i="3"/>
  <c r="W98" i="3"/>
  <c r="V98" i="3"/>
  <c r="Z72" i="3"/>
  <c r="H77" i="1"/>
  <c r="G77" i="1"/>
  <c r="C73" i="3"/>
  <c r="B73" i="3"/>
  <c r="D73" i="3"/>
  <c r="AA98" i="3" l="1"/>
  <c r="U100" i="3"/>
  <c r="X99" i="3"/>
  <c r="W99" i="3"/>
  <c r="V99" i="3"/>
  <c r="Z73" i="3"/>
  <c r="G78" i="1"/>
  <c r="H78" i="1"/>
  <c r="B74" i="3"/>
  <c r="D74" i="3"/>
  <c r="C74" i="3"/>
  <c r="AA99" i="3" l="1"/>
  <c r="U101" i="3"/>
  <c r="X100" i="3"/>
  <c r="W100" i="3"/>
  <c r="V100" i="3"/>
  <c r="Z74" i="3"/>
  <c r="G79" i="1"/>
  <c r="H79" i="1"/>
  <c r="B75" i="3"/>
  <c r="D75" i="3"/>
  <c r="C75" i="3"/>
  <c r="AA100" i="3" l="1"/>
  <c r="U102" i="3"/>
  <c r="V101" i="3"/>
  <c r="W101" i="3"/>
  <c r="X101" i="3"/>
  <c r="Z75" i="3"/>
  <c r="G80" i="1"/>
  <c r="H80" i="1"/>
  <c r="C76" i="3"/>
  <c r="D76" i="3"/>
  <c r="B76" i="3"/>
  <c r="AA101" i="3" l="1"/>
  <c r="U103" i="3"/>
  <c r="X102" i="3"/>
  <c r="W102" i="3"/>
  <c r="V102" i="3"/>
  <c r="Z76" i="3"/>
  <c r="G81" i="1"/>
  <c r="H81" i="1"/>
  <c r="C77" i="3"/>
  <c r="B77" i="3"/>
  <c r="D77" i="3"/>
  <c r="AA102" i="3" l="1"/>
  <c r="U104" i="3"/>
  <c r="X103" i="3"/>
  <c r="W103" i="3"/>
  <c r="V103" i="3"/>
  <c r="Z77" i="3"/>
  <c r="H82" i="1"/>
  <c r="G82" i="1"/>
  <c r="B78" i="3"/>
  <c r="C78" i="3"/>
  <c r="D78" i="3"/>
  <c r="AA103" i="3" l="1"/>
  <c r="U105" i="3"/>
  <c r="X104" i="3"/>
  <c r="W104" i="3"/>
  <c r="V104" i="3"/>
  <c r="Z78" i="3"/>
  <c r="G83" i="1"/>
  <c r="H83" i="1"/>
  <c r="C79" i="3"/>
  <c r="B79" i="3"/>
  <c r="D79" i="3"/>
  <c r="AA104" i="3" l="1"/>
  <c r="U106" i="3"/>
  <c r="X105" i="3"/>
  <c r="W105" i="3"/>
  <c r="V105" i="3"/>
  <c r="Z79" i="3"/>
  <c r="G84" i="1"/>
  <c r="H84" i="1"/>
  <c r="C80" i="3"/>
  <c r="B80" i="3"/>
  <c r="D80" i="3"/>
  <c r="AA105" i="3" l="1"/>
  <c r="U107" i="3"/>
  <c r="W106" i="3"/>
  <c r="V106" i="3"/>
  <c r="X106" i="3"/>
  <c r="Z80" i="3"/>
  <c r="B81" i="3"/>
  <c r="C81" i="3"/>
  <c r="D81" i="3"/>
  <c r="AA106" i="3" l="1"/>
  <c r="U108" i="3"/>
  <c r="X107" i="3"/>
  <c r="W107" i="3"/>
  <c r="V107" i="3"/>
  <c r="Z81" i="3"/>
  <c r="D82" i="3"/>
  <c r="C82" i="3"/>
  <c r="B82" i="3"/>
  <c r="AA107" i="3" l="1"/>
  <c r="U109" i="3"/>
  <c r="X108" i="3"/>
  <c r="W108" i="3"/>
  <c r="V108" i="3"/>
  <c r="Z82" i="3"/>
  <c r="B83" i="3"/>
  <c r="C83" i="3"/>
  <c r="D83" i="3"/>
  <c r="AA108" i="3" l="1"/>
  <c r="U110" i="3"/>
  <c r="X109" i="3"/>
  <c r="W109" i="3"/>
  <c r="V109" i="3"/>
  <c r="Z83" i="3"/>
  <c r="D84" i="3"/>
  <c r="C84" i="3"/>
  <c r="B84" i="3"/>
  <c r="AA109" i="3" l="1"/>
  <c r="U111" i="3"/>
  <c r="X110" i="3"/>
  <c r="W110" i="3"/>
  <c r="V110" i="3"/>
  <c r="Z84" i="3"/>
  <c r="C85" i="3"/>
  <c r="B85" i="3"/>
  <c r="D85" i="3"/>
  <c r="AA110" i="3" l="1"/>
  <c r="U112" i="3"/>
  <c r="X111" i="3"/>
  <c r="W111" i="3"/>
  <c r="V111" i="3"/>
  <c r="Z85" i="3"/>
  <c r="B86" i="3"/>
  <c r="AA111" i="3" l="1"/>
  <c r="U113" i="3"/>
  <c r="X112" i="3"/>
  <c r="W112" i="3"/>
  <c r="V112" i="3"/>
  <c r="Z86" i="3"/>
  <c r="B87" i="3"/>
  <c r="D87" i="3"/>
  <c r="C87" i="3"/>
  <c r="AA112" i="3" l="1"/>
  <c r="U114" i="3"/>
  <c r="X113" i="3"/>
  <c r="W113" i="3"/>
  <c r="V113" i="3"/>
  <c r="Z87" i="3"/>
  <c r="B88" i="3"/>
  <c r="D88" i="3"/>
  <c r="C88" i="3"/>
  <c r="AA113" i="3" l="1"/>
  <c r="U115" i="3"/>
  <c r="X114" i="3"/>
  <c r="W114" i="3"/>
  <c r="V114" i="3"/>
  <c r="Z88" i="3"/>
  <c r="B89" i="3"/>
  <c r="D89" i="3"/>
  <c r="C89" i="3"/>
  <c r="AA114" i="3" l="1"/>
  <c r="U116" i="3"/>
  <c r="X115" i="3"/>
  <c r="W115" i="3"/>
  <c r="V115" i="3"/>
  <c r="Z89" i="3"/>
  <c r="B90" i="3"/>
  <c r="D90" i="3"/>
  <c r="C90" i="3"/>
  <c r="AA115" i="3" l="1"/>
  <c r="U117" i="3"/>
  <c r="X116" i="3"/>
  <c r="W116" i="3"/>
  <c r="V116" i="3"/>
  <c r="Z90" i="3"/>
  <c r="B91" i="3"/>
  <c r="D91" i="3"/>
  <c r="C91" i="3"/>
  <c r="AA116" i="3" l="1"/>
  <c r="U118" i="3"/>
  <c r="V117" i="3"/>
  <c r="W117" i="3"/>
  <c r="X117" i="3"/>
  <c r="Z91" i="3"/>
  <c r="C92" i="3"/>
  <c r="D92" i="3"/>
  <c r="B92" i="3"/>
  <c r="AA117" i="3" l="1"/>
  <c r="U119" i="3"/>
  <c r="X118" i="3"/>
  <c r="W118" i="3"/>
  <c r="V118" i="3"/>
  <c r="Z92" i="3"/>
  <c r="D93" i="3"/>
  <c r="C93" i="3"/>
  <c r="B93" i="3"/>
  <c r="AA118" i="3" l="1"/>
  <c r="U120" i="3"/>
  <c r="X119" i="3"/>
  <c r="W119" i="3"/>
  <c r="V119" i="3"/>
  <c r="Z93" i="3"/>
  <c r="D94" i="3"/>
  <c r="B94" i="3"/>
  <c r="C94" i="3"/>
  <c r="AA119" i="3" l="1"/>
  <c r="U121" i="3"/>
  <c r="X120" i="3"/>
  <c r="W120" i="3"/>
  <c r="V120" i="3"/>
  <c r="Z94" i="3"/>
  <c r="B95" i="3"/>
  <c r="C95" i="3"/>
  <c r="D95" i="3"/>
  <c r="AA120" i="3" l="1"/>
  <c r="U122" i="3"/>
  <c r="X121" i="3"/>
  <c r="W121" i="3"/>
  <c r="V121" i="3"/>
  <c r="Z95" i="3"/>
  <c r="C96" i="3"/>
  <c r="B96" i="3"/>
  <c r="D96" i="3"/>
  <c r="AA121" i="3" l="1"/>
  <c r="U123" i="3"/>
  <c r="W122" i="3"/>
  <c r="V122" i="3"/>
  <c r="X122" i="3"/>
  <c r="Z96" i="3"/>
  <c r="B97" i="3"/>
  <c r="C97" i="3"/>
  <c r="D97" i="3"/>
  <c r="AA122" i="3" l="1"/>
  <c r="U124" i="3"/>
  <c r="X123" i="3"/>
  <c r="W123" i="3"/>
  <c r="V123" i="3"/>
  <c r="Z97" i="3"/>
  <c r="B98" i="3"/>
  <c r="D98" i="3"/>
  <c r="C98" i="3"/>
  <c r="AA123" i="3" l="1"/>
  <c r="U125" i="3"/>
  <c r="X124" i="3"/>
  <c r="W124" i="3"/>
  <c r="V124" i="3"/>
  <c r="Z98" i="3"/>
  <c r="D99" i="3"/>
  <c r="C99" i="3"/>
  <c r="B99" i="3"/>
  <c r="AA124" i="3" l="1"/>
  <c r="U126" i="3"/>
  <c r="X125" i="3"/>
  <c r="W125" i="3"/>
  <c r="V125" i="3"/>
  <c r="Z99" i="3"/>
  <c r="D100" i="3"/>
  <c r="B100" i="3"/>
  <c r="C100" i="3"/>
  <c r="AA125" i="3" l="1"/>
  <c r="U127" i="3"/>
  <c r="X126" i="3"/>
  <c r="W126" i="3"/>
  <c r="V126" i="3"/>
  <c r="Z100" i="3"/>
  <c r="B101" i="3"/>
  <c r="C101" i="3"/>
  <c r="D101" i="3"/>
  <c r="AA126" i="3" l="1"/>
  <c r="U128" i="3"/>
  <c r="X127" i="3"/>
  <c r="W127" i="3"/>
  <c r="V127" i="3"/>
  <c r="Z101" i="3"/>
  <c r="D102" i="3"/>
  <c r="B102" i="3"/>
  <c r="C102" i="3"/>
  <c r="AA127" i="3" l="1"/>
  <c r="U129" i="3"/>
  <c r="X128" i="3"/>
  <c r="W128" i="3"/>
  <c r="V128" i="3"/>
  <c r="Z102" i="3"/>
  <c r="B103" i="3"/>
  <c r="C103" i="3"/>
  <c r="D103" i="3"/>
  <c r="AA128" i="3" l="1"/>
  <c r="U130" i="3"/>
  <c r="X129" i="3"/>
  <c r="W129" i="3"/>
  <c r="V129" i="3"/>
  <c r="Z103" i="3"/>
  <c r="C104" i="3"/>
  <c r="D104" i="3"/>
  <c r="B104" i="3"/>
  <c r="AA129" i="3" l="1"/>
  <c r="U131" i="3"/>
  <c r="X130" i="3"/>
  <c r="W130" i="3"/>
  <c r="V130" i="3"/>
  <c r="Z104" i="3"/>
  <c r="D105" i="3"/>
  <c r="C105" i="3"/>
  <c r="B105" i="3"/>
  <c r="AA130" i="3" l="1"/>
  <c r="U132" i="3"/>
  <c r="X131" i="3"/>
  <c r="W131" i="3"/>
  <c r="V131" i="3"/>
  <c r="Z105" i="3"/>
  <c r="C106" i="3"/>
  <c r="B106" i="3"/>
  <c r="D106" i="3"/>
  <c r="AA131" i="3" l="1"/>
  <c r="U133" i="3"/>
  <c r="X132" i="3"/>
  <c r="W132" i="3"/>
  <c r="V132" i="3"/>
  <c r="Z106" i="3"/>
  <c r="D107" i="3"/>
  <c r="B107" i="3"/>
  <c r="C107" i="3"/>
  <c r="AA132" i="3" l="1"/>
  <c r="U134" i="3"/>
  <c r="V133" i="3"/>
  <c r="X133" i="3"/>
  <c r="W133" i="3"/>
  <c r="Z107" i="3"/>
  <c r="B108" i="3"/>
  <c r="C108" i="3"/>
  <c r="D108" i="3"/>
  <c r="AA133" i="3" l="1"/>
  <c r="U135" i="3"/>
  <c r="X134" i="3"/>
  <c r="W134" i="3"/>
  <c r="V134" i="3"/>
  <c r="Z108" i="3"/>
  <c r="C109" i="3"/>
  <c r="B109" i="3"/>
  <c r="D109" i="3"/>
  <c r="AA134" i="3" l="1"/>
  <c r="U136" i="3"/>
  <c r="X135" i="3"/>
  <c r="W135" i="3"/>
  <c r="V135" i="3"/>
  <c r="Z109" i="3"/>
  <c r="B110" i="3"/>
  <c r="C110" i="3"/>
  <c r="D110" i="3"/>
  <c r="AA135" i="3" l="1"/>
  <c r="U137" i="3"/>
  <c r="X136" i="3"/>
  <c r="W136" i="3"/>
  <c r="V136" i="3"/>
  <c r="Z110" i="3"/>
  <c r="D111" i="3"/>
  <c r="B111" i="3"/>
  <c r="C111" i="3"/>
  <c r="AA136" i="3" l="1"/>
  <c r="U138" i="3"/>
  <c r="X137" i="3"/>
  <c r="W137" i="3"/>
  <c r="V137" i="3"/>
  <c r="Z111" i="3"/>
  <c r="D112" i="3"/>
  <c r="C112" i="3"/>
  <c r="B112" i="3"/>
  <c r="AA137" i="3" l="1"/>
  <c r="U139" i="3"/>
  <c r="W138" i="3"/>
  <c r="V138" i="3"/>
  <c r="X138" i="3"/>
  <c r="Z112" i="3"/>
  <c r="B113" i="3"/>
  <c r="C113" i="3"/>
  <c r="D113" i="3"/>
  <c r="AA138" i="3" l="1"/>
  <c r="U140" i="3"/>
  <c r="X139" i="3"/>
  <c r="W139" i="3"/>
  <c r="V139" i="3"/>
  <c r="Z113" i="3"/>
  <c r="D114" i="3"/>
  <c r="B114" i="3"/>
  <c r="C114" i="3"/>
  <c r="AA139" i="3" l="1"/>
  <c r="U141" i="3"/>
  <c r="X140" i="3"/>
  <c r="W140" i="3"/>
  <c r="V140" i="3"/>
  <c r="Z114" i="3"/>
  <c r="B115" i="3"/>
  <c r="C115" i="3"/>
  <c r="D115" i="3"/>
  <c r="AA140" i="3" l="1"/>
  <c r="Z140" i="3"/>
  <c r="U142" i="3"/>
  <c r="X141" i="3"/>
  <c r="W141" i="3"/>
  <c r="V141" i="3"/>
  <c r="Z115" i="3"/>
  <c r="B116" i="3"/>
  <c r="C116" i="3"/>
  <c r="D116" i="3"/>
  <c r="AA141" i="3" l="1"/>
  <c r="Z141" i="3"/>
  <c r="U143" i="3"/>
  <c r="X142" i="3"/>
  <c r="W142" i="3"/>
  <c r="V142" i="3"/>
  <c r="Z116" i="3"/>
  <c r="C117" i="3"/>
  <c r="B117" i="3"/>
  <c r="D117" i="3"/>
  <c r="AA142" i="3" l="1"/>
  <c r="Z142" i="3"/>
  <c r="U144" i="3"/>
  <c r="X143" i="3"/>
  <c r="W143" i="3"/>
  <c r="V143" i="3"/>
  <c r="Z117" i="3"/>
  <c r="C118" i="3"/>
  <c r="B118" i="3"/>
  <c r="D118" i="3"/>
  <c r="AA143" i="3" l="1"/>
  <c r="Z143" i="3"/>
  <c r="U145" i="3"/>
  <c r="W144" i="3"/>
  <c r="X144" i="3"/>
  <c r="V144" i="3"/>
  <c r="Z118" i="3"/>
  <c r="B119" i="3"/>
  <c r="C119" i="3"/>
  <c r="D119" i="3"/>
  <c r="Z144" i="3" l="1"/>
  <c r="U146" i="3"/>
  <c r="X145" i="3"/>
  <c r="W145" i="3"/>
  <c r="V145" i="3"/>
  <c r="AA144" i="3"/>
  <c r="Z119" i="3"/>
  <c r="B120" i="3"/>
  <c r="C120" i="3"/>
  <c r="D120" i="3"/>
  <c r="AA145" i="3" l="1"/>
  <c r="Z145" i="3"/>
  <c r="U147" i="3"/>
  <c r="X146" i="3"/>
  <c r="W146" i="3"/>
  <c r="V146" i="3"/>
  <c r="Z120" i="3"/>
  <c r="B121" i="3"/>
  <c r="D121" i="3"/>
  <c r="C121" i="3"/>
  <c r="Z146" i="3" l="1"/>
  <c r="AA146" i="3"/>
  <c r="U148" i="3"/>
  <c r="X147" i="3"/>
  <c r="W147" i="3"/>
  <c r="V147" i="3"/>
  <c r="Z121" i="3"/>
  <c r="D122" i="3"/>
  <c r="B122" i="3"/>
  <c r="C122" i="3"/>
  <c r="AA147" i="3" l="1"/>
  <c r="Z147" i="3"/>
  <c r="U149" i="3"/>
  <c r="X148" i="3"/>
  <c r="W148" i="3"/>
  <c r="V148" i="3"/>
  <c r="Z122" i="3"/>
  <c r="C123" i="3"/>
  <c r="B123" i="3"/>
  <c r="D123" i="3"/>
  <c r="AA148" i="3" l="1"/>
  <c r="Z148" i="3"/>
  <c r="U150" i="3"/>
  <c r="V149" i="3"/>
  <c r="X149" i="3"/>
  <c r="W149" i="3"/>
  <c r="Z123" i="3"/>
  <c r="C124" i="3"/>
  <c r="D124" i="3"/>
  <c r="B124" i="3"/>
  <c r="AA149" i="3" l="1"/>
  <c r="Z149" i="3"/>
  <c r="U151" i="3"/>
  <c r="X150" i="3"/>
  <c r="W150" i="3"/>
  <c r="V150" i="3"/>
  <c r="Z124" i="3"/>
  <c r="C125" i="3"/>
  <c r="B125" i="3"/>
  <c r="D125" i="3"/>
  <c r="Z150" i="3" l="1"/>
  <c r="AA150" i="3"/>
  <c r="U152" i="3"/>
  <c r="X151" i="3"/>
  <c r="W151" i="3"/>
  <c r="V151" i="3"/>
  <c r="Z125" i="3"/>
  <c r="C126" i="3"/>
  <c r="D126" i="3"/>
  <c r="B126" i="3"/>
  <c r="Z151" i="3" l="1"/>
  <c r="AA151" i="3"/>
  <c r="U153" i="3"/>
  <c r="X152" i="3"/>
  <c r="W152" i="3"/>
  <c r="V152" i="3"/>
  <c r="Z126" i="3"/>
  <c r="D127" i="3"/>
  <c r="C127" i="3"/>
  <c r="B127" i="3"/>
  <c r="AA152" i="3" l="1"/>
  <c r="Z152" i="3"/>
  <c r="U154" i="3"/>
  <c r="X153" i="3"/>
  <c r="W153" i="3"/>
  <c r="V153" i="3"/>
  <c r="Z127" i="3"/>
  <c r="B128" i="3"/>
  <c r="C128" i="3"/>
  <c r="D128" i="3"/>
  <c r="AA153" i="3" l="1"/>
  <c r="Z153" i="3"/>
  <c r="U155" i="3"/>
  <c r="W154" i="3"/>
  <c r="V154" i="3"/>
  <c r="X154" i="3"/>
  <c r="Z128" i="3"/>
  <c r="D129" i="3"/>
  <c r="B129" i="3"/>
  <c r="C129" i="3"/>
  <c r="AA154" i="3" l="1"/>
  <c r="Z154" i="3"/>
  <c r="U156" i="3"/>
  <c r="X155" i="3"/>
  <c r="V155" i="3"/>
  <c r="W155" i="3"/>
  <c r="Z129" i="3"/>
  <c r="B130" i="3"/>
  <c r="D130" i="3"/>
  <c r="C130" i="3"/>
  <c r="AA155" i="3" l="1"/>
  <c r="Z155" i="3"/>
  <c r="U157" i="3"/>
  <c r="X156" i="3"/>
  <c r="W156" i="3"/>
  <c r="V156" i="3"/>
  <c r="Z130" i="3"/>
  <c r="D131" i="3"/>
  <c r="B131" i="3"/>
  <c r="C131" i="3"/>
  <c r="Z156" i="3" l="1"/>
  <c r="AA156" i="3"/>
  <c r="U158" i="3"/>
  <c r="X157" i="3"/>
  <c r="W157" i="3"/>
  <c r="V157" i="3"/>
  <c r="Z131" i="3"/>
  <c r="D132" i="3"/>
  <c r="B132" i="3"/>
  <c r="C132" i="3"/>
  <c r="AA157" i="3" l="1"/>
  <c r="Z157" i="3"/>
  <c r="U159" i="3"/>
  <c r="X158" i="3"/>
  <c r="W158" i="3"/>
  <c r="V158" i="3"/>
  <c r="Z132" i="3"/>
  <c r="G137" i="1"/>
  <c r="H137" i="1"/>
  <c r="D133" i="3"/>
  <c r="B133" i="3"/>
  <c r="C133" i="3"/>
  <c r="AA158" i="3" l="1"/>
  <c r="Z158" i="3"/>
  <c r="U160" i="3"/>
  <c r="X159" i="3"/>
  <c r="W159" i="3"/>
  <c r="V159" i="3"/>
  <c r="Z133" i="3"/>
  <c r="G138" i="1"/>
  <c r="H138" i="1"/>
  <c r="C134" i="3"/>
  <c r="B134" i="3"/>
  <c r="D134" i="3"/>
  <c r="AA159" i="3" l="1"/>
  <c r="Z159" i="3"/>
  <c r="U161" i="3"/>
  <c r="W160" i="3"/>
  <c r="X160" i="3"/>
  <c r="V160" i="3"/>
  <c r="Z134" i="3"/>
  <c r="H139" i="1"/>
  <c r="G139" i="1"/>
  <c r="C135" i="3"/>
  <c r="D135" i="3"/>
  <c r="B135" i="3"/>
  <c r="Z160" i="3" l="1"/>
  <c r="AA160" i="3"/>
  <c r="U162" i="3"/>
  <c r="X161" i="3"/>
  <c r="W161" i="3"/>
  <c r="V161" i="3"/>
  <c r="Z135" i="3"/>
  <c r="G140" i="1"/>
  <c r="H140" i="1"/>
  <c r="B136" i="3"/>
  <c r="C136" i="3"/>
  <c r="D136" i="3"/>
  <c r="AA161" i="3" l="1"/>
  <c r="Z161" i="3"/>
  <c r="U163" i="3"/>
  <c r="X162" i="3"/>
  <c r="W162" i="3"/>
  <c r="V162" i="3"/>
  <c r="Z136" i="3"/>
  <c r="H141" i="1"/>
  <c r="G141" i="1"/>
  <c r="D137" i="3"/>
  <c r="C137" i="3"/>
  <c r="B137" i="3"/>
  <c r="AA162" i="3" l="1"/>
  <c r="Z162" i="3"/>
  <c r="U164" i="3"/>
  <c r="X163" i="3"/>
  <c r="W163" i="3"/>
  <c r="V163" i="3"/>
  <c r="Z137" i="3"/>
  <c r="G142" i="1"/>
  <c r="H142" i="1"/>
  <c r="D138" i="3"/>
  <c r="B138" i="3"/>
  <c r="C138" i="3"/>
  <c r="AA163" i="3" l="1"/>
  <c r="Z163" i="3"/>
  <c r="U165" i="3"/>
  <c r="X164" i="3"/>
  <c r="W164" i="3"/>
  <c r="V164" i="3"/>
  <c r="Z138" i="3"/>
  <c r="H143" i="1"/>
  <c r="G143" i="1"/>
  <c r="B139" i="3"/>
  <c r="C139" i="3"/>
  <c r="D139" i="3"/>
  <c r="AA164" i="3" l="1"/>
  <c r="Z164" i="3"/>
  <c r="U166" i="3"/>
  <c r="V165" i="3"/>
  <c r="X165" i="3"/>
  <c r="W165" i="3"/>
  <c r="Z139" i="3"/>
  <c r="H144" i="1"/>
  <c r="G144" i="1"/>
  <c r="G148" i="1"/>
  <c r="G147" i="1"/>
  <c r="G145" i="1"/>
  <c r="H148" i="1"/>
  <c r="H145" i="1"/>
  <c r="H147" i="1"/>
  <c r="G146" i="1"/>
  <c r="H146" i="1"/>
  <c r="AA165" i="3" l="1"/>
  <c r="Z165" i="3"/>
  <c r="U167" i="3"/>
  <c r="X166" i="3"/>
  <c r="W166" i="3"/>
  <c r="V166" i="3"/>
  <c r="AA166" i="3" l="1"/>
  <c r="Z166" i="3"/>
  <c r="U168" i="3"/>
  <c r="X167" i="3"/>
  <c r="W167" i="3"/>
  <c r="V167" i="3"/>
  <c r="AA167" i="3" l="1"/>
  <c r="Z167" i="3"/>
  <c r="U169" i="3"/>
  <c r="X168" i="3"/>
  <c r="W168" i="3"/>
  <c r="V168" i="3"/>
  <c r="Z168" i="3" l="1"/>
  <c r="AA168" i="3"/>
  <c r="U170" i="3"/>
  <c r="X169" i="3"/>
  <c r="W169" i="3"/>
  <c r="V169" i="3"/>
  <c r="AA169" i="3" l="1"/>
  <c r="Z169" i="3"/>
  <c r="U171" i="3"/>
  <c r="W170" i="3"/>
  <c r="V170" i="3"/>
  <c r="X170" i="3"/>
  <c r="AA170" i="3" l="1"/>
  <c r="Z170" i="3"/>
  <c r="U172" i="3"/>
  <c r="X171" i="3"/>
  <c r="V171" i="3"/>
  <c r="W171" i="3"/>
  <c r="AA171" i="3" l="1"/>
  <c r="Z171" i="3"/>
  <c r="U173" i="3"/>
  <c r="X172" i="3"/>
  <c r="W172" i="3"/>
  <c r="V172" i="3"/>
  <c r="AA172" i="3" l="1"/>
  <c r="Z172" i="3"/>
  <c r="U174" i="3"/>
  <c r="X173" i="3"/>
  <c r="W173" i="3"/>
  <c r="V173" i="3"/>
  <c r="AA173" i="3" l="1"/>
  <c r="Z173" i="3"/>
  <c r="U175" i="3"/>
  <c r="X174" i="3"/>
  <c r="W174" i="3"/>
  <c r="V174" i="3"/>
  <c r="AA174" i="3" l="1"/>
  <c r="Z174" i="3"/>
  <c r="U176" i="3"/>
  <c r="X175" i="3"/>
  <c r="W175" i="3"/>
  <c r="V175" i="3"/>
  <c r="AA175" i="3" l="1"/>
  <c r="Z175" i="3"/>
  <c r="U177" i="3"/>
  <c r="X176" i="3"/>
  <c r="W176" i="3"/>
  <c r="V176" i="3"/>
  <c r="Z176" i="3" l="1"/>
  <c r="AA176" i="3"/>
  <c r="U178" i="3"/>
  <c r="X177" i="3"/>
  <c r="W177" i="3"/>
  <c r="V177" i="3"/>
  <c r="AA177" i="3" l="1"/>
  <c r="Z177" i="3"/>
  <c r="U179" i="3"/>
  <c r="X178" i="3"/>
  <c r="W178" i="3"/>
  <c r="V178" i="3"/>
  <c r="Z178" i="3" l="1"/>
  <c r="AA178" i="3"/>
  <c r="U180" i="3"/>
  <c r="X179" i="3"/>
  <c r="W179" i="3"/>
  <c r="V179" i="3"/>
  <c r="AA179" i="3" l="1"/>
  <c r="Z179" i="3"/>
  <c r="U181" i="3"/>
  <c r="X180" i="3"/>
  <c r="W180" i="3"/>
  <c r="V180" i="3"/>
  <c r="AA180" i="3" l="1"/>
  <c r="Z180" i="3"/>
  <c r="U182" i="3"/>
  <c r="V181" i="3"/>
  <c r="X181" i="3"/>
  <c r="W181" i="3"/>
  <c r="AA181" i="3" l="1"/>
  <c r="Z181" i="3"/>
  <c r="U183" i="3"/>
  <c r="X182" i="3"/>
  <c r="W182" i="3"/>
  <c r="V182" i="3"/>
  <c r="Z182" i="3" l="1"/>
  <c r="AA182" i="3"/>
  <c r="U184" i="3"/>
  <c r="X183" i="3"/>
  <c r="W183" i="3"/>
  <c r="V183" i="3"/>
  <c r="AA183" i="3" l="1"/>
  <c r="Z183" i="3"/>
  <c r="U185" i="3"/>
  <c r="X184" i="3"/>
  <c r="W184" i="3"/>
  <c r="V184" i="3"/>
  <c r="AA184" i="3" l="1"/>
  <c r="Z184" i="3"/>
  <c r="U186" i="3"/>
  <c r="X185" i="3"/>
  <c r="W185" i="3"/>
  <c r="V185" i="3"/>
  <c r="AA185" i="3" l="1"/>
  <c r="Z185" i="3"/>
  <c r="U187" i="3"/>
  <c r="W186" i="3"/>
  <c r="V186" i="3"/>
  <c r="X186" i="3"/>
  <c r="Z186" i="3" l="1"/>
  <c r="AA186" i="3"/>
  <c r="U188" i="3"/>
  <c r="X187" i="3"/>
  <c r="W187" i="3"/>
  <c r="V187" i="3"/>
  <c r="Z187" i="3" l="1"/>
  <c r="AA187" i="3"/>
  <c r="U189" i="3"/>
  <c r="X188" i="3"/>
  <c r="W188" i="3"/>
  <c r="V188" i="3"/>
  <c r="AA188" i="3" l="1"/>
  <c r="Z188" i="3"/>
  <c r="U190" i="3"/>
  <c r="X189" i="3"/>
  <c r="W189" i="3"/>
  <c r="V189" i="3"/>
  <c r="Z189" i="3" l="1"/>
  <c r="AA189" i="3"/>
  <c r="U191" i="3"/>
  <c r="X190" i="3"/>
  <c r="W190" i="3"/>
  <c r="V190" i="3"/>
  <c r="Z190" i="3" l="1"/>
  <c r="AA190" i="3"/>
  <c r="U192" i="3"/>
  <c r="X191" i="3"/>
  <c r="W191" i="3"/>
  <c r="V191" i="3"/>
  <c r="AA191" i="3" l="1"/>
  <c r="Z191" i="3"/>
  <c r="U193" i="3"/>
  <c r="X192" i="3"/>
  <c r="W192" i="3"/>
  <c r="V192" i="3"/>
  <c r="AA192" i="3" l="1"/>
  <c r="Z192" i="3"/>
  <c r="U194" i="3"/>
  <c r="X193" i="3"/>
  <c r="W193" i="3"/>
  <c r="V193" i="3"/>
  <c r="Z193" i="3" l="1"/>
  <c r="AA193" i="3"/>
  <c r="U195" i="3"/>
  <c r="X194" i="3"/>
  <c r="W194" i="3"/>
  <c r="V194" i="3"/>
  <c r="AA194" i="3" l="1"/>
  <c r="Z194" i="3"/>
  <c r="U196" i="3"/>
  <c r="X195" i="3"/>
  <c r="W195" i="3"/>
  <c r="V195" i="3"/>
  <c r="AA195" i="3" l="1"/>
  <c r="Z195" i="3"/>
  <c r="U197" i="3"/>
  <c r="X196" i="3"/>
  <c r="W196" i="3"/>
  <c r="V196" i="3"/>
  <c r="Z196" i="3" l="1"/>
  <c r="AA196" i="3"/>
  <c r="U198" i="3"/>
  <c r="V197" i="3"/>
  <c r="X197" i="3"/>
  <c r="W197" i="3"/>
  <c r="AA197" i="3" l="1"/>
  <c r="U199" i="3"/>
  <c r="X198" i="3"/>
  <c r="W198" i="3"/>
  <c r="V198" i="3"/>
  <c r="Z197" i="3"/>
  <c r="AA198" i="3" l="1"/>
  <c r="Z198" i="3"/>
  <c r="U200" i="3"/>
  <c r="X199" i="3"/>
  <c r="W199" i="3"/>
  <c r="V199" i="3"/>
  <c r="Z199" i="3" l="1"/>
  <c r="AA199" i="3"/>
  <c r="U201" i="3"/>
  <c r="X200" i="3"/>
  <c r="W200" i="3"/>
  <c r="V200" i="3"/>
  <c r="AA200" i="3" l="1"/>
  <c r="Z200" i="3"/>
  <c r="U202" i="3"/>
  <c r="X201" i="3"/>
  <c r="W201" i="3"/>
  <c r="V201" i="3"/>
  <c r="AA201" i="3" l="1"/>
  <c r="Z201" i="3"/>
  <c r="U203" i="3"/>
  <c r="W202" i="3"/>
  <c r="V202" i="3"/>
  <c r="X202" i="3"/>
  <c r="Z202" i="3" l="1"/>
  <c r="AA202" i="3"/>
  <c r="U204" i="3"/>
  <c r="X203" i="3"/>
  <c r="W203" i="3"/>
  <c r="V203" i="3"/>
  <c r="AA203" i="3" l="1"/>
  <c r="Z203" i="3"/>
  <c r="U205" i="3"/>
  <c r="X204" i="3"/>
  <c r="W204" i="3"/>
  <c r="V204" i="3"/>
  <c r="AA204" i="3" l="1"/>
  <c r="Z204" i="3"/>
  <c r="U206" i="3"/>
  <c r="X205" i="3"/>
  <c r="W205" i="3"/>
  <c r="V205" i="3"/>
  <c r="Z205" i="3" l="1"/>
  <c r="AA205" i="3"/>
  <c r="U207" i="3"/>
  <c r="X206" i="3"/>
  <c r="W206" i="3"/>
  <c r="V206" i="3"/>
  <c r="Z206" i="3" l="1"/>
  <c r="AA206" i="3"/>
  <c r="U208" i="3"/>
  <c r="X207" i="3"/>
  <c r="W207" i="3"/>
  <c r="V207" i="3"/>
  <c r="AA207" i="3" l="1"/>
  <c r="Z207" i="3"/>
  <c r="U209" i="3"/>
  <c r="X208" i="3"/>
  <c r="W208" i="3"/>
  <c r="V208" i="3"/>
  <c r="AA208" i="3" l="1"/>
  <c r="Z208" i="3"/>
  <c r="U210" i="3"/>
  <c r="X209" i="3"/>
  <c r="W209" i="3"/>
  <c r="V209" i="3"/>
  <c r="AA209" i="3" l="1"/>
  <c r="Z209" i="3"/>
  <c r="U211" i="3"/>
  <c r="X210" i="3"/>
  <c r="W210" i="3"/>
  <c r="V210" i="3"/>
  <c r="AA210" i="3" l="1"/>
  <c r="Z210" i="3"/>
  <c r="U212" i="3"/>
  <c r="X211" i="3"/>
  <c r="W211" i="3"/>
  <c r="V211" i="3"/>
  <c r="AA211" i="3" l="1"/>
  <c r="Z211" i="3"/>
  <c r="U213" i="3"/>
  <c r="X212" i="3"/>
  <c r="W212" i="3"/>
  <c r="V212" i="3"/>
  <c r="Z212" i="3" l="1"/>
  <c r="AA212" i="3"/>
  <c r="U214" i="3"/>
  <c r="V213" i="3"/>
  <c r="X213" i="3"/>
  <c r="W213" i="3"/>
  <c r="AA213" i="3" l="1"/>
  <c r="Z213" i="3"/>
  <c r="U215" i="3"/>
  <c r="X214" i="3"/>
  <c r="W214" i="3"/>
  <c r="V214" i="3"/>
  <c r="AA214" i="3" l="1"/>
  <c r="Z214" i="3"/>
  <c r="U216" i="3"/>
  <c r="X215" i="3"/>
  <c r="W215" i="3"/>
  <c r="V215" i="3"/>
  <c r="AA215" i="3" l="1"/>
  <c r="Z215" i="3"/>
  <c r="U217" i="3"/>
  <c r="X216" i="3"/>
  <c r="W216" i="3"/>
  <c r="V216" i="3"/>
  <c r="AA216" i="3" l="1"/>
  <c r="Z216" i="3"/>
  <c r="U218" i="3"/>
  <c r="X217" i="3"/>
  <c r="W217" i="3"/>
  <c r="V217" i="3"/>
  <c r="AA217" i="3" l="1"/>
  <c r="Z217" i="3"/>
  <c r="U219" i="3"/>
  <c r="W218" i="3"/>
  <c r="V218" i="3"/>
  <c r="X218" i="3"/>
  <c r="Z218" i="3" l="1"/>
  <c r="AA218" i="3"/>
  <c r="U220" i="3"/>
  <c r="X219" i="3"/>
  <c r="W219" i="3"/>
  <c r="V219" i="3"/>
  <c r="Z219" i="3" l="1"/>
  <c r="AA219" i="3"/>
  <c r="U221" i="3"/>
  <c r="X220" i="3"/>
  <c r="W220" i="3"/>
  <c r="V220" i="3"/>
  <c r="AA220" i="3" l="1"/>
  <c r="Z220" i="3"/>
  <c r="U222" i="3"/>
  <c r="X221" i="3"/>
  <c r="W221" i="3"/>
  <c r="V221" i="3"/>
  <c r="AA221" i="3" l="1"/>
  <c r="Z221" i="3"/>
  <c r="U223" i="3"/>
  <c r="X222" i="3"/>
  <c r="W222" i="3"/>
  <c r="V222" i="3"/>
  <c r="AA222" i="3" l="1"/>
  <c r="Z222" i="3"/>
  <c r="U224" i="3"/>
  <c r="X223" i="3"/>
  <c r="W223" i="3"/>
  <c r="V223" i="3"/>
  <c r="AA223" i="3" l="1"/>
  <c r="Z223" i="3"/>
  <c r="U225" i="3"/>
  <c r="X224" i="3"/>
  <c r="W224" i="3"/>
  <c r="V224" i="3"/>
  <c r="AA224" i="3" l="1"/>
  <c r="Z224" i="3"/>
  <c r="U226" i="3"/>
  <c r="X225" i="3"/>
  <c r="W225" i="3"/>
  <c r="V225" i="3"/>
  <c r="Z225" i="3" l="1"/>
  <c r="AA225" i="3"/>
  <c r="U227" i="3"/>
  <c r="X226" i="3"/>
  <c r="W226" i="3"/>
  <c r="V226" i="3"/>
  <c r="AA226" i="3" l="1"/>
  <c r="Z226" i="3"/>
  <c r="U228" i="3"/>
  <c r="X227" i="3"/>
  <c r="W227" i="3"/>
  <c r="V227" i="3"/>
  <c r="AA227" i="3" l="1"/>
  <c r="Z227" i="3"/>
  <c r="U229" i="3"/>
  <c r="X228" i="3"/>
  <c r="W228" i="3"/>
  <c r="V228" i="3"/>
  <c r="AA228" i="3" l="1"/>
  <c r="Z228" i="3"/>
  <c r="U230" i="3"/>
  <c r="V229" i="3"/>
  <c r="X229" i="3"/>
  <c r="W229" i="3"/>
  <c r="AA229" i="3" l="1"/>
  <c r="Z229" i="3"/>
  <c r="U231" i="3"/>
  <c r="X230" i="3"/>
  <c r="W230" i="3"/>
  <c r="V230" i="3"/>
  <c r="AA230" i="3" l="1"/>
  <c r="Z230" i="3"/>
  <c r="U232" i="3"/>
  <c r="X231" i="3"/>
  <c r="W231" i="3"/>
  <c r="V231" i="3"/>
  <c r="AA231" i="3" l="1"/>
  <c r="Z231" i="3"/>
  <c r="U233" i="3"/>
  <c r="X232" i="3"/>
  <c r="W232" i="3"/>
  <c r="V232" i="3"/>
  <c r="AA232" i="3" l="1"/>
  <c r="Z232" i="3"/>
  <c r="U234" i="3"/>
  <c r="X233" i="3"/>
  <c r="W233" i="3"/>
  <c r="V233" i="3"/>
  <c r="AA233" i="3" l="1"/>
  <c r="Z233" i="3"/>
  <c r="U235" i="3"/>
  <c r="W234" i="3"/>
  <c r="V234" i="3"/>
  <c r="X234" i="3"/>
  <c r="Z234" i="3" l="1"/>
  <c r="AA234" i="3"/>
  <c r="U236" i="3"/>
  <c r="X235" i="3"/>
  <c r="W235" i="3"/>
  <c r="V235" i="3"/>
  <c r="AA235" i="3" l="1"/>
  <c r="Z235" i="3"/>
  <c r="U237" i="3"/>
  <c r="X236" i="3"/>
  <c r="W236" i="3"/>
  <c r="V236" i="3"/>
  <c r="AA236" i="3" l="1"/>
  <c r="Z236" i="3"/>
  <c r="U238" i="3"/>
  <c r="X237" i="3"/>
  <c r="W237" i="3"/>
  <c r="V237" i="3"/>
  <c r="AA237" i="3" l="1"/>
  <c r="Z237" i="3"/>
  <c r="U239" i="3"/>
  <c r="X238" i="3"/>
  <c r="W238" i="3"/>
  <c r="V238" i="3"/>
  <c r="AA238" i="3" l="1"/>
  <c r="Z238" i="3"/>
  <c r="U240" i="3"/>
  <c r="X239" i="3"/>
  <c r="W239" i="3"/>
  <c r="V239" i="3"/>
  <c r="AA239" i="3" l="1"/>
  <c r="Z239" i="3"/>
  <c r="U241" i="3"/>
  <c r="X240" i="3"/>
  <c r="W240" i="3"/>
  <c r="V240" i="3"/>
  <c r="Z240" i="3" l="1"/>
  <c r="AA240" i="3"/>
  <c r="U242" i="3"/>
  <c r="X241" i="3"/>
  <c r="W241" i="3"/>
  <c r="V241" i="3"/>
  <c r="AA241" i="3" l="1"/>
  <c r="Z241" i="3"/>
  <c r="U243" i="3"/>
  <c r="X242" i="3"/>
  <c r="W242" i="3"/>
  <c r="V242" i="3"/>
  <c r="AA242" i="3" l="1"/>
  <c r="Z242" i="3"/>
  <c r="U244" i="3"/>
  <c r="X243" i="3"/>
  <c r="W243" i="3"/>
  <c r="V243" i="3"/>
  <c r="AA243" i="3" l="1"/>
  <c r="Z243" i="3"/>
  <c r="U245" i="3"/>
  <c r="X244" i="3"/>
  <c r="W244" i="3"/>
  <c r="V244" i="3"/>
  <c r="AA244" i="3" l="1"/>
  <c r="Z244" i="3"/>
  <c r="U246" i="3"/>
  <c r="V245" i="3"/>
  <c r="X245" i="3"/>
  <c r="W245" i="3"/>
  <c r="AA245" i="3" l="1"/>
  <c r="Z245" i="3"/>
  <c r="U247" i="3"/>
  <c r="X246" i="3"/>
  <c r="W246" i="3"/>
  <c r="V246" i="3"/>
  <c r="AA246" i="3" l="1"/>
  <c r="Z246" i="3"/>
  <c r="U248" i="3"/>
  <c r="X247" i="3"/>
  <c r="W247" i="3"/>
  <c r="V247" i="3"/>
  <c r="AA247" i="3" l="1"/>
  <c r="Z247" i="3"/>
  <c r="U249" i="3"/>
  <c r="X248" i="3"/>
  <c r="W248" i="3"/>
  <c r="V248" i="3"/>
  <c r="Z248" i="3" l="1"/>
  <c r="AA248" i="3"/>
  <c r="U250" i="3"/>
  <c r="X249" i="3"/>
  <c r="W249" i="3"/>
  <c r="V249" i="3"/>
  <c r="AA249" i="3" l="1"/>
  <c r="Z249" i="3"/>
  <c r="U251" i="3"/>
  <c r="W250" i="3"/>
  <c r="V250" i="3"/>
  <c r="X250" i="3"/>
  <c r="Z250" i="3" l="1"/>
  <c r="AA250" i="3"/>
  <c r="U252" i="3"/>
  <c r="X251" i="3"/>
  <c r="W251" i="3"/>
  <c r="V251" i="3"/>
  <c r="AA251" i="3" l="1"/>
  <c r="Z251" i="3"/>
  <c r="U253" i="3"/>
  <c r="X252" i="3"/>
  <c r="W252" i="3"/>
  <c r="V252" i="3"/>
  <c r="Z252" i="3" l="1"/>
  <c r="AA252" i="3"/>
  <c r="U254" i="3"/>
  <c r="X253" i="3"/>
  <c r="W253" i="3"/>
  <c r="V253" i="3"/>
  <c r="Z253" i="3" l="1"/>
  <c r="AA253" i="3"/>
  <c r="U255" i="3"/>
  <c r="X254" i="3"/>
  <c r="W254" i="3"/>
  <c r="V254" i="3"/>
  <c r="Z254" i="3" l="1"/>
  <c r="AA254" i="3"/>
  <c r="U256" i="3"/>
  <c r="X255" i="3"/>
  <c r="W255" i="3"/>
  <c r="V255" i="3"/>
  <c r="Z255" i="3" l="1"/>
  <c r="AA255" i="3"/>
  <c r="U257" i="3"/>
  <c r="X256" i="3"/>
  <c r="W256" i="3"/>
  <c r="V256" i="3"/>
  <c r="Z256" i="3" l="1"/>
  <c r="AA256" i="3"/>
  <c r="U258" i="3"/>
  <c r="X257" i="3"/>
  <c r="W257" i="3"/>
  <c r="V257" i="3"/>
  <c r="AA257" i="3" l="1"/>
  <c r="Z257" i="3"/>
  <c r="U259" i="3"/>
  <c r="X258" i="3"/>
  <c r="W258" i="3"/>
  <c r="V258" i="3"/>
  <c r="AA258" i="3" l="1"/>
  <c r="Z258" i="3"/>
  <c r="U260" i="3"/>
  <c r="X259" i="3"/>
  <c r="W259" i="3"/>
  <c r="V259" i="3"/>
  <c r="AA259" i="3" l="1"/>
  <c r="Z259" i="3"/>
  <c r="U261" i="3"/>
  <c r="X260" i="3"/>
  <c r="W260" i="3"/>
  <c r="V260" i="3"/>
  <c r="Z260" i="3" l="1"/>
  <c r="AA260" i="3"/>
  <c r="U262" i="3"/>
  <c r="V261" i="3"/>
  <c r="X261" i="3"/>
  <c r="W261" i="3"/>
  <c r="AA261" i="3" l="1"/>
  <c r="Z261" i="3"/>
  <c r="U263" i="3"/>
  <c r="X262" i="3"/>
  <c r="W262" i="3"/>
  <c r="V262" i="3"/>
  <c r="AA262" i="3" l="1"/>
  <c r="Z262" i="3"/>
  <c r="U264" i="3"/>
  <c r="X263" i="3"/>
  <c r="W263" i="3"/>
  <c r="V263" i="3"/>
  <c r="AA263" i="3" l="1"/>
  <c r="Z263" i="3"/>
  <c r="U265" i="3"/>
  <c r="X264" i="3"/>
  <c r="W264" i="3"/>
  <c r="V264" i="3"/>
  <c r="AA264" i="3" l="1"/>
  <c r="Z264" i="3"/>
  <c r="U266" i="3"/>
  <c r="X265" i="3"/>
  <c r="W265" i="3"/>
  <c r="V265" i="3"/>
  <c r="AA265" i="3" l="1"/>
  <c r="Z265" i="3"/>
  <c r="U267" i="3"/>
  <c r="W266" i="3"/>
  <c r="V266" i="3"/>
  <c r="X266" i="3"/>
  <c r="Z266" i="3" l="1"/>
  <c r="AA266" i="3"/>
  <c r="U268" i="3"/>
  <c r="X267" i="3"/>
  <c r="W267" i="3"/>
  <c r="V267" i="3"/>
  <c r="AA267" i="3" l="1"/>
  <c r="Z267" i="3"/>
  <c r="U269" i="3"/>
  <c r="X268" i="3"/>
  <c r="W268" i="3"/>
  <c r="V268" i="3"/>
  <c r="AA268" i="3" l="1"/>
  <c r="Z268" i="3"/>
  <c r="U270" i="3"/>
  <c r="X269" i="3"/>
  <c r="W269" i="3"/>
  <c r="V269" i="3"/>
  <c r="AA269" i="3" l="1"/>
  <c r="Z269" i="3"/>
  <c r="U271" i="3"/>
  <c r="X270" i="3"/>
  <c r="W270" i="3"/>
  <c r="V270" i="3"/>
  <c r="Z270" i="3" l="1"/>
  <c r="AA270" i="3"/>
  <c r="U272" i="3"/>
  <c r="X271" i="3"/>
  <c r="W271" i="3"/>
  <c r="V271" i="3"/>
  <c r="AA271" i="3" l="1"/>
  <c r="Z271" i="3"/>
  <c r="U273" i="3"/>
  <c r="X272" i="3"/>
  <c r="W272" i="3"/>
  <c r="V272" i="3"/>
  <c r="Z272" i="3" l="1"/>
  <c r="AA272" i="3"/>
  <c r="U274" i="3"/>
  <c r="X273" i="3"/>
  <c r="W273" i="3"/>
  <c r="V273" i="3"/>
  <c r="Z273" i="3" l="1"/>
  <c r="AA273" i="3"/>
  <c r="U275" i="3"/>
  <c r="X274" i="3"/>
  <c r="W274" i="3"/>
  <c r="V274" i="3"/>
  <c r="AA274" i="3" l="1"/>
  <c r="Z274" i="3"/>
  <c r="U276" i="3"/>
  <c r="X275" i="3"/>
  <c r="W275" i="3"/>
  <c r="V275" i="3"/>
  <c r="AA275" i="3" l="1"/>
  <c r="Z275" i="3"/>
  <c r="U277" i="3"/>
  <c r="X276" i="3"/>
  <c r="W276" i="3"/>
  <c r="V276" i="3"/>
  <c r="AA276" i="3" l="1"/>
  <c r="Z276" i="3"/>
  <c r="U278" i="3"/>
  <c r="V277" i="3"/>
  <c r="X277" i="3"/>
  <c r="W277" i="3"/>
  <c r="AA277" i="3" l="1"/>
  <c r="Z277" i="3"/>
  <c r="U279" i="3"/>
  <c r="X278" i="3"/>
  <c r="W278" i="3"/>
  <c r="V278" i="3"/>
  <c r="AA278" i="3" l="1"/>
  <c r="Z278" i="3"/>
  <c r="U280" i="3"/>
  <c r="X279" i="3"/>
  <c r="W279" i="3"/>
  <c r="V279" i="3"/>
  <c r="Z279" i="3" l="1"/>
  <c r="AA279" i="3"/>
  <c r="U281" i="3"/>
  <c r="X280" i="3"/>
  <c r="W280" i="3"/>
  <c r="V280" i="3"/>
  <c r="AA280" i="3" l="1"/>
  <c r="Z280" i="3"/>
  <c r="U282" i="3"/>
  <c r="X281" i="3"/>
  <c r="W281" i="3"/>
  <c r="V281" i="3"/>
  <c r="AA281" i="3" l="1"/>
  <c r="Z281" i="3"/>
  <c r="U283" i="3"/>
  <c r="W282" i="3"/>
  <c r="V282" i="3"/>
  <c r="X282" i="3"/>
  <c r="Z282" i="3" l="1"/>
  <c r="AA282" i="3"/>
  <c r="U284" i="3"/>
  <c r="X283" i="3"/>
  <c r="W283" i="3"/>
  <c r="V283" i="3"/>
  <c r="Z283" i="3" l="1"/>
  <c r="AA283" i="3"/>
  <c r="U285" i="3"/>
  <c r="X284" i="3"/>
  <c r="W284" i="3"/>
  <c r="V284" i="3"/>
  <c r="AA284" i="3" l="1"/>
  <c r="Z284" i="3"/>
  <c r="U286" i="3"/>
  <c r="X285" i="3"/>
  <c r="W285" i="3"/>
  <c r="V285" i="3"/>
  <c r="AA285" i="3" l="1"/>
  <c r="Z285" i="3"/>
  <c r="U287" i="3"/>
  <c r="X286" i="3"/>
  <c r="W286" i="3"/>
  <c r="V286" i="3"/>
  <c r="Z286" i="3" l="1"/>
  <c r="AA286" i="3"/>
  <c r="U288" i="3"/>
  <c r="X287" i="3"/>
  <c r="W287" i="3"/>
  <c r="V287" i="3"/>
  <c r="AA287" i="3" l="1"/>
  <c r="Z287" i="3"/>
  <c r="U289" i="3"/>
  <c r="X288" i="3"/>
  <c r="W288" i="3"/>
  <c r="V288" i="3"/>
  <c r="Z288" i="3" l="1"/>
  <c r="AA288" i="3"/>
  <c r="U290" i="3"/>
  <c r="X289" i="3"/>
  <c r="W289" i="3"/>
  <c r="V289" i="3"/>
  <c r="AA289" i="3" l="1"/>
  <c r="Z289" i="3"/>
  <c r="U291" i="3"/>
  <c r="X290" i="3"/>
  <c r="W290" i="3"/>
  <c r="V290" i="3"/>
  <c r="AA290" i="3" l="1"/>
  <c r="Z290" i="3"/>
  <c r="U292" i="3"/>
  <c r="X291" i="3"/>
  <c r="W291" i="3"/>
  <c r="V291" i="3"/>
  <c r="AA291" i="3" l="1"/>
  <c r="Z291" i="3"/>
  <c r="U293" i="3"/>
  <c r="X292" i="3"/>
  <c r="W292" i="3"/>
  <c r="V292" i="3"/>
  <c r="AA292" i="3" l="1"/>
  <c r="Z292" i="3"/>
  <c r="U294" i="3"/>
  <c r="V293" i="3"/>
  <c r="X293" i="3"/>
  <c r="W293" i="3"/>
  <c r="AA293" i="3" l="1"/>
  <c r="Z293" i="3"/>
  <c r="U295" i="3"/>
  <c r="X294" i="3"/>
  <c r="W294" i="3"/>
  <c r="V294" i="3"/>
  <c r="AA294" i="3" l="1"/>
  <c r="Z294" i="3"/>
  <c r="U296" i="3"/>
  <c r="X295" i="3"/>
  <c r="W295" i="3"/>
  <c r="V295" i="3"/>
  <c r="Z295" i="3" l="1"/>
  <c r="AA295" i="3"/>
  <c r="U297" i="3"/>
  <c r="X296" i="3"/>
  <c r="W296" i="3"/>
  <c r="V296" i="3"/>
  <c r="AA296" i="3" l="1"/>
  <c r="Z296" i="3"/>
  <c r="U298" i="3"/>
  <c r="X297" i="3"/>
  <c r="W297" i="3"/>
  <c r="V297" i="3"/>
  <c r="AA297" i="3" l="1"/>
  <c r="Z297" i="3"/>
  <c r="U299" i="3"/>
  <c r="W298" i="3"/>
  <c r="V298" i="3"/>
  <c r="X298" i="3"/>
  <c r="Z298" i="3" l="1"/>
  <c r="AA298" i="3"/>
  <c r="U300" i="3"/>
  <c r="X299" i="3"/>
  <c r="W299" i="3"/>
  <c r="V299" i="3"/>
  <c r="AA299" i="3" l="1"/>
  <c r="Z299" i="3"/>
  <c r="U301" i="3"/>
  <c r="X300" i="3"/>
  <c r="W300" i="3"/>
  <c r="V300" i="3"/>
  <c r="AA300" i="3" l="1"/>
  <c r="Z300" i="3"/>
  <c r="U302" i="3"/>
  <c r="X301" i="3"/>
  <c r="W301" i="3"/>
  <c r="V301" i="3"/>
  <c r="Z301" i="3" l="1"/>
  <c r="AA301" i="3"/>
  <c r="U303" i="3"/>
  <c r="X302" i="3"/>
  <c r="W302" i="3"/>
  <c r="V302" i="3"/>
  <c r="AA302" i="3" l="1"/>
  <c r="Z302" i="3"/>
  <c r="U304" i="3"/>
  <c r="X303" i="3"/>
  <c r="W303" i="3"/>
  <c r="V303" i="3"/>
  <c r="AA303" i="3" l="1"/>
  <c r="Z303" i="3"/>
  <c r="U305" i="3"/>
  <c r="X304" i="3"/>
  <c r="W304" i="3"/>
  <c r="V304" i="3"/>
  <c r="AA304" i="3" l="1"/>
  <c r="Z304" i="3"/>
  <c r="U306" i="3"/>
  <c r="X305" i="3"/>
  <c r="W305" i="3"/>
  <c r="V305" i="3"/>
  <c r="AA305" i="3" l="1"/>
  <c r="Z305" i="3"/>
  <c r="U307" i="3"/>
  <c r="X306" i="3"/>
  <c r="W306" i="3"/>
  <c r="V306" i="3"/>
  <c r="AA306" i="3" l="1"/>
  <c r="Z306" i="3"/>
  <c r="U308" i="3"/>
  <c r="X307" i="3"/>
  <c r="W307" i="3"/>
  <c r="V307" i="3"/>
  <c r="AA307" i="3" l="1"/>
  <c r="Z307" i="3"/>
  <c r="U309" i="3"/>
  <c r="X308" i="3"/>
  <c r="W308" i="3"/>
  <c r="V308" i="3"/>
  <c r="AA308" i="3" l="1"/>
  <c r="Z308" i="3"/>
  <c r="U310" i="3"/>
  <c r="V309" i="3"/>
  <c r="X309" i="3"/>
  <c r="W309" i="3"/>
  <c r="AA309" i="3" l="1"/>
  <c r="Z309" i="3"/>
  <c r="U311" i="3"/>
  <c r="X310" i="3"/>
  <c r="W310" i="3"/>
  <c r="V310" i="3"/>
  <c r="AA310" i="3" l="1"/>
  <c r="Z310" i="3"/>
  <c r="U312" i="3"/>
  <c r="X311" i="3"/>
  <c r="W311" i="3"/>
  <c r="V311" i="3"/>
  <c r="AA311" i="3" l="1"/>
  <c r="Z311" i="3"/>
  <c r="U313" i="3"/>
  <c r="X312" i="3"/>
  <c r="W312" i="3"/>
  <c r="V312" i="3"/>
  <c r="AA312" i="3" l="1"/>
  <c r="Z312" i="3"/>
  <c r="U314" i="3"/>
  <c r="X313" i="3"/>
  <c r="W313" i="3"/>
  <c r="V313" i="3"/>
  <c r="AA313" i="3" l="1"/>
  <c r="Z313" i="3"/>
  <c r="U315" i="3"/>
  <c r="W314" i="3"/>
  <c r="V314" i="3"/>
  <c r="X314" i="3"/>
  <c r="Z314" i="3" l="1"/>
  <c r="AA314" i="3"/>
  <c r="U316" i="3"/>
  <c r="X315" i="3"/>
  <c r="W315" i="3"/>
  <c r="V315" i="3"/>
  <c r="Z315" i="3" l="1"/>
  <c r="AA315" i="3"/>
  <c r="U317" i="3"/>
  <c r="X316" i="3"/>
  <c r="W316" i="3"/>
  <c r="V316" i="3"/>
  <c r="AA316" i="3" l="1"/>
  <c r="Z316" i="3"/>
  <c r="U318" i="3"/>
  <c r="X317" i="3"/>
  <c r="W317" i="3"/>
  <c r="V317" i="3"/>
  <c r="AA317" i="3" l="1"/>
  <c r="Z317" i="3"/>
  <c r="U319" i="3"/>
  <c r="X318" i="3"/>
  <c r="W318" i="3"/>
  <c r="V318" i="3"/>
  <c r="AA318" i="3" l="1"/>
  <c r="Z318" i="3"/>
  <c r="U320" i="3"/>
  <c r="X319" i="3"/>
  <c r="W319" i="3"/>
  <c r="V319" i="3"/>
  <c r="Z319" i="3" l="1"/>
  <c r="AA319" i="3"/>
  <c r="U321" i="3"/>
  <c r="X320" i="3"/>
  <c r="W320" i="3"/>
  <c r="V320" i="3"/>
  <c r="Z320" i="3" l="1"/>
  <c r="AA320" i="3"/>
  <c r="U322" i="3"/>
  <c r="X321" i="3"/>
  <c r="W321" i="3"/>
  <c r="V321" i="3"/>
  <c r="Z321" i="3" l="1"/>
  <c r="AA321" i="3"/>
  <c r="U323" i="3"/>
  <c r="X322" i="3"/>
  <c r="W322" i="3"/>
  <c r="V322" i="3"/>
  <c r="AA322" i="3" l="1"/>
  <c r="Z322" i="3"/>
  <c r="U324" i="3"/>
  <c r="X323" i="3"/>
  <c r="W323" i="3"/>
  <c r="V323" i="3"/>
  <c r="AA323" i="3" l="1"/>
  <c r="Z323" i="3"/>
  <c r="U325" i="3"/>
  <c r="X324" i="3"/>
  <c r="W324" i="3"/>
  <c r="V324" i="3"/>
  <c r="AA324" i="3" l="1"/>
  <c r="Z324" i="3"/>
  <c r="U326" i="3"/>
  <c r="V325" i="3"/>
  <c r="X325" i="3"/>
  <c r="W325" i="3"/>
  <c r="AA325" i="3" l="1"/>
  <c r="Z325" i="3"/>
  <c r="U327" i="3"/>
  <c r="X326" i="3"/>
  <c r="W326" i="3"/>
  <c r="V326" i="3"/>
  <c r="Z326" i="3" l="1"/>
  <c r="AA326" i="3"/>
  <c r="U328" i="3"/>
  <c r="X327" i="3"/>
  <c r="W327" i="3"/>
  <c r="V327" i="3"/>
  <c r="AA327" i="3" l="1"/>
  <c r="Z327" i="3"/>
  <c r="U329" i="3"/>
  <c r="X328" i="3"/>
  <c r="W328" i="3"/>
  <c r="V328" i="3"/>
  <c r="AA328" i="3" l="1"/>
  <c r="Z328" i="3"/>
  <c r="U330" i="3"/>
  <c r="X329" i="3"/>
  <c r="W329" i="3"/>
  <c r="V329" i="3"/>
  <c r="AA329" i="3" l="1"/>
  <c r="Z329" i="3"/>
  <c r="U331" i="3"/>
  <c r="W330" i="3"/>
  <c r="V330" i="3"/>
  <c r="X330" i="3"/>
  <c r="Z330" i="3" l="1"/>
  <c r="AA330" i="3"/>
  <c r="U332" i="3"/>
  <c r="X331" i="3"/>
  <c r="W331" i="3"/>
  <c r="V331" i="3"/>
  <c r="AA331" i="3" l="1"/>
  <c r="Z331" i="3"/>
  <c r="U333" i="3"/>
  <c r="X332" i="3"/>
  <c r="W332" i="3"/>
  <c r="V332" i="3"/>
  <c r="AA332" i="3" l="1"/>
  <c r="Z332" i="3"/>
  <c r="U334" i="3"/>
  <c r="X333" i="3"/>
  <c r="W333" i="3"/>
  <c r="V333" i="3"/>
  <c r="AA333" i="3" l="1"/>
  <c r="Z333" i="3"/>
  <c r="U335" i="3"/>
  <c r="X334" i="3"/>
  <c r="W334" i="3"/>
  <c r="V334" i="3"/>
  <c r="AA334" i="3" l="1"/>
  <c r="U336" i="3"/>
  <c r="X335" i="3"/>
  <c r="W335" i="3"/>
  <c r="V335" i="3"/>
  <c r="Z334" i="3"/>
  <c r="AA335" i="3" l="1"/>
  <c r="Z335" i="3"/>
  <c r="U337" i="3"/>
  <c r="X336" i="3"/>
  <c r="W336" i="3"/>
  <c r="V336" i="3"/>
  <c r="AA336" i="3" l="1"/>
  <c r="Z336" i="3"/>
  <c r="U338" i="3"/>
  <c r="X337" i="3"/>
  <c r="W337" i="3"/>
  <c r="V337" i="3"/>
  <c r="AA337" i="3" l="1"/>
  <c r="Z337" i="3"/>
  <c r="U339" i="3"/>
  <c r="X338" i="3"/>
  <c r="W338" i="3"/>
  <c r="V338" i="3"/>
  <c r="Z338" i="3" l="1"/>
  <c r="AA338" i="3"/>
  <c r="U340" i="3"/>
  <c r="X339" i="3"/>
  <c r="W339" i="3"/>
  <c r="V339" i="3"/>
  <c r="AA339" i="3" l="1"/>
  <c r="Z339" i="3"/>
  <c r="U341" i="3"/>
  <c r="X340" i="3"/>
  <c r="W340" i="3"/>
  <c r="V340" i="3"/>
  <c r="Z340" i="3" l="1"/>
  <c r="AA340" i="3"/>
  <c r="U342" i="3"/>
  <c r="V341" i="3"/>
  <c r="X341" i="3"/>
  <c r="W341" i="3"/>
  <c r="AA341" i="3" l="1"/>
  <c r="Z341" i="3"/>
  <c r="U343" i="3"/>
  <c r="X342" i="3"/>
  <c r="W342" i="3"/>
  <c r="V342" i="3"/>
  <c r="AA342" i="3" l="1"/>
  <c r="Z342" i="3"/>
  <c r="U344" i="3"/>
  <c r="X343" i="3"/>
  <c r="W343" i="3"/>
  <c r="V343" i="3"/>
  <c r="AA343" i="3" l="1"/>
  <c r="Z343" i="3"/>
  <c r="U345" i="3"/>
  <c r="X344" i="3"/>
  <c r="W344" i="3"/>
  <c r="V344" i="3"/>
  <c r="AA344" i="3" l="1"/>
  <c r="Z344" i="3"/>
  <c r="U346" i="3"/>
  <c r="X345" i="3"/>
  <c r="W345" i="3"/>
  <c r="V345" i="3"/>
  <c r="AA345" i="3" l="1"/>
  <c r="Z345" i="3"/>
  <c r="U347" i="3"/>
  <c r="W346" i="3"/>
  <c r="V346" i="3"/>
  <c r="X346" i="3"/>
  <c r="Z346" i="3" l="1"/>
  <c r="AA346" i="3"/>
  <c r="U348" i="3"/>
  <c r="X347" i="3"/>
  <c r="W347" i="3"/>
  <c r="V347" i="3"/>
  <c r="AA347" i="3" l="1"/>
  <c r="Z347" i="3"/>
  <c r="U349" i="3"/>
  <c r="X348" i="3"/>
  <c r="W348" i="3"/>
  <c r="V348" i="3"/>
  <c r="AA348" i="3" l="1"/>
  <c r="Z348" i="3"/>
  <c r="U350" i="3"/>
  <c r="X349" i="3"/>
  <c r="W349" i="3"/>
  <c r="V349" i="3"/>
  <c r="AA349" i="3" l="1"/>
  <c r="Z349" i="3"/>
  <c r="U351" i="3"/>
  <c r="X350" i="3"/>
  <c r="W350" i="3"/>
  <c r="V350" i="3"/>
  <c r="AA350" i="3" l="1"/>
  <c r="Z350" i="3"/>
  <c r="U352" i="3"/>
  <c r="X351" i="3"/>
  <c r="W351" i="3"/>
  <c r="V351" i="3"/>
  <c r="AA351" i="3" l="1"/>
  <c r="Z351" i="3"/>
  <c r="U353" i="3"/>
  <c r="X352" i="3"/>
  <c r="W352" i="3"/>
  <c r="V352" i="3"/>
  <c r="Z352" i="3" l="1"/>
  <c r="AA352" i="3"/>
  <c r="U354" i="3"/>
  <c r="X353" i="3"/>
  <c r="W353" i="3"/>
  <c r="V353" i="3"/>
  <c r="AA353" i="3" l="1"/>
  <c r="Z353" i="3"/>
  <c r="U355" i="3"/>
  <c r="X354" i="3"/>
  <c r="W354" i="3"/>
  <c r="V354" i="3"/>
  <c r="AA354" i="3" l="1"/>
  <c r="Z354" i="3"/>
  <c r="U356" i="3"/>
  <c r="X355" i="3"/>
  <c r="W355" i="3"/>
  <c r="V355" i="3"/>
  <c r="AA355" i="3" l="1"/>
  <c r="Z355" i="3"/>
  <c r="U357" i="3"/>
  <c r="X356" i="3"/>
  <c r="W356" i="3"/>
  <c r="V356" i="3"/>
  <c r="AA356" i="3" l="1"/>
  <c r="Z356" i="3"/>
  <c r="U358" i="3"/>
  <c r="V357" i="3"/>
  <c r="X357" i="3"/>
  <c r="W357" i="3"/>
  <c r="AA357" i="3" l="1"/>
  <c r="Z357" i="3"/>
  <c r="U359" i="3"/>
  <c r="X358" i="3"/>
  <c r="W358" i="3"/>
  <c r="V358" i="3"/>
  <c r="AA358" i="3" l="1"/>
  <c r="Z358" i="3"/>
  <c r="U360" i="3"/>
  <c r="X359" i="3"/>
  <c r="W359" i="3"/>
  <c r="V359" i="3"/>
  <c r="Z359" i="3" l="1"/>
  <c r="AA359" i="3"/>
  <c r="U361" i="3"/>
  <c r="X360" i="3"/>
  <c r="W360" i="3"/>
  <c r="V360" i="3"/>
  <c r="AA360" i="3" l="1"/>
  <c r="Z360" i="3"/>
  <c r="U362" i="3"/>
  <c r="X361" i="3"/>
  <c r="W361" i="3"/>
  <c r="V361" i="3"/>
  <c r="AA361" i="3" l="1"/>
  <c r="Z361" i="3"/>
  <c r="U363" i="3"/>
  <c r="W362" i="3"/>
  <c r="V362" i="3"/>
  <c r="X362" i="3"/>
  <c r="Z362" i="3" l="1"/>
  <c r="AA362" i="3"/>
  <c r="U364" i="3"/>
  <c r="X363" i="3"/>
  <c r="W363" i="3"/>
  <c r="V363" i="3"/>
  <c r="Z363" i="3" l="1"/>
  <c r="AA363" i="3"/>
  <c r="U365" i="3"/>
  <c r="X364" i="3"/>
  <c r="W364" i="3"/>
  <c r="V364" i="3"/>
  <c r="AA364" i="3" l="1"/>
  <c r="Z364" i="3"/>
  <c r="U366" i="3"/>
  <c r="X365" i="3"/>
  <c r="W365" i="3"/>
  <c r="V365" i="3"/>
  <c r="AA365" i="3" l="1"/>
  <c r="Z365" i="3"/>
  <c r="X366" i="3"/>
  <c r="W366" i="3"/>
  <c r="V366" i="3"/>
  <c r="U367" i="3"/>
  <c r="AA366" i="3" l="1"/>
  <c r="Z366" i="3"/>
  <c r="U368" i="3"/>
  <c r="X367" i="3"/>
  <c r="W367" i="3"/>
  <c r="V367" i="3"/>
  <c r="Z367" i="3" l="1"/>
  <c r="AA367" i="3"/>
  <c r="V368" i="3"/>
  <c r="X368" i="3"/>
  <c r="W368" i="3"/>
  <c r="AA368" i="3" l="1"/>
  <c r="Z368" i="3"/>
</calcChain>
</file>

<file path=xl/sharedStrings.xml><?xml version="1.0" encoding="utf-8"?>
<sst xmlns="http://schemas.openxmlformats.org/spreadsheetml/2006/main" count="4214" uniqueCount="1526">
  <si>
    <t>Jan</t>
  </si>
  <si>
    <t>code</t>
  </si>
  <si>
    <t>code2</t>
  </si>
  <si>
    <t>mo</t>
  </si>
  <si>
    <t>dy</t>
  </si>
  <si>
    <t>yr</t>
  </si>
  <si>
    <t>say</t>
  </si>
  <si>
    <t>Vrolijk Kerstfeest</t>
  </si>
  <si>
    <t>Gelukkig Nieuwjaar</t>
  </si>
  <si>
    <t>lieve Marit</t>
  </si>
  <si>
    <t>Paul</t>
  </si>
  <si>
    <t xml:space="preserve">Hartelijk gefeliciteerd,  </t>
  </si>
  <si>
    <t>Vrolijk Pasen</t>
  </si>
  <si>
    <t xml:space="preserve">Eerste van de maand </t>
  </si>
  <si>
    <t>Hemelvaart</t>
  </si>
  <si>
    <t>intervalMinutes</t>
  </si>
  <si>
    <t>Alaaf!!</t>
  </si>
  <si>
    <t>Keiebijters!!</t>
  </si>
  <si>
    <t>En deh hittie naw gedonn umdettie Hellemonder is</t>
  </si>
  <si>
    <t>Tadaaaaah - tadaaaah</t>
  </si>
  <si>
    <t xml:space="preserve">Aswoensdag </t>
  </si>
  <si>
    <t xml:space="preserve"> - en nu begint de katholieke ramadan</t>
  </si>
  <si>
    <t xml:space="preserve"> - en dan nu: vasten</t>
  </si>
  <si>
    <t xml:space="preserve"> - het is  uit met de carnavalspret</t>
  </si>
  <si>
    <t>Pinksteren</t>
  </si>
  <si>
    <t xml:space="preserve"> - wat is dat ook weer??</t>
  </si>
  <si>
    <t xml:space="preserve"> - iets met vurige tongen?</t>
  </si>
  <si>
    <t xml:space="preserve"> - de Heilige Geest zien vliegen???</t>
  </si>
  <si>
    <t>Goede Vrijdag</t>
  </si>
  <si>
    <t xml:space="preserve"> - bijna Pasen</t>
  </si>
  <si>
    <t xml:space="preserve"> - geen vrije dag</t>
  </si>
  <si>
    <t xml:space="preserve"> tja, Goede Vrijdag?</t>
  </si>
  <si>
    <t xml:space="preserve"> - ook zowat</t>
  </si>
  <si>
    <t>maart</t>
  </si>
  <si>
    <t>juni</t>
  </si>
  <si>
    <t>juli</t>
  </si>
  <si>
    <t>augustus</t>
  </si>
  <si>
    <t>september</t>
  </si>
  <si>
    <t>oktober</t>
  </si>
  <si>
    <t>november</t>
  </si>
  <si>
    <t>december</t>
  </si>
  <si>
    <t>Thomas</t>
  </si>
  <si>
    <t>zoek de eitjes</t>
  </si>
  <si>
    <t>XMAS</t>
  </si>
  <si>
    <t>BLUES</t>
  </si>
  <si>
    <t>ZAPPA</t>
  </si>
  <si>
    <t>WATER</t>
  </si>
  <si>
    <t>BIRDS</t>
  </si>
  <si>
    <t>SEABIRDS</t>
  </si>
  <si>
    <t>ZEN</t>
  </si>
  <si>
    <t>LOUNGE</t>
  </si>
  <si>
    <t>WAVES</t>
  </si>
  <si>
    <t>GUITAR</t>
  </si>
  <si>
    <t>SINT</t>
  </si>
  <si>
    <t>TIBET</t>
  </si>
  <si>
    <t>WHALE</t>
  </si>
  <si>
    <t>JARIG</t>
  </si>
  <si>
    <t>JUNGLE</t>
  </si>
  <si>
    <t>SATIE</t>
  </si>
  <si>
    <t>ROUW</t>
  </si>
  <si>
    <t>year</t>
  </si>
  <si>
    <t>month</t>
  </si>
  <si>
    <t>day</t>
  </si>
  <si>
    <t>theme_box_id</t>
  </si>
  <si>
    <t>rgb1_hex</t>
  </si>
  <si>
    <t>rgb2_hex</t>
  </si>
  <si>
    <t>color_cycle_sec</t>
  </si>
  <si>
    <t>bright_cycle_sec</t>
  </si>
  <si>
    <t>gradient_speed</t>
  </si>
  <si>
    <t>center_x</t>
  </si>
  <si>
    <t>center_y</t>
  </si>
  <si>
    <t>radius</t>
  </si>
  <si>
    <t>window_width</t>
  </si>
  <si>
    <t>radius_osc</t>
  </si>
  <si>
    <t>x_amp</t>
  </si>
  <si>
    <t>y_amp</t>
  </si>
  <si>
    <t>x_cycle_sec</t>
  </si>
  <si>
    <t>y_cycle_sec</t>
  </si>
  <si>
    <t>Tweede Kerstdag</t>
  </si>
  <si>
    <t>Warm Sunset</t>
  </si>
  <si>
    <t>#FF7F00</t>
  </si>
  <si>
    <t>#552200</t>
  </si>
  <si>
    <t>Coral Reef</t>
  </si>
  <si>
    <t>Slow Breathing</t>
  </si>
  <si>
    <t>Rapid Sparks</t>
  </si>
  <si>
    <t>Wide Sweep</t>
  </si>
  <si>
    <t>Calm Center</t>
  </si>
  <si>
    <t>EASY</t>
  </si>
  <si>
    <t>WETTY</t>
  </si>
  <si>
    <t>SAD</t>
  </si>
  <si>
    <t>MED</t>
  </si>
  <si>
    <t>ALLBIRDS</t>
  </si>
  <si>
    <t>DEFAULT</t>
  </si>
  <si>
    <t>MUSIC</t>
  </si>
  <si>
    <t>inputAnnual!E6</t>
  </si>
  <si>
    <t>inputSpecial!E6</t>
  </si>
  <si>
    <t>theme</t>
  </si>
  <si>
    <t>colors</t>
  </si>
  <si>
    <t>pattern</t>
  </si>
  <si>
    <t>patern</t>
  </si>
  <si>
    <t>audio</t>
  </si>
  <si>
    <t>text1</t>
  </si>
  <si>
    <t>intervalS</t>
  </si>
  <si>
    <t>april, een april, kikker in je bil!</t>
  </si>
  <si>
    <t>Gaia</t>
  </si>
  <si>
    <t>mei- leggen alle vogeltjes een ei</t>
  </si>
  <si>
    <t>extraText</t>
  </si>
  <si>
    <t>Bevrijdingsdag</t>
  </si>
  <si>
    <t>color</t>
  </si>
  <si>
    <t>interval</t>
  </si>
  <si>
    <t xml:space="preserve"> </t>
  </si>
  <si>
    <t>waar is de paashaas??</t>
  </si>
  <si>
    <t>holadiejee</t>
  </si>
  <si>
    <t>Year</t>
  </si>
  <si>
    <t>Month</t>
  </si>
  <si>
    <t>Day</t>
  </si>
  <si>
    <t>Theme</t>
  </si>
  <si>
    <t>Color</t>
  </si>
  <si>
    <t>Pattern</t>
  </si>
  <si>
    <t>Interval</t>
  </si>
  <si>
    <t>Say</t>
  </si>
  <si>
    <t>Aswoensdag ,  - het is  uit met de carnavalspret</t>
  </si>
  <si>
    <t>Eerste van de maand maart</t>
  </si>
  <si>
    <t>Hartelijk gefeliciteerd,  Thomas</t>
  </si>
  <si>
    <t>Eerste van de maand april, een april, kikker in je bil!</t>
  </si>
  <si>
    <t>Goede Vrijdag,  - bijna Pasen</t>
  </si>
  <si>
    <t>Hartelijk gefeliciteerd,  Paul</t>
  </si>
  <si>
    <t>Eerste van de maand mei- leggen alle vogeltjes een ei</t>
  </si>
  <si>
    <t>Hartelijk gefeliciteerd,  Gaia</t>
  </si>
  <si>
    <t>Pinksteren,  - wat is dat ook weer??</t>
  </si>
  <si>
    <t>Eerste van de maand juni</t>
  </si>
  <si>
    <t>Eerste van de maand juli</t>
  </si>
  <si>
    <t>Eerste van de maand augustus</t>
  </si>
  <si>
    <t>Eerste van de maand september</t>
  </si>
  <si>
    <t>Eerste van de maand oktober</t>
  </si>
  <si>
    <t>Hartelijk gefeliciteerd,  Jan</t>
  </si>
  <si>
    <t>Eerste van de maand november</t>
  </si>
  <si>
    <t>Eerste van de maand december</t>
  </si>
  <si>
    <t>Hartelijk gefeliciteerd,  lieve Marit</t>
  </si>
  <si>
    <t>Aswoensdag ,  - en dan nu: vasten</t>
  </si>
  <si>
    <t>Goede Vrijdag,  - geen vrije dag</t>
  </si>
  <si>
    <t>Vrolijk Pasen, zoek de eitjes</t>
  </si>
  <si>
    <t>Pinksteren,  - iets met vurige tongen?</t>
  </si>
  <si>
    <t>Aswoensdag ,  - en nu begint de katholieke ramadan</t>
  </si>
  <si>
    <t>Pinksteren,  - de Heilige Geest zien vliegen???</t>
  </si>
  <si>
    <t>Goede Vrijdag,  tja, Goede Vrijdag?</t>
  </si>
  <si>
    <t>Vrolijk Pasen, waar is de paashaas??</t>
  </si>
  <si>
    <t>Goede Vrijdag,  - ook zowat</t>
  </si>
  <si>
    <t>Goede Vrijdag, holadiejee</t>
  </si>
  <si>
    <t>Cool Ocean</t>
  </si>
  <si>
    <t>#007FFF</t>
  </si>
  <si>
    <t>#005552</t>
  </si>
  <si>
    <t>Forest Green</t>
  </si>
  <si>
    <t>#228B22</t>
  </si>
  <si>
    <t>#114411</t>
  </si>
  <si>
    <t>Royal Purple</t>
  </si>
  <si>
    <t>#800080</t>
  </si>
  <si>
    <t>#400040</t>
  </si>
  <si>
    <t>Sunny Yellow</t>
  </si>
  <si>
    <t>#FFFF00</t>
  </si>
  <si>
    <t>#AAAA00</t>
  </si>
  <si>
    <t>Deep Space</t>
  </si>
  <si>
    <t>#000000</t>
  </si>
  <si>
    <t>#222222</t>
  </si>
  <si>
    <t>Candy Pink</t>
  </si>
  <si>
    <t>#FF69B4</t>
  </si>
  <si>
    <t>#AA3355</t>
  </si>
  <si>
    <t>Electric Blue</t>
  </si>
  <si>
    <t>#00FFFF</t>
  </si>
  <si>
    <t>#005555</t>
  </si>
  <si>
    <t>Fiery Red</t>
  </si>
  <si>
    <t>#FF4500</t>
  </si>
  <si>
    <t>Snow White</t>
  </si>
  <si>
    <t>#FFFFFF</t>
  </si>
  <si>
    <t>#AAAAAA</t>
  </si>
  <si>
    <t>Midnight Blue</t>
  </si>
  <si>
    <t>#191970</t>
  </si>
  <si>
    <t>#0A0A2A</t>
  </si>
  <si>
    <t>Lime Green</t>
  </si>
  <si>
    <t>#32CD32</t>
  </si>
  <si>
    <t>#116611</t>
  </si>
  <si>
    <t>Magenta Dream</t>
  </si>
  <si>
    <t>#FF00FF</t>
  </si>
  <si>
    <t>#550055</t>
  </si>
  <si>
    <t>Citrus Orange</t>
  </si>
  <si>
    <t>#FFA500</t>
  </si>
  <si>
    <t>#553300</t>
  </si>
  <si>
    <t>Ocean Teal</t>
  </si>
  <si>
    <t>#008080</t>
  </si>
  <si>
    <t>#004444</t>
  </si>
  <si>
    <t>Lavender Mist</t>
  </si>
  <si>
    <t>#E6E6FA</t>
  </si>
  <si>
    <t>#AAAAFF</t>
  </si>
  <si>
    <t>Crimson Tide</t>
  </si>
  <si>
    <t>#DC143C</t>
  </si>
  <si>
    <t>#551111</t>
  </si>
  <si>
    <t>Golden Glow</t>
  </si>
  <si>
    <t>#FFD700</t>
  </si>
  <si>
    <t>Turquoise Wave</t>
  </si>
  <si>
    <t>#40E0D0</t>
  </si>
  <si>
    <t>#116666</t>
  </si>
  <si>
    <t>Rose Blossom</t>
  </si>
  <si>
    <t>#FF007F</t>
  </si>
  <si>
    <t>#550033</t>
  </si>
  <si>
    <t>Slate Gray</t>
  </si>
  <si>
    <t>#708090</t>
  </si>
  <si>
    <t>#444455</t>
  </si>
  <si>
    <t>Amber Light</t>
  </si>
  <si>
    <t>#FFBF00</t>
  </si>
  <si>
    <t>#554400</t>
  </si>
  <si>
    <t>#FF7F50</t>
  </si>
  <si>
    <t>#552233</t>
  </si>
  <si>
    <t>Indigo Night</t>
  </si>
  <si>
    <t>#4B0082</t>
  </si>
  <si>
    <t>#220044</t>
  </si>
  <si>
    <t>Mint Fresh</t>
  </si>
  <si>
    <t>#98FF98</t>
  </si>
  <si>
    <t>#33AA33</t>
  </si>
  <si>
    <t>Peachy Keen</t>
  </si>
  <si>
    <t>#FFDAB9</t>
  </si>
  <si>
    <t>#AA7744</t>
  </si>
  <si>
    <t>Sapphire Shine</t>
  </si>
  <si>
    <t>#0F52BA</t>
  </si>
  <si>
    <t>#052A55</t>
  </si>
  <si>
    <t>Ruby Red</t>
  </si>
  <si>
    <t>#E0115F</t>
  </si>
  <si>
    <t>#550022</t>
  </si>
  <si>
    <t>Cobalt Blue</t>
  </si>
  <si>
    <t>#0047AB</t>
  </si>
  <si>
    <t>#002255</t>
  </si>
  <si>
    <t>Emerald Isle</t>
  </si>
  <si>
    <t>#50C878</t>
  </si>
  <si>
    <t>#227744</t>
  </si>
  <si>
    <t>Sunrise Pink</t>
  </si>
  <si>
    <t>#FFB6C1</t>
  </si>
  <si>
    <t>#AA5566</t>
  </si>
  <si>
    <t>Charcoal Black</t>
  </si>
  <si>
    <t>#36454F</t>
  </si>
  <si>
    <t>#222A2F</t>
  </si>
  <si>
    <t>Buttercup Yellow</t>
  </si>
  <si>
    <t>#FFFACD</t>
  </si>
  <si>
    <t>#AAAA55</t>
  </si>
  <si>
    <t>Periwinkle Blue</t>
  </si>
  <si>
    <t>#CCCCFF</t>
  </si>
  <si>
    <t>#5555AA</t>
  </si>
  <si>
    <t>Crimson Red</t>
  </si>
  <si>
    <t>Olive Green</t>
  </si>
  <si>
    <t>#808000</t>
  </si>
  <si>
    <t>#444400</t>
  </si>
  <si>
    <t>Sky Blue</t>
  </si>
  <si>
    <t>#87CEEB</t>
  </si>
  <si>
    <t>#4488AA</t>
  </si>
  <si>
    <t>Plum Purple</t>
  </si>
  <si>
    <t>#DDA0DD</t>
  </si>
  <si>
    <t>#AA55AA</t>
  </si>
  <si>
    <t>Sunset Orange</t>
  </si>
  <si>
    <t>Ice White</t>
  </si>
  <si>
    <t>#F0F8FF</t>
  </si>
  <si>
    <t>Energetic Pulse</t>
  </si>
  <si>
    <t>Radiant Glow</t>
  </si>
  <si>
    <t>Twinkling Stars</t>
  </si>
  <si>
    <t>Gentle Waves</t>
  </si>
  <si>
    <t>Vibrant Flash</t>
  </si>
  <si>
    <t>Pulsing Halo</t>
  </si>
  <si>
    <t>Dynamic Flow</t>
  </si>
  <si>
    <t>Serene Fade</t>
  </si>
  <si>
    <t>''</t>
  </si>
  <si>
    <t>' VBA-JSON v2.3.1</t>
  </si>
  <si>
    <t>' (c) Tim Hall - https://github.com/VBA-tools/VBA-JSON</t>
  </si>
  <si>
    <t>'</t>
  </si>
  <si>
    <t>' JSON Converter for VBA</t>
  </si>
  <si>
    <t>' Errors:</t>
  </si>
  <si>
    <t>' 10001 - JSON parse error</t>
  </si>
  <si>
    <t>' @class JsonConverter</t>
  </si>
  <si>
    <t>' @author tim.hall.engr@gmail.com</t>
  </si>
  <si>
    <t>' @license MIT (http://www.opensource.org/licenses/mit-license.php)</t>
  </si>
  <si>
    <t>'' ~~~~~~~~~~~~~~~~~~~~~~~~~~~~~~~~~~~~~~~~~~~~~~~~~~~~~~~~~~~~~~~~~~~~~~ '</t>
  </si>
  <si>
    <t>' Based originally on vba-json (with extensive changes)</t>
  </si>
  <si>
    <t>' BSD license included below</t>
  </si>
  <si>
    <t>' JSONLib, http://code.google.com/p/vba-json/</t>
  </si>
  <si>
    <t>' Copyright (c) 2013, Ryo Yokoyama</t>
  </si>
  <si>
    <t>' All rights reserved.</t>
  </si>
  <si>
    <t>' Redistribution and use in source and binary forms, with or without</t>
  </si>
  <si>
    <t>' modification, are permitted provided that the following conditions are met:</t>
  </si>
  <si>
    <t>'     * Redistributions of source code must retain the above copyright</t>
  </si>
  <si>
    <t>'       notice, this list of conditions and the following disclaimer.</t>
  </si>
  <si>
    <t>'     * Redistributions in binary form must reproduce the above copyright</t>
  </si>
  <si>
    <t>'       notice, this list of conditions and the following disclaimer in the</t>
  </si>
  <si>
    <t>'       documentation and/or other materials provided with the distribution.</t>
  </si>
  <si>
    <t>'     * Neither the name of the &lt;organization&gt; nor the</t>
  </si>
  <si>
    <t>'       names of its contributors may be used to endorse or promote products</t>
  </si>
  <si>
    <t>'       derived from this software without specific prior written permission.</t>
  </si>
  <si>
    <t>' THIS SOFTWARE IS PROVIDED BY THE COPYRIGHT HOLDERS AND CONTRIBUTORS "AS IS" AND</t>
  </si>
  <si>
    <t>' ANY EXPRESS OR IMPLIED WARRANTIES, INCLUDING, BUT NOT LIMITED TO, THE IMPLIED</t>
  </si>
  <si>
    <t>' WARRANTIES OF MERCHANTABILITY AND FITNESS FOR A PARTICULAR PURPOSE ARE</t>
  </si>
  <si>
    <t>' DISCLAIMED. IN NO EVENT SHALL &lt;COPYRIGHT HOLDER&gt; BE LIABLE FOR ANY</t>
  </si>
  <si>
    <t>' DIRECT, INDIRECT, INCIDENTAL, SPECIAL, EXEMPLARY, OR CONSEQUENTIAL DAMAGES</t>
  </si>
  <si>
    <t>' (INCLUDING, BUT NOT LIMITED TO, PROCUREMENT OF SUBSTITUTE GOODS OR SERVICES;</t>
  </si>
  <si>
    <t>' LOSS OF USE, DATA, OR PROFITS; OR BUSINESS INTERRUPTION) HOWEVER CAUSED AND</t>
  </si>
  <si>
    <t>' ON ANY THEORY OF LIABILITY, WHETHER IN CONTRACT, STRICT LIABILITY, OR TORT</t>
  </si>
  <si>
    <t>' (INCLUDING NEGLIGENCE OR OTHERWISE) ARISING IN ANY WAY OUT OF THE USE OF THIS</t>
  </si>
  <si>
    <t>' SOFTWARE, EVEN IF ADVISED OF THE POSSIBILITY OF SUCH DAMAGE.</t>
  </si>
  <si>
    <t>' ~~~~~~~~~~~~~~~~~~~~~~~~~~~~~~~~~~~~~~~~~~~~~~~~~~~~~~~~~~~~~~~~~~~~~~ '</t>
  </si>
  <si>
    <t>Option Explicit</t>
  </si>
  <si>
    <t>' === VBA-UTC Headers</t>
  </si>
  <si>
    <t>#If Mac Then</t>
  </si>
  <si>
    <t>#If VBA7 Then</t>
  </si>
  <si>
    <t>' 64-bit Mac (2016)</t>
  </si>
  <si>
    <t>Private Declare PtrSafe Function utc_popen Lib "/usr/lib/libc.dylib" Alias "popen" _</t>
  </si>
  <si>
    <t xml:space="preserve">    (ByVal utc_Command As String, ByVal utc_Mode As String) As LongPtr</t>
  </si>
  <si>
    <t>Private Declare PtrSafe Function utc_pclose Lib "/usr/lib/libc.dylib" Alias "pclose" _</t>
  </si>
  <si>
    <t xml:space="preserve">    (ByVal utc_File As LongPtr) As LongPtr</t>
  </si>
  <si>
    <t>Private Declare PtrSafe Function utc_fread Lib "/usr/lib/libc.dylib" Alias "fread" _</t>
  </si>
  <si>
    <t xml:space="preserve">    (ByVal utc_Buffer As String, ByVal utc_Size As LongPtr, ByVal utc_Number As LongPtr, ByVal utc_File As LongPtr) As LongPtr</t>
  </si>
  <si>
    <t>Private Declare PtrSafe Function utc_feof Lib "/usr/lib/libc.dylib" Alias "feof" _</t>
  </si>
  <si>
    <t>#Else</t>
  </si>
  <si>
    <t>' 32-bit Mac</t>
  </si>
  <si>
    <t>Private Declare Function utc_popen Lib "libc.dylib" Alias "popen" _</t>
  </si>
  <si>
    <t xml:space="preserve">    (ByVal utc_Command As String, ByVal utc_Mode As String) As Long</t>
  </si>
  <si>
    <t>Private Declare Function utc_pclose Lib "libc.dylib" Alias "pclose" _</t>
  </si>
  <si>
    <t xml:space="preserve">    (ByVal utc_File As Long) As Long</t>
  </si>
  <si>
    <t>Private Declare Function utc_fread Lib "libc.dylib" Alias "fread" _</t>
  </si>
  <si>
    <t xml:space="preserve">    (ByVal utc_Buffer As String, ByVal utc_Size As Long, ByVal utc_Number As Long, ByVal utc_File As Long) As Long</t>
  </si>
  <si>
    <t>Private Declare Function utc_feof Lib "libc.dylib" Alias "feof" _</t>
  </si>
  <si>
    <t>#End If</t>
  </si>
  <si>
    <t>#ElseIf VBA7 Then</t>
  </si>
  <si>
    <t>' http://msdn.microsoft.com/en-us/library/windows/desktop/ms724421.aspx</t>
  </si>
  <si>
    <t>' http://msdn.microsoft.com/en-us/library/windows/desktop/ms724949.aspx</t>
  </si>
  <si>
    <t>' http://msdn.microsoft.com/en-us/library/windows/desktop/ms725485.aspx</t>
  </si>
  <si>
    <t>Private Declare PtrSafe Function utc_GetTimeZoneInformation Lib "kernel32" Alias "GetTimeZoneInformation" _</t>
  </si>
  <si>
    <t xml:space="preserve">    (utc_lpTimeZoneInformation As utc_TIME_ZONE_INFORMATION) As Long</t>
  </si>
  <si>
    <t>Private Declare PtrSafe Function utc_SystemTimeToTzSpecificLocalTime Lib "kernel32" Alias "SystemTimeToTzSpecificLocalTime" _</t>
  </si>
  <si>
    <t xml:space="preserve">    (utc_lpTimeZoneInformation As utc_TIME_ZONE_INFORMATION, utc_lpUniversalTime As utc_SYSTEMTIME, utc_lpLocalTime As utc_SYSTEMTIME) As Long</t>
  </si>
  <si>
    <t>Private Declare PtrSafe Function utc_TzSpecificLocalTimeToSystemTime Lib "kernel32" Alias "TzSpecificLocalTimeToSystemTime" _</t>
  </si>
  <si>
    <t xml:space="preserve">    (utc_lpTimeZoneInformation As utc_TIME_ZONE_INFORMATION, utc_lpLocalTime As utc_SYSTEMTIME, utc_lpUniversalTime As utc_SYSTEMTIME) As Long</t>
  </si>
  <si>
    <t>Private Declare Function utc_GetTimeZoneInformation Lib "kernel32" Alias "GetTimeZoneInformation" _</t>
  </si>
  <si>
    <t>Private Declare Function utc_SystemTimeToTzSpecificLocalTime Lib "kernel32" Alias "SystemTimeToTzSpecificLocalTime" _</t>
  </si>
  <si>
    <t>Private Declare Function utc_TzSpecificLocalTimeToSystemTime Lib "kernel32" Alias "TzSpecificLocalTimeToSystemTime" _</t>
  </si>
  <si>
    <t>Private Type utc_ShellResult</t>
  </si>
  <si>
    <t xml:space="preserve">    utc_Output As String</t>
  </si>
  <si>
    <t xml:space="preserve">    utc_ExitCode As LongPtr</t>
  </si>
  <si>
    <t>End Type</t>
  </si>
  <si>
    <t xml:space="preserve">    utc_ExitCode As Long</t>
  </si>
  <si>
    <t>Private Type utc_SYSTEMTIME</t>
  </si>
  <si>
    <t xml:space="preserve">    utc_wYear As Integer</t>
  </si>
  <si>
    <t xml:space="preserve">    utc_wMonth As Integer</t>
  </si>
  <si>
    <t xml:space="preserve">    utc_wDayOfWeek As Integer</t>
  </si>
  <si>
    <t xml:space="preserve">    utc_wDay As Integer</t>
  </si>
  <si>
    <t xml:space="preserve">    utc_wHour As Integer</t>
  </si>
  <si>
    <t xml:space="preserve">    utc_wMinute As Integer</t>
  </si>
  <si>
    <t xml:space="preserve">    utc_wSecond As Integer</t>
  </si>
  <si>
    <t xml:space="preserve">    utc_wMilliseconds As Integer</t>
  </si>
  <si>
    <t>Private Type utc_TIME_ZONE_INFORMATION</t>
  </si>
  <si>
    <t xml:space="preserve">    utc_Bias As Long</t>
  </si>
  <si>
    <t xml:space="preserve">    utc_StandardName(0 To 31) As Integer</t>
  </si>
  <si>
    <t xml:space="preserve">    utc_StandardDate As utc_SYSTEMTIME</t>
  </si>
  <si>
    <t xml:space="preserve">    utc_StandardBias As Long</t>
  </si>
  <si>
    <t xml:space="preserve">    utc_DaylightName(0 To 31) As Integer</t>
  </si>
  <si>
    <t xml:space="preserve">    utc_DaylightDate As utc_SYSTEMTIME</t>
  </si>
  <si>
    <t xml:space="preserve">    utc_DaylightBias As Long</t>
  </si>
  <si>
    <t>' === End VBA-UTC</t>
  </si>
  <si>
    <t>Private Type json_Options</t>
  </si>
  <si>
    <t xml:space="preserve">    ' VBA only stores 15 significant digits, so any numbers larger than that are truncated</t>
  </si>
  <si>
    <t xml:space="preserve">    ' This can lead to issues when BIGINT's are used (e.g. for Ids or Credit Cards), as they will be invalid above 15 digits</t>
  </si>
  <si>
    <t xml:space="preserve">    ' See: http://support.microsoft.com/kb/269370</t>
  </si>
  <si>
    <t xml:space="preserve">    '</t>
  </si>
  <si>
    <t xml:space="preserve">    ' By default, VBA-JSON will use String for numbers longer than 15 characters that contain only digits</t>
  </si>
  <si>
    <t xml:space="preserve">    ' to override set `JsonConverter.JsonOptions.UseDoubleForLargeNumbers = True`</t>
  </si>
  <si>
    <t xml:space="preserve">    UseDoubleForLargeNumbers As Boolean</t>
  </si>
  <si>
    <t xml:space="preserve">    ' The JSON standard requires object keys to be quoted (" or '), use this option to allow unquoted keys</t>
  </si>
  <si>
    <t xml:space="preserve">    AllowUnquotedKeys As Boolean</t>
  </si>
  <si>
    <t xml:space="preserve">    ' The solidus (/) is not required to be escaped, use this option to escape them as \/ in ConvertToJson</t>
  </si>
  <si>
    <t xml:space="preserve">    EscapeSolidus As Boolean</t>
  </si>
  <si>
    <t>Public JsonOptions As json_Options</t>
  </si>
  <si>
    <t>' ============================================= '</t>
  </si>
  <si>
    <t>' Public Methods</t>
  </si>
  <si>
    <t>' Convert JSON string to object (Dictionary/Collection)</t>
  </si>
  <si>
    <t>' @method ParseJson</t>
  </si>
  <si>
    <t>' @param {String} json_String</t>
  </si>
  <si>
    <t>' @return {Object} (Dictionary or Collection)</t>
  </si>
  <si>
    <t>' @throws 10001 - JSON parse error</t>
  </si>
  <si>
    <t>Public Function ParseJson(ByVal JsonString As String) As Object</t>
  </si>
  <si>
    <t xml:space="preserve">    Dim json_Index As Long</t>
  </si>
  <si>
    <t xml:space="preserve">    json_Index = 1</t>
  </si>
  <si>
    <t xml:space="preserve">    ' Remove vbCr, vbLf, and vbTab from json_String</t>
  </si>
  <si>
    <t xml:space="preserve">    JsonString = VBA.Replace(VBA.Replace(VBA.Replace(JsonString, VBA.vbCr, ""), VBA.vbLf, ""), VBA.vbTab, "")</t>
  </si>
  <si>
    <t xml:space="preserve">    json_SkipSpaces JsonString, json_Index</t>
  </si>
  <si>
    <t xml:space="preserve">    Select Case VBA.Mid$(JsonString, json_Index, 1)</t>
  </si>
  <si>
    <t xml:space="preserve">    Case "{"</t>
  </si>
  <si>
    <t xml:space="preserve">        Set ParseJson = json_ParseObject(JsonString, json_Index)</t>
  </si>
  <si>
    <t xml:space="preserve">    Case "["</t>
  </si>
  <si>
    <t xml:space="preserve">        Set ParseJson = json_ParseArray(JsonString, json_Index)</t>
  </si>
  <si>
    <t xml:space="preserve">    Case Else</t>
  </si>
  <si>
    <t xml:space="preserve">        ' Error: Invalid JSON string</t>
  </si>
  <si>
    <t xml:space="preserve">        Err.Raise 10001, "JSONConverter", json_ParseErrorMessage(JsonString, json_Index, "Expecting '{' or '['")</t>
  </si>
  <si>
    <t xml:space="preserve">    End Select</t>
  </si>
  <si>
    <t>End Function</t>
  </si>
  <si>
    <t>' Convert object (Dictionary/Collection/Array) to JSON</t>
  </si>
  <si>
    <t>' @method ConvertToJson</t>
  </si>
  <si>
    <t>' @param {Variant} JsonValue (Dictionary, Collection, or Array)</t>
  </si>
  <si>
    <t>' @param {Integer|String} Whitespace "Pretty" print json with given number of spaces per indentation (Integer) or given string</t>
  </si>
  <si>
    <t>' @return {String}</t>
  </si>
  <si>
    <t>Public Function ConvertToJson(ByVal JsonValue As Variant, Optional ByVal Whitespace As Variant, Optional ByVal json_CurrentIndentation As Long = 0) As String</t>
  </si>
  <si>
    <t xml:space="preserve">    Dim json_Buffer As String</t>
  </si>
  <si>
    <t xml:space="preserve">    Dim json_BufferPosition As Long</t>
  </si>
  <si>
    <t xml:space="preserve">    Dim json_BufferLength As Long</t>
  </si>
  <si>
    <t xml:space="preserve">    Dim json_LBound As Long</t>
  </si>
  <si>
    <t xml:space="preserve">    Dim json_UBound As Long</t>
  </si>
  <si>
    <t xml:space="preserve">    Dim json_IsFirstItem As Boolean</t>
  </si>
  <si>
    <t xml:space="preserve">    Dim json_Index2D As Long</t>
  </si>
  <si>
    <t xml:space="preserve">    Dim json_LBound2D As Long</t>
  </si>
  <si>
    <t xml:space="preserve">    Dim json_UBound2D As Long</t>
  </si>
  <si>
    <t xml:space="preserve">    Dim json_IsFirstItem2D As Boolean</t>
  </si>
  <si>
    <t xml:space="preserve">    Dim json_Key As Variant</t>
  </si>
  <si>
    <t xml:space="preserve">    Dim json_Value As Variant</t>
  </si>
  <si>
    <t xml:space="preserve">    Dim json_DateStr As String</t>
  </si>
  <si>
    <t xml:space="preserve">    Dim json_Converted As String</t>
  </si>
  <si>
    <t xml:space="preserve">    Dim json_SkipItem As Boolean</t>
  </si>
  <si>
    <t xml:space="preserve">    Dim json_PrettyPrint As Boolean</t>
  </si>
  <si>
    <t xml:space="preserve">    Dim json_Indentation As String</t>
  </si>
  <si>
    <t xml:space="preserve">    Dim json_InnerIndentation As String</t>
  </si>
  <si>
    <t xml:space="preserve">    json_LBound = -1</t>
  </si>
  <si>
    <t xml:space="preserve">    json_UBound = -1</t>
  </si>
  <si>
    <t xml:space="preserve">    json_IsFirstItem = True</t>
  </si>
  <si>
    <t xml:space="preserve">    json_LBound2D = -1</t>
  </si>
  <si>
    <t xml:space="preserve">    json_UBound2D = -1</t>
  </si>
  <si>
    <t xml:space="preserve">    json_IsFirstItem2D = True</t>
  </si>
  <si>
    <t xml:space="preserve">    json_PrettyPrint = Not IsMissing(Whitespace)</t>
  </si>
  <si>
    <t xml:space="preserve">    Select Case VBA.VarType(JsonValue)</t>
  </si>
  <si>
    <t xml:space="preserve">    Case VBA.vbNull</t>
  </si>
  <si>
    <t xml:space="preserve">        ConvertToJson = "null"</t>
  </si>
  <si>
    <t xml:space="preserve">    Case VBA.vbDate</t>
  </si>
  <si>
    <t xml:space="preserve">        ' Date</t>
  </si>
  <si>
    <t xml:space="preserve">        json_DateStr = ConvertToIso(VBA.CDate(JsonValue))</t>
  </si>
  <si>
    <t xml:space="preserve">        ConvertToJson = """" &amp; json_DateStr &amp; """"</t>
  </si>
  <si>
    <t xml:space="preserve">    Case VBA.vbString</t>
  </si>
  <si>
    <t xml:space="preserve">        ' String (or large number encoded as string)</t>
  </si>
  <si>
    <t xml:space="preserve">        If Not JsonOptions.UseDoubleForLargeNumbers And json_StringIsLargeNumber(JsonValue) Then</t>
  </si>
  <si>
    <t xml:space="preserve">            ConvertToJson = JsonValue</t>
  </si>
  <si>
    <t xml:space="preserve">        Else</t>
  </si>
  <si>
    <t xml:space="preserve">            ConvertToJson = """" &amp; json_Encode(JsonValue) &amp; """"</t>
  </si>
  <si>
    <t xml:space="preserve">        End If</t>
  </si>
  <si>
    <t xml:space="preserve">    Case VBA.vbBoolean</t>
  </si>
  <si>
    <t xml:space="preserve">        If JsonValue Then</t>
  </si>
  <si>
    <t xml:space="preserve">            ConvertToJson = "true"</t>
  </si>
  <si>
    <t xml:space="preserve">            ConvertToJson = "false"</t>
  </si>
  <si>
    <t xml:space="preserve">    Case VBA.vbArray To VBA.vbArray + VBA.vbByte</t>
  </si>
  <si>
    <t xml:space="preserve">        If json_PrettyPrint Then</t>
  </si>
  <si>
    <t xml:space="preserve">            If VBA.VarType(Whitespace) = VBA.vbString Then</t>
  </si>
  <si>
    <t xml:space="preserve">                json_Indentation = VBA.String$(json_CurrentIndentation + 1, Whitespace)</t>
  </si>
  <si>
    <t xml:space="preserve">                json_InnerIndentation = VBA.String$(json_CurrentIndentation + 2, Whitespace)</t>
  </si>
  <si>
    <t xml:space="preserve">            Else</t>
  </si>
  <si>
    <t xml:space="preserve">                json_Indentation = VBA.Space$((json_CurrentIndentation + 1) * Whitespace)</t>
  </si>
  <si>
    <t xml:space="preserve">                json_InnerIndentation = VBA.Space$((json_CurrentIndentation + 2) * Whitespace)</t>
  </si>
  <si>
    <t xml:space="preserve">            End If</t>
  </si>
  <si>
    <t xml:space="preserve">        ' Array</t>
  </si>
  <si>
    <t xml:space="preserve">        json_BufferAppend json_Buffer, "[", json_BufferPosition, json_BufferLength</t>
  </si>
  <si>
    <t xml:space="preserve">        On Error Resume Next</t>
  </si>
  <si>
    <t xml:space="preserve">        json_LBound = LBound(JsonValue, 1)</t>
  </si>
  <si>
    <t xml:space="preserve">        json_UBound = UBound(JsonValue, 1)</t>
  </si>
  <si>
    <t xml:space="preserve">        json_LBound2D = LBound(JsonValue, 2)</t>
  </si>
  <si>
    <t xml:space="preserve">        json_UBound2D = UBound(JsonValue, 2)</t>
  </si>
  <si>
    <t xml:space="preserve">        If json_LBound &gt;= 0 And json_UBound &gt;= 0 Then</t>
  </si>
  <si>
    <t xml:space="preserve">            For json_Index = json_LBound To json_UBound</t>
  </si>
  <si>
    <t xml:space="preserve">                If json_IsFirstItem Then</t>
  </si>
  <si>
    <t xml:space="preserve">                    json_IsFirstItem = False</t>
  </si>
  <si>
    <t xml:space="preserve">                Else</t>
  </si>
  <si>
    <t xml:space="preserve">                    ' Append comma to previous line</t>
  </si>
  <si>
    <t xml:space="preserve">                    json_BufferAppend json_Buffer, ",", json_BufferPosition, json_BufferLength</t>
  </si>
  <si>
    <t xml:space="preserve">                End If</t>
  </si>
  <si>
    <t xml:space="preserve">                If json_LBound2D &gt;= 0 And json_UBound2D &gt;= 0 Then</t>
  </si>
  <si>
    <t xml:space="preserve">                    ' 2D Array</t>
  </si>
  <si>
    <t xml:space="preserve">                    If json_PrettyPrint Then</t>
  </si>
  <si>
    <t xml:space="preserve">                        json_BufferAppend json_Buffer, vbNewLine, json_BufferPosition, json_BufferLength</t>
  </si>
  <si>
    <t xml:space="preserve">                    End If</t>
  </si>
  <si>
    <t xml:space="preserve">                    json_BufferAppend json_Buffer, json_Indentation &amp; "[", json_BufferPosition, json_BufferLength</t>
  </si>
  <si>
    <t xml:space="preserve">                    For json_Index2D = json_LBound2D To json_UBound2D</t>
  </si>
  <si>
    <t xml:space="preserve">                        If json_IsFirstItem2D Then</t>
  </si>
  <si>
    <t xml:space="preserve">                            json_IsFirstItem2D = False</t>
  </si>
  <si>
    <t xml:space="preserve">                        Else</t>
  </si>
  <si>
    <t xml:space="preserve">                            json_BufferAppend json_Buffer, ",", json_BufferPosition, json_BufferLength</t>
  </si>
  <si>
    <t xml:space="preserve">                        End If</t>
  </si>
  <si>
    <t xml:space="preserve">                        json_Converted = ConvertToJson(JsonValue(json_Index, json_Index2D), Whitespace, json_CurrentIndentation + 2)</t>
  </si>
  <si>
    <t xml:space="preserve">                        ' For Arrays/Collections, undefined (Empty/Nothing) is treated as null</t>
  </si>
  <si>
    <t xml:space="preserve">                        If json_Converted = "" Then</t>
  </si>
  <si>
    <t xml:space="preserve">                            ' (nest to only check if converted = "")</t>
  </si>
  <si>
    <t xml:space="preserve">                            If json_IsUndefined(JsonValue(json_Index, json_Index2D)) Then</t>
  </si>
  <si>
    <t xml:space="preserve">                                json_Converted = "null"</t>
  </si>
  <si>
    <t xml:space="preserve">                            End If</t>
  </si>
  <si>
    <t xml:space="preserve">                        If json_PrettyPrint Then</t>
  </si>
  <si>
    <t xml:space="preserve">                            json_Converted = vbNewLine &amp; json_InnerIndentation &amp; json_Converted</t>
  </si>
  <si>
    <t xml:space="preserve">                        json_BufferAppend json_Buffer, json_Converted, json_BufferPosition, json_BufferLength</t>
  </si>
  <si>
    <t xml:space="preserve">                    Next json_Index2D</t>
  </si>
  <si>
    <t xml:space="preserve">                    json_BufferAppend json_Buffer, json_Indentation &amp; "]", json_BufferPosition, json_BufferLength</t>
  </si>
  <si>
    <t xml:space="preserve">                    json_IsFirstItem2D = True</t>
  </si>
  <si>
    <t xml:space="preserve">                    ' 1D Array</t>
  </si>
  <si>
    <t xml:space="preserve">                    json_Converted = ConvertToJson(JsonValue(json_Index), Whitespace, json_CurrentIndentation + 1)</t>
  </si>
  <si>
    <t xml:space="preserve">                    ' For Arrays/Collections, undefined (Empty/Nothing) is treated as null</t>
  </si>
  <si>
    <t xml:space="preserve">                    If json_Converted = "" Then</t>
  </si>
  <si>
    <t xml:space="preserve">                        ' (nest to only check if converted = "")</t>
  </si>
  <si>
    <t xml:space="preserve">                        If json_IsUndefined(JsonValue(json_Index)) Then</t>
  </si>
  <si>
    <t xml:space="preserve">                            json_Converted = "null"</t>
  </si>
  <si>
    <t xml:space="preserve">                        json_Converted = vbNewLine &amp; json_Indentation &amp; json_Converted</t>
  </si>
  <si>
    <t xml:space="preserve">                    json_BufferAppend json_Buffer, json_Converted, json_BufferPosition, json_BufferLength</t>
  </si>
  <si>
    <t xml:space="preserve">            Next json_Index</t>
  </si>
  <si>
    <t xml:space="preserve">        On Error GoTo 0</t>
  </si>
  <si>
    <t xml:space="preserve">            json_BufferAppend json_Buffer, vbNewLine, json_BufferPosition, json_BufferLength</t>
  </si>
  <si>
    <t xml:space="preserve">                json_Indentation = VBA.String$(json_CurrentIndentation, Whitespace)</t>
  </si>
  <si>
    <t xml:space="preserve">                json_Indentation = VBA.Space$(json_CurrentIndentation * Whitespace)</t>
  </si>
  <si>
    <t xml:space="preserve">        json_BufferAppend json_Buffer, json_Indentation &amp; "]", json_BufferPosition, json_BufferLength</t>
  </si>
  <si>
    <t xml:space="preserve">        ConvertToJson = json_BufferToString(json_Buffer, json_BufferPosition)</t>
  </si>
  <si>
    <t xml:space="preserve">    ' Dictionary or Collection</t>
  </si>
  <si>
    <t xml:space="preserve">    Case VBA.vbObject</t>
  </si>
  <si>
    <t xml:space="preserve">        ' Dictionary</t>
  </si>
  <si>
    <t xml:space="preserve">        If VBA.TypeName(JsonValue) = "Dictionary" Then</t>
  </si>
  <si>
    <t xml:space="preserve">            json_BufferAppend json_Buffer, "{", json_BufferPosition, json_BufferLength</t>
  </si>
  <si>
    <t xml:space="preserve">            For Each json_Key In JsonValue.Keys</t>
  </si>
  <si>
    <t xml:space="preserve">                ' For Objects, undefined (Empty/Nothing) is not added to object</t>
  </si>
  <si>
    <t xml:space="preserve">                json_Converted = ConvertToJson(JsonValue(json_Key), Whitespace, json_CurrentIndentation + 1)</t>
  </si>
  <si>
    <t xml:space="preserve">                If json_Converted = "" Then</t>
  </si>
  <si>
    <t xml:space="preserve">                    json_SkipItem = json_IsUndefined(JsonValue(json_Key))</t>
  </si>
  <si>
    <t xml:space="preserve">                    json_SkipItem = False</t>
  </si>
  <si>
    <t xml:space="preserve">                If Not json_SkipItem Then</t>
  </si>
  <si>
    <t xml:space="preserve">                    If json_IsFirstItem Then</t>
  </si>
  <si>
    <t xml:space="preserve">                        json_IsFirstItem = False</t>
  </si>
  <si>
    <t xml:space="preserve">                    Else</t>
  </si>
  <si>
    <t xml:space="preserve">                        json_BufferAppend json_Buffer, ",", json_BufferPosition, json_BufferLength</t>
  </si>
  <si>
    <t xml:space="preserve">                        json_Converted = vbNewLine &amp; json_Indentation &amp; """" &amp; json_Key &amp; """: " &amp; json_Converted</t>
  </si>
  <si>
    <t xml:space="preserve">                        json_Converted = """" &amp; json_Key &amp; """:" &amp; json_Converted</t>
  </si>
  <si>
    <t xml:space="preserve">            Next json_Key</t>
  </si>
  <si>
    <t xml:space="preserve">            If json_PrettyPrint Then</t>
  </si>
  <si>
    <t xml:space="preserve">                json_BufferAppend json_Buffer, vbNewLine, json_BufferPosition, json_BufferLength</t>
  </si>
  <si>
    <t xml:space="preserve">                If VBA.VarType(Whitespace) = VBA.vbString Then</t>
  </si>
  <si>
    <t xml:space="preserve">                    json_Indentation = VBA.String$(json_CurrentIndentation, Whitespace)</t>
  </si>
  <si>
    <t xml:space="preserve">                    json_Indentation = VBA.Space$(json_CurrentIndentation * Whitespace)</t>
  </si>
  <si>
    <t xml:space="preserve">            json_BufferAppend json_Buffer, json_Indentation &amp; "}", json_BufferPosition, json_BufferLength</t>
  </si>
  <si>
    <t xml:space="preserve">        ' Collection</t>
  </si>
  <si>
    <t xml:space="preserve">        ElseIf VBA.TypeName(JsonValue) = "Collection" Then</t>
  </si>
  <si>
    <t xml:space="preserve">            json_BufferAppend json_Buffer, "[", json_BufferPosition, json_BufferLength</t>
  </si>
  <si>
    <t xml:space="preserve">            For Each json_Value In JsonValue</t>
  </si>
  <si>
    <t xml:space="preserve">                json_Converted = ConvertToJson(json_Value, Whitespace, json_CurrentIndentation + 1)</t>
  </si>
  <si>
    <t xml:space="preserve">                ' For Arrays/Collections, undefined (Empty/Nothing) is treated as null</t>
  </si>
  <si>
    <t xml:space="preserve">                    ' (nest to only check if converted = "")</t>
  </si>
  <si>
    <t xml:space="preserve">                    If json_IsUndefined(json_Value) Then</t>
  </si>
  <si>
    <t xml:space="preserve">                        json_Converted = "null"</t>
  </si>
  <si>
    <t xml:space="preserve">                If json_PrettyPrint Then</t>
  </si>
  <si>
    <t xml:space="preserve">                    json_Converted = vbNewLine &amp; json_Indentation &amp; json_Converted</t>
  </si>
  <si>
    <t xml:space="preserve">                json_BufferAppend json_Buffer, json_Converted, json_BufferPosition, json_BufferLength</t>
  </si>
  <si>
    <t xml:space="preserve">            Next json_Value</t>
  </si>
  <si>
    <t xml:space="preserve">            json_BufferAppend json_Buffer, json_Indentation &amp; "]", json_BufferPosition, json_BufferLength</t>
  </si>
  <si>
    <t xml:space="preserve">    Case VBA.vbInteger, VBA.vbLong, VBA.vbSingle, VBA.vbDouble, VBA.vbCurrency, VBA.vbDecimal</t>
  </si>
  <si>
    <t xml:space="preserve">        ' Number (use decimals for numbers)</t>
  </si>
  <si>
    <t xml:space="preserve">        ConvertToJson = VBA.Replace(JsonValue, ",", ".")</t>
  </si>
  <si>
    <t xml:space="preserve">        ' vbEmpty, vbError, vbDataObject, vbByte, vbUserDefinedType</t>
  </si>
  <si>
    <t xml:space="preserve">        ' Use VBA's built-in to-string</t>
  </si>
  <si>
    <t xml:space="preserve">        ConvertToJson = JsonValue</t>
  </si>
  <si>
    <t>' Private Functions</t>
  </si>
  <si>
    <t>Private Function json_ParseObject(json_String As String, ByRef json_Index As Long) As Dictionary</t>
  </si>
  <si>
    <t xml:space="preserve">    Dim json_Key As String</t>
  </si>
  <si>
    <t xml:space="preserve">    Dim json_NextChar As String</t>
  </si>
  <si>
    <t xml:space="preserve">    Set json_ParseObject = New Dictionary</t>
  </si>
  <si>
    <t xml:space="preserve">    json_SkipSpaces json_String, json_Index</t>
  </si>
  <si>
    <t xml:space="preserve">    If VBA.Mid$(json_String, json_Index, 1) &lt;&gt; "{" Then</t>
  </si>
  <si>
    <t xml:space="preserve">        Err.Raise 10001, "JSONConverter", json_ParseErrorMessage(json_String, json_Index, "Expecting '{'")</t>
  </si>
  <si>
    <t xml:space="preserve">    Else</t>
  </si>
  <si>
    <t xml:space="preserve">        json_Index = json_Index + 1</t>
  </si>
  <si>
    <t xml:space="preserve">        Do</t>
  </si>
  <si>
    <t xml:space="preserve">            json_SkipSpaces json_String, json_Index</t>
  </si>
  <si>
    <t xml:space="preserve">            If VBA.Mid$(json_String, json_Index, 1) = "}" Then</t>
  </si>
  <si>
    <t xml:space="preserve">                json_Index = json_Index + 1</t>
  </si>
  <si>
    <t xml:space="preserve">                Exit Function</t>
  </si>
  <si>
    <t xml:space="preserve">            ElseIf VBA.Mid$(json_String, json_Index, 1) = "," Then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</si>
  <si>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</si>
  <si>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</si>
  <si>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</si>
  <si>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If json_NextChar = "[" Or json_NextChar = "{" Then</t>
  </si>
  <si>
    <t xml:space="preserve">                Set json_ParseObject.item(json_Key) = json_ParseValue(json_String, json_Index)</t>
  </si>
  <si>
    <t xml:space="preserve">                json_ParseObject.item(json_Key) = json_ParseValue(json_String, json_Index)</t>
  </si>
  <si>
    <t xml:space="preserve">        Loop</t>
  </si>
  <si>
    <t xml:space="preserve">    End If</t>
  </si>
  <si>
    <t>Private Function json_ParseArray(json_String As String, ByRef json_Index As Long) As Collection</t>
  </si>
  <si>
    <t xml:space="preserve">    Set json_ParseArray = New Collection</t>
  </si>
  <si>
    <t xml:space="preserve">    If VBA.Mid$(json_String, json_Index, 1) &lt;&gt; "[" Then</t>
  </si>
  <si>
    <t xml:space="preserve">        Err.Raise 10001, "JSONConverter", json_ParseErrorMessage(json_String, json_Index, "Expecting '['")</t>
  </si>
  <si>
    <t xml:space="preserve">            If VBA.Mid$(json_String, json_Index, 1) = "]" Then</t>
  </si>
  <si>
    <t xml:space="preserve">            json_ParseArray.Add json_ParseValue(json_String, json_Index)</t>
  </si>
  <si>
    <t>Private Function json_ParseValue(json_String As String, ByRef json_Index As Long) As Variant</t>
  </si>
  <si>
    <t xml:space="preserve">    Select Case VBA.Mid$(json_String, json_Index, 1)</t>
  </si>
  <si>
    <t xml:space="preserve">        Set json_ParseValue = json_ParseObject(json_String, json_Index)</t>
  </si>
  <si>
    <t xml:space="preserve">        Set json_ParseValue = json_ParseArray(json_String, json_Index)</t>
  </si>
  <si>
    <t xml:space="preserve">    Case """", "'"</t>
  </si>
  <si>
    <t xml:space="preserve">        json_ParseValue = json_ParseString(json_String, json_Index)</t>
  </si>
  <si>
    <t xml:space="preserve">        If VBA.Mid$(json_String, json_Index, 4) = "true" Then</t>
  </si>
  <si>
    <t xml:space="preserve">            json_ParseValue = True</t>
  </si>
  <si>
    <t xml:space="preserve">            json_Index = json_Index + 4</t>
  </si>
  <si>
    <t xml:space="preserve">        ElseIf VBA.Mid$(json_String, json_Index, 5) = "false" Then</t>
  </si>
  <si>
    <t xml:space="preserve">            json_ParseValue = False</t>
  </si>
  <si>
    <t xml:space="preserve">            json_Index = json_Index + 5</t>
  </si>
  <si>
    <t xml:space="preserve">        ElseIf VBA.Mid$(json_String, json_Index, 4) = "null" Then</t>
  </si>
  <si>
    <t xml:space="preserve">            json_ParseValue = Null</t>
  </si>
  <si>
    <t xml:space="preserve">        ElseIf VBA.InStr("+-0123456789", VBA.Mid$(json_String, json_Index, 1)) Then</t>
  </si>
  <si>
    <t xml:space="preserve">            json_ParseValue = json_ParseNumber(json_String, json_Index)</t>
  </si>
  <si>
    <t xml:space="preserve">            Err.Raise 10001, "JSONConverter", json_ParseErrorMessage(json_String, json_Index, "Expecting 'STRING', 'NUMBER', null, true, false, '{', or '['")</t>
  </si>
  <si>
    <t>Private Function json_ParseString(json_String As String, ByRef json_Index As Long) As String</t>
  </si>
  <si>
    <t xml:space="preserve">    Dim json_Quote As String</t>
  </si>
  <si>
    <t xml:space="preserve">    Dim json_Char As String</t>
  </si>
  <si>
    <t xml:space="preserve">    Dim json_Code As String</t>
  </si>
  <si>
    <t xml:space="preserve">    ' Store opening quote to look for matching closing quote</t>
  </si>
  <si>
    <t xml:space="preserve">    json_Quote = VBA.Mid$(json_String, json_Index, 1)</t>
  </si>
  <si>
    <t xml:space="preserve">    json_Index = json_Index + 1</t>
  </si>
  <si>
    <t xml:space="preserve">    Do While json_Index &gt; 0 And json_Index &lt;= Len(json_String)</t>
  </si>
  <si>
    <t xml:space="preserve">        json_Char = VBA.Mid$(json_String, json_Index, 1)</t>
  </si>
  <si>
    <t xml:space="preserve">        Select Case json_Char</t>
  </si>
  <si>
    <t xml:space="preserve">        Case "\"</t>
  </si>
  <si>
    <t xml:space="preserve">            ' Escaped string, \\, or \/</t>
  </si>
  <si>
    <t xml:space="preserve">            json_Index = json_Index + 1</t>
  </si>
  <si>
    <t xml:space="preserve">            json_Char = VBA.Mid$(json_String, json_Index, 1)</t>
  </si>
  <si>
    <t xml:space="preserve">            Select Case json_Char</t>
  </si>
  <si>
    <t xml:space="preserve">            Case """", "\", "/", "'"</t>
  </si>
  <si>
    <t xml:space="preserve">                json_BufferAppend json_Buffer, json_Char, json_BufferPosition, json_BufferLength</t>
  </si>
  <si>
    <t xml:space="preserve">            Case "b"</t>
  </si>
  <si>
    <t xml:space="preserve">                json_BufferAppend json_Buffer, vbBack, json_BufferPosition, json_BufferLength</t>
  </si>
  <si>
    <t xml:space="preserve">            Case "f"</t>
  </si>
  <si>
    <t xml:space="preserve">                json_BufferAppend json_Buffer, vbFormFeed, json_BufferPosition, json_BufferLength</t>
  </si>
  <si>
    <t xml:space="preserve">            Case "n"</t>
  </si>
  <si>
    <t xml:space="preserve">                json_BufferAppend json_Buffer, vbCrLf, json_BufferPosition, json_BufferLength</t>
  </si>
  <si>
    <t xml:space="preserve">            Case "r"</t>
  </si>
  <si>
    <t xml:space="preserve">                json_BufferAppend json_Buffer, vbCr, json_BufferPosition, json_BufferLength</t>
  </si>
  <si>
    <t xml:space="preserve">            Case "t"</t>
  </si>
  <si>
    <t xml:space="preserve">                json_BufferAppend json_Buffer, vbTab, json_BufferPosition, json_BufferLength</t>
  </si>
  <si>
    <t xml:space="preserve">            Case "u"</t>
  </si>
  <si>
    <t xml:space="preserve">                ' Unicode character escape (e.g. \u00a9 = Copyright)</t>
  </si>
  <si>
    <t xml:space="preserve">                json_Code = VBA.Mid$(json_String, json_Index, 4)</t>
  </si>
  <si>
    <t xml:space="preserve">                json_BufferAppend json_Buffer, VBA.ChrW(VBA.Val("&amp;h" + json_Code)), json_BufferPosition, json_BufferLength</t>
  </si>
  <si>
    <t xml:space="preserve">                json_Index = json_Index + 4</t>
  </si>
  <si>
    <t xml:space="preserve">            End Select</t>
  </si>
  <si>
    <t xml:space="preserve">        Case json_Quote</t>
  </si>
  <si>
    <t xml:space="preserve">            json_ParseString = json_BufferToString(json_Buffer, json_BufferPosition)</t>
  </si>
  <si>
    <t xml:space="preserve">            Exit Function</t>
  </si>
  <si>
    <t xml:space="preserve">        Case Else</t>
  </si>
  <si>
    <t xml:space="preserve">            json_BufferAppend json_Buffer, json_Char, json_BufferPosition, json_BufferLength</t>
  </si>
  <si>
    <t xml:space="preserve">        End Select</t>
  </si>
  <si>
    <t xml:space="preserve">    Loop</t>
  </si>
  <si>
    <t>Private Function json_ParseNumber(json_String As String, ByRef json_Index As Long) As Variant</t>
  </si>
  <si>
    <t xml:space="preserve">    Dim json_Value As String</t>
  </si>
  <si>
    <t xml:space="preserve">    Dim json_IsLargeNumber As Boolean</t>
  </si>
  <si>
    <t xml:space="preserve">        If VBA.InStr("+-0123456789.eE", json_Char) Then</t>
  </si>
  <si>
    <t xml:space="preserve">            ' Unlikely to have massive number, so use simple append rather than buffer here</t>
  </si>
  <si>
    <t xml:space="preserve">            json_Value = json_Value &amp; json_Char</t>
  </si>
  <si>
    <t xml:space="preserve">            ' Excel only stores 15 significant digits, so any numbers larger than that are truncated</t>
  </si>
  <si>
    <t xml:space="preserve">            ' This can lead to issues when BIGINT's are used (e.g. for Ids or Credit Cards), as they will be invalid above 15 digits</t>
  </si>
  <si>
    <t xml:space="preserve">            ' See: http://support.microsoft.com/kb/269370</t>
  </si>
  <si>
    <t xml:space="preserve">            '</t>
  </si>
  <si>
    <t xml:space="preserve">            ' Fix: Parse -&gt; String, Convert -&gt; String longer than 15/16 characters containing only numbers and decimal points -&gt; Number</t>
  </si>
  <si>
    <t xml:space="preserve">            ' (decimal doesn't factor into significant digit count, so if present check for 15 digits + decimal = 16)</t>
  </si>
  <si>
    <t xml:space="preserve">            json_IsLargeNumber = IIf(InStr(json_Value, "."), Len(json_Value) &gt;= 17, Len(json_Value) &gt;= 16)</t>
  </si>
  <si>
    <t xml:space="preserve">            If Not JsonOptions.UseDoubleForLargeNumbers And json_IsLargeNumber Then</t>
  </si>
  <si>
    <t xml:space="preserve">                json_ParseNumber = json_Value</t>
  </si>
  <si>
    <t xml:space="preserve">                ' VBA.Val does not use regional settings, so guard for comma is not needed</t>
  </si>
  <si>
    <t xml:space="preserve">                json_ParseNumber = VBA.Val(json_Value)</t>
  </si>
  <si>
    <t>Private Function json_ParseKey(json_String As String, ByRef json_Index As Long) As String</t>
  </si>
  <si>
    <t xml:space="preserve">    ' Parse key with single or double quotes</t>
  </si>
  <si>
    <t xml:space="preserve">    If VBA.Mid$(json_String, json_Index, 1) = """" Or VBA.Mid$(json_String, json_Index, 1) = "'" Then</t>
  </si>
  <si>
    <t xml:space="preserve">        json_ParseKey = json_ParseString(json_String, json_Index)</t>
  </si>
  <si>
    <t xml:space="preserve">    ElseIf JsonOptions.AllowUnquotedKeys Then</t>
  </si>
  <si>
    <t xml:space="preserve">        Dim json_Char As String</t>
  </si>
  <si>
    <t xml:space="preserve">        Do While json_Index &gt; 0 And json_Index &lt;= Len(json_String)</t>
  </si>
  <si>
    <t xml:space="preserve">            If (json_Char &lt;&gt; " ") And (json_Char &lt;&gt; ":") Then</t>
  </si>
  <si>
    <t xml:space="preserve">                json_ParseKey = json_ParseKey &amp; json_Char</t>
  </si>
  <si>
    <t xml:space="preserve">                Exit Do</t>
  </si>
  <si>
    <t xml:space="preserve">        Err.Raise 10001, "JSONConverter", json_ParseErrorMessage(json_String, json_Index, "Expecting '""' or '''")</t>
  </si>
  <si>
    <t xml:space="preserve">    ' Check for colon and skip if present or throw if not present</t>
  </si>
  <si>
    <t xml:space="preserve">    If VBA.Mid$(json_String, json_Index, 1) &lt;&gt; ":" Then</t>
  </si>
  <si>
    <t xml:space="preserve">        Err.Raise 10001, "JSONConverter", json_ParseErrorMessage(json_String, json_Index, "Expecting ':'")</t>
  </si>
  <si>
    <t>Private Function json_IsUndefined(ByVal json_Value As Variant) As Boolean</t>
  </si>
  <si>
    <t xml:space="preserve">    ' Empty / Nothing -&gt; undefined</t>
  </si>
  <si>
    <t xml:space="preserve">    Select Case VBA.VarType(json_Value)</t>
  </si>
  <si>
    <t xml:space="preserve">    Case VBA.vbEmpty</t>
  </si>
  <si>
    <t xml:space="preserve">        json_IsUndefined = True</t>
  </si>
  <si>
    <t xml:space="preserve">        Select Case VBA.TypeName(json_Value)</t>
  </si>
  <si>
    <t xml:space="preserve">        Case "Empty", "Nothing"</t>
  </si>
  <si>
    <t xml:space="preserve">            json_IsUndefined = True</t>
  </si>
  <si>
    <t>Private Function json_Encode(ByVal json_Text As Variant) As String</t>
  </si>
  <si>
    <t xml:space="preserve">    ' Reference: http://www.ietf.org/rfc/rfc4627.txt</t>
  </si>
  <si>
    <t xml:space="preserve">    ' Escape: ", \, /, backspace, form feed, line feed, carriage return, tab</t>
  </si>
  <si>
    <t xml:space="preserve">    Dim json_AscCode As Long</t>
  </si>
  <si>
    <t xml:space="preserve">    For json_Index = 1 To VBA.Len(json_Text)</t>
  </si>
  <si>
    <t xml:space="preserve">        json_Char = VBA.Mid$(json_Text, json_Index, 1)</t>
  </si>
  <si>
    <t xml:space="preserve">        json_AscCode = VBA.AscW(json_Char)</t>
  </si>
  <si>
    <t xml:space="preserve">        ' When AscW returns a negative number, it returns the twos complement form of that number.</t>
  </si>
  <si>
    <t xml:space="preserve">        ' To convert the twos complement notation into normal binary notation, add 0xFFF to the return result.</t>
  </si>
  <si>
    <t xml:space="preserve">        ' https://support.microsoft.com/en-us/kb/272138</t>
  </si>
  <si>
    <t xml:space="preserve">        If json_AscCode &lt; 0 Then</t>
  </si>
  <si>
    <t xml:space="preserve">            json_AscCode = json_AscCode + 65536</t>
  </si>
  <si>
    <t xml:space="preserve">        ' From spec, ", \, and control characters must be escaped (solidus is optional)</t>
  </si>
  <si>
    <t xml:space="preserve">        Select Case json_AscCode</t>
  </si>
  <si>
    <t xml:space="preserve">        Case 34</t>
  </si>
  <si>
    <t xml:space="preserve">            ' " -&gt; 34 -&gt; \"</t>
  </si>
  <si>
    <t xml:space="preserve">            json_Char = "\"""</t>
  </si>
  <si>
    <t xml:space="preserve">        Case 92</t>
  </si>
  <si>
    <t xml:space="preserve">            ' \ -&gt; 92 -&gt; \\</t>
  </si>
  <si>
    <t xml:space="preserve">            json_Char = "\\"</t>
  </si>
  <si>
    <t xml:space="preserve">        Case 47</t>
  </si>
  <si>
    <t xml:space="preserve">            ' / -&gt; 47 -&gt; \/ (optional)</t>
  </si>
  <si>
    <t xml:space="preserve">            If JsonOptions.EscapeSolidus Then</t>
  </si>
  <si>
    <t xml:space="preserve">                json_Char = "\/"</t>
  </si>
  <si>
    <t xml:space="preserve">        Case 8</t>
  </si>
  <si>
    <t xml:space="preserve">            ' backspace -&gt; 8 -&gt; \b</t>
  </si>
  <si>
    <t xml:space="preserve">            json_Char = "\b"</t>
  </si>
  <si>
    <t xml:space="preserve">        Case 12</t>
  </si>
  <si>
    <t xml:space="preserve">            ' form feed -&gt; 12 -&gt; \f</t>
  </si>
  <si>
    <t xml:space="preserve">            json_Char = "\f"</t>
  </si>
  <si>
    <t xml:space="preserve">        Case 10</t>
  </si>
  <si>
    <t xml:space="preserve">            ' line feed -&gt; 10 -&gt; \n</t>
  </si>
  <si>
    <t xml:space="preserve">            json_Char = "\n"</t>
  </si>
  <si>
    <t xml:space="preserve">        Case 13</t>
  </si>
  <si>
    <t xml:space="preserve">            ' carriage return -&gt; 13 -&gt; \r</t>
  </si>
  <si>
    <t xml:space="preserve">            json_Char = "\r"</t>
  </si>
  <si>
    <t xml:space="preserve">        Case 9</t>
  </si>
  <si>
    <t xml:space="preserve">            ' tab -&gt; 9 -&gt; \t</t>
  </si>
  <si>
    <t xml:space="preserve">            json_Char = "\t"</t>
  </si>
  <si>
    <t xml:space="preserve">        Case 0 To 31, 127 To 65535</t>
  </si>
  <si>
    <t xml:space="preserve">            ' Non-ascii characters -&gt; convert to 4-digit hex</t>
  </si>
  <si>
    <t xml:space="preserve">            json_Char = "\u" &amp; VBA.Right$("0000" &amp; VBA.Hex$(json_AscCode), 4)</t>
  </si>
  <si>
    <t xml:space="preserve">        json_BufferAppend json_Buffer, json_Char, json_BufferPosition, json_BufferLength</t>
  </si>
  <si>
    <t xml:space="preserve">    Next json_Index</t>
  </si>
  <si>
    <t xml:space="preserve">    json_Encode = json_BufferToString(json_Buffer, json_BufferPosition)</t>
  </si>
  <si>
    <t>Private Function json_Peek(json_String As String, ByVal json_Index As Long, Optional json_NumberOfCharacters As Long = 1) As String</t>
  </si>
  <si>
    <t xml:space="preserve">    ' "Peek" at the next number of characters without incrementing json_Index (ByVal instead of ByRef)</t>
  </si>
  <si>
    <t xml:space="preserve">    json_Peek = VBA.Mid$(json_String, json_Index, json_NumberOfCharacters)</t>
  </si>
  <si>
    <t>Private Sub json_SkipSpaces(json_String As String, ByRef json_Index As Long)</t>
  </si>
  <si>
    <t xml:space="preserve">    ' Increment index to skip over spaces</t>
  </si>
  <si>
    <t xml:space="preserve">    Do While json_Index &gt; 0 And json_Index &lt;= VBA.Len(json_String) And VBA.Mid$(json_String, json_Index, 1) = " "</t>
  </si>
  <si>
    <t>End Sub</t>
  </si>
  <si>
    <t>Private Function json_StringIsLargeNumber(json_String As Variant) As Boolean</t>
  </si>
  <si>
    <t xml:space="preserve">    ' Check if the given string is considered a "large number"</t>
  </si>
  <si>
    <t xml:space="preserve">    ' (See json_ParseNumber)</t>
  </si>
  <si>
    <t xml:space="preserve">    Dim json_Length As Long</t>
  </si>
  <si>
    <t xml:space="preserve">    Dim json_CharIndex As Long</t>
  </si>
  <si>
    <t xml:space="preserve">    json_Length = VBA.Len(json_String)</t>
  </si>
  <si>
    <t xml:space="preserve">    ' Length with be at least 16 characters and assume will be less than 100 characters</t>
  </si>
  <si>
    <t xml:space="preserve">    If json_Length &gt;= 16 And json_Length &lt;= 100 Then</t>
  </si>
  <si>
    <t xml:space="preserve">        Dim json_CharCode As String</t>
  </si>
  <si>
    <t xml:space="preserve">        json_StringIsLargeNumber = True</t>
  </si>
  <si>
    <t xml:space="preserve">        For json_CharIndex = 1 To json_Length</t>
  </si>
  <si>
    <t xml:space="preserve">            json_CharCode = VBA.Asc(VBA.Mid$(json_String, json_CharIndex, 1))</t>
  </si>
  <si>
    <t xml:space="preserve">            Select Case json_CharCode</t>
  </si>
  <si>
    <t xml:space="preserve">            ' Look for .|0-9|E|e</t>
  </si>
  <si>
    <t xml:space="preserve">            Case 46, 48 To 57, 69, 101</t>
  </si>
  <si>
    <t xml:space="preserve">                ' Continue through characters</t>
  </si>
  <si>
    <t xml:space="preserve">            Case Else</t>
  </si>
  <si>
    <t xml:space="preserve">                json_StringIsLargeNumber = False</t>
  </si>
  <si>
    <t xml:space="preserve">        Next json_CharIndex</t>
  </si>
  <si>
    <t>Private Function json_ParseErrorMessage(json_String As String, ByRef json_Index As Long, ErrorMessage As String)</t>
  </si>
  <si>
    <t xml:space="preserve">    ' Provide detailed parse error message, including details of where and what occurred</t>
  </si>
  <si>
    <t xml:space="preserve">    ' Example:</t>
  </si>
  <si>
    <t xml:space="preserve">    ' Error parsing JSON:</t>
  </si>
  <si>
    <t xml:space="preserve">    ' {"abcde":True}</t>
  </si>
  <si>
    <t xml:space="preserve">    '          ^</t>
  </si>
  <si>
    <t xml:space="preserve">    ' Expecting 'STRING', 'NUMBER', null, true, false, '{', or '['</t>
  </si>
  <si>
    <t xml:space="preserve">    Dim json_StartIndex As Long</t>
  </si>
  <si>
    <t xml:space="preserve">    Dim json_StopIndex As Long</t>
  </si>
  <si>
    <t xml:space="preserve">    ' Include 10 characters before and after error (if possible)</t>
  </si>
  <si>
    <t xml:space="preserve">    json_StartIndex = json_Index - 10</t>
  </si>
  <si>
    <t xml:space="preserve">    json_StopIndex = json_Index + 10</t>
  </si>
  <si>
    <t xml:space="preserve">    If json_StartIndex &lt;= 0 Then</t>
  </si>
  <si>
    <t xml:space="preserve">        json_StartIndex = 1</t>
  </si>
  <si>
    <t xml:space="preserve">    If json_StopIndex &gt; VBA.Len(json_String) Then</t>
  </si>
  <si>
    <t xml:space="preserve">        json_StopIndex = VBA.Len(json_String)</t>
  </si>
  <si>
    <t xml:space="preserve">    json_ParseErrorMessage = "Error parsing JSON:" &amp; VBA.vbNewLine &amp; _</t>
  </si>
  <si>
    <t xml:space="preserve">                             VBA.Mid$(json_String, json_StartIndex, json_StopIndex - json_StartIndex + 1) &amp; VBA.vbNewLine &amp; _</t>
  </si>
  <si>
    <t xml:space="preserve">                             VBA.Space$(json_Index - json_StartIndex) &amp; "^" &amp; VBA.vbNewLine &amp; _</t>
  </si>
  <si>
    <t xml:space="preserve">                             ErrorMessage</t>
  </si>
  <si>
    <t>Private Sub json_BufferAppend(ByRef json_Buffer As String, _</t>
  </si>
  <si>
    <t xml:space="preserve">                              ByRef json_Append As Variant, _</t>
  </si>
  <si>
    <t xml:space="preserve">                              ByRef json_BufferPosition As Long, _</t>
  </si>
  <si>
    <t xml:space="preserve">                              ByRef json_BufferLength As Long)</t>
  </si>
  <si>
    <t xml:space="preserve">    ' VBA can be slow to append strings due to allocating a new string for each append</t>
  </si>
  <si>
    <t xml:space="preserve">    ' Instead of using the traditional append, allocate a large empty string and then copy string at append position</t>
  </si>
  <si>
    <t xml:space="preserve">    ' Buffer: "abc  "</t>
  </si>
  <si>
    <t xml:space="preserve">    ' Append: "def"</t>
  </si>
  <si>
    <t xml:space="preserve">    ' Buffer Position: 3</t>
  </si>
  <si>
    <t xml:space="preserve">    ' Buffer Length: 5</t>
  </si>
  <si>
    <t xml:space="preserve">    ' Buffer position + Append length &gt; Buffer length -&gt; Append chunk of blank space to buffer</t>
  </si>
  <si>
    <t xml:space="preserve">    ' Buffer: "abc       "</t>
  </si>
  <si>
    <t xml:space="preserve">    ' Buffer Length: 10</t>
  </si>
  <si>
    <t xml:space="preserve">    ' Put "def" into buffer at position 3 (0-based)</t>
  </si>
  <si>
    <t xml:space="preserve">    ' Buffer: "abcdef    "</t>
  </si>
  <si>
    <t xml:space="preserve">    ' Approach based on cStringBuilder from vbAccelerator</t>
  </si>
  <si>
    <t xml:space="preserve">    ' http://www.vbaccelerator.com/home/VB/Code/Techniques/RunTime_Debug_Tracing/VB6_Tracer_Utility_zip_cStringBuilder_cls.asp</t>
  </si>
  <si>
    <t xml:space="preserve">    ' and clsStringAppend from Philip Swannell</t>
  </si>
  <si>
    <t xml:space="preserve">    ' https://github.com/VBA-tools/VBA-JSON/pull/82</t>
  </si>
  <si>
    <t xml:space="preserve">    Dim json_AppendLength As Long</t>
  </si>
  <si>
    <t xml:space="preserve">    Dim json_LengthPlusPosition As Long</t>
  </si>
  <si>
    <t xml:space="preserve">    json_AppendLength = VBA.Len(json_Append)</t>
  </si>
  <si>
    <t xml:space="preserve">    json_LengthPlusPosition = json_AppendLength + json_BufferPosition</t>
  </si>
  <si>
    <t xml:space="preserve">    If json_LengthPlusPosition &gt; json_BufferLength Then</t>
  </si>
  <si>
    <t xml:space="preserve">        ' Appending would overflow buffer, add chunk</t>
  </si>
  <si>
    <t xml:space="preserve">        ' (double buffer length or append length, whichever is bigger)</t>
  </si>
  <si>
    <t xml:space="preserve">        Dim json_AddedLength As Long</t>
  </si>
  <si>
    <t xml:space="preserve">        json_AddedLength = IIf(json_AppendLength &gt; json_BufferLength, json_AppendLength,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</si>
  <si>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</si>
  <si>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</si>
  <si>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' Note: Namespacing with VBA.Mid$ doesn't work properly here, throwing compile error:</t>
  </si>
  <si>
    <t xml:space="preserve">    ' Function call on left-hand side of assignment must return Variant or Object</t>
  </si>
  <si>
    <t xml:space="preserve">    Mid$(json_Buffer, json_BufferPosition + 1, json_AppendLength) = CStr(json_Append)</t>
  </si>
  <si>
    <t xml:space="preserve">    json_BufferPosition = json_BufferPosition + json_AppendLength</t>
  </si>
  <si>
    <t>Private Function json_BufferToString(ByRef json_Buffer As String, ByVal json_BufferPosition As Long) As String</t>
  </si>
  <si>
    <t xml:space="preserve">    If json_BufferPosition &gt; 0 Then</t>
  </si>
  <si>
    <t xml:space="preserve">        json_BufferToString = VBA.Left$(json_Buffer, json_BufferPosition)</t>
  </si>
  <si>
    <t>' VBA-UTC v1.0.6</t>
  </si>
  <si>
    <t>' (c) Tim Hall - https://github.com/VBA-tools/VBA-UtcConverter</t>
  </si>
  <si>
    <t>' UTC/ISO 8601 Converter for VBA</t>
  </si>
  <si>
    <t>' 10011 - UTC parsing error</t>
  </si>
  <si>
    <t>' 10012 - UTC conversion error</t>
  </si>
  <si>
    <t>' 10013 - ISO 8601 parsing error</t>
  </si>
  <si>
    <t>' 10014 - ISO 8601 conversion error</t>
  </si>
  <si>
    <t>' @module UtcConverter</t>
  </si>
  <si>
    <t>' (Declarations moved to top)</t>
  </si>
  <si>
    <t>' Parse UTC date to local date</t>
  </si>
  <si>
    <t>' @method ParseUtc</t>
  </si>
  <si>
    <t>' @param {Date} UtcDate</t>
  </si>
  <si>
    <t>' @return {Date} Local date</t>
  </si>
  <si>
    <t>' @throws 10011 - UTC parsing error</t>
  </si>
  <si>
    <t>Public Function ParseUtc(utc_UtcDate As Date) As Date</t>
  </si>
  <si>
    <t xml:space="preserve">    On Error GoTo utc_ErrorHandling</t>
  </si>
  <si>
    <t xml:space="preserve">    ParseUtc = utc_ConvertDate(utc_UtcDate)</t>
  </si>
  <si>
    <t xml:space="preserve">    Dim utc_TimeZoneInfo As utc_TIME_ZONE_INFORMATION</t>
  </si>
  <si>
    <t xml:space="preserve">    Dim utc_LocalDate As utc_SYSTEMTIME</t>
  </si>
  <si>
    <t xml:space="preserve">    utc_GetTimeZoneInformation utc_TimeZoneInfo</t>
  </si>
  <si>
    <t xml:space="preserve">    utc_SystemTimeToTzSpecificLocalTime utc_TimeZoneInfo, utc_DateToSystemTime(utc_UtcDate), utc_LocalDate</t>
  </si>
  <si>
    <t xml:space="preserve">    ParseUtc = utc_SystemTimeToDate(utc_LocalDate)</t>
  </si>
  <si>
    <t xml:space="preserve">    Exit Function</t>
  </si>
  <si>
    <t>utc_ErrorHandling:</t>
  </si>
  <si>
    <t xml:space="preserve">    Err.Raise 10011, "UtcConverter.ParseUtc", "UTC parsing error: " &amp; Err.Number &amp; " - " &amp; Err.Description</t>
  </si>
  <si>
    <t>' Convert local date to UTC date</t>
  </si>
  <si>
    <t>' @method ConvertToUrc</t>
  </si>
  <si>
    <t>' @param {Date} utc_LocalDate</t>
  </si>
  <si>
    <t>' @return {Date} UTC date</t>
  </si>
  <si>
    <t>' @throws 10012 - UTC conversion error</t>
  </si>
  <si>
    <t>Public Function ConvertToUtc(utc_LocalDate As Date) As Date</t>
  </si>
  <si>
    <t xml:space="preserve">    ConvertToUtc = utc_ConvertDate(utc_LocalDate, utc_ConvertToUtc:=True)</t>
  </si>
  <si>
    <t xml:space="preserve">    Dim utc_UtcDate As utc_SYSTEMTIME</t>
  </si>
  <si>
    <t xml:space="preserve">    utc_TzSpecificLocalTimeToSystemTime utc_TimeZoneInfo, utc_DateToSystemTime(utc_LocalDate), utc_UtcDate</t>
  </si>
  <si>
    <t xml:space="preserve">    ConvertToUtc = utc_SystemTimeToDate(utc_UtcDate)</t>
  </si>
  <si>
    <t xml:space="preserve">    Err.Raise 10012, "UtcConverter.ConvertToUtc", "UTC conversion error: " &amp; Err.Number &amp; " - " &amp; Err.Description</t>
  </si>
  <si>
    <t>' Parse ISO 8601 date string to local date</t>
  </si>
  <si>
    <t>' @method ParseIso</t>
  </si>
  <si>
    <t>' @param {Date} utc_IsoString</t>
  </si>
  <si>
    <t>' @throws 10013 - ISO 8601 parsing error</t>
  </si>
  <si>
    <t>Public Function ParseIso(utc_IsoString As String) As Date</t>
  </si>
  <si>
    <t xml:space="preserve">    Dim utc_Parts() As String</t>
  </si>
  <si>
    <t xml:space="preserve">    Dim utc_DateParts() As String</t>
  </si>
  <si>
    <t xml:space="preserve">    Dim utc_TimeParts() As String</t>
  </si>
  <si>
    <t xml:space="preserve">    Dim utc_OffsetIndex As Long</t>
  </si>
  <si>
    <t xml:space="preserve">    Dim utc_HasOffset As Boolean</t>
  </si>
  <si>
    <t xml:space="preserve">    Dim utc_NegativeOffset As Boolean</t>
  </si>
  <si>
    <t xml:space="preserve">    Dim utc_OffsetParts() As String</t>
  </si>
  <si>
    <t xml:space="preserve">    Dim utc_Offset As Date</t>
  </si>
  <si>
    <t xml:space="preserve">    utc_Parts = VBA.Split(utc_IsoString, "T")</t>
  </si>
  <si>
    <t xml:space="preserve">    utc_DateParts = VBA.Split(utc_Parts(0), "-")</t>
  </si>
  <si>
    <t xml:space="preserve">    ParseIso = VBA.DateSerial(VBA.CInt(utc_DateParts(0)), VBA.CInt(utc_DateParts(1)), VBA.CInt(utc_DateParts(2)))</t>
  </si>
  <si>
    <t xml:space="preserve">    If UBound(utc_Parts) &gt; 0 Then</t>
  </si>
  <si>
    <t xml:space="preserve">        If VBA.InStr(utc_Parts(1), "Z") Then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</si>
  <si>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</si>
  <si>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</si>
  <si>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If utc_OffsetIndex = 0 Then</t>
  </si>
  <si>
    <t xml:space="preserve">                utc_NegativeOffset = True</t>
  </si>
  <si>
    <t xml:space="preserve">                utc_OffsetIndex = VBA.InStr(1, utc_Parts(1), "-")</t>
  </si>
  <si>
    <t xml:space="preserve">            If utc_OffsetIndex &gt; 0 Then</t>
  </si>
  <si>
    <t xml:space="preserve">                utc_HasOffset = True</t>
  </si>
  <si>
    <t xml:space="preserve">                utc_TimeParts = VBA.Split(VBA.Left$(utc_Parts(1), utc_OffsetIndex - 1), ":")</t>
  </si>
  <si>
    <t xml:space="preserve">                utc_OffsetParts = VBA.Split(VBA.Right$(utc_Parts(1), Len(utc_Parts(1)) - utc_OffsetIndex), ":")</t>
  </si>
  <si>
    <t xml:space="preserve">                Select Case UBound(utc_OffsetParts)</t>
  </si>
  <si>
    <t xml:space="preserve">                Case 0</t>
  </si>
  <si>
    <t xml:space="preserve">                    utc_Offset = TimeSerial(VBA.CInt(utc_OffsetParts(0)), 0, 0)</t>
  </si>
  <si>
    <t xml:space="preserve">                Case 1</t>
  </si>
  <si>
    <t xml:space="preserve">                    utc_Offset = TimeSerial(VBA.CInt(utc_OffsetParts(0)), VBA.CInt(utc_OffsetParts(1)), 0)</t>
  </si>
  <si>
    <t xml:space="preserve">                Case 2</t>
  </si>
  <si>
    <t xml:space="preserve">                    ' VBA.Val does not use regional settings, use for seconds to avoid decimal/comma issues</t>
  </si>
  <si>
    <t xml:space="preserve">                    utc_Offset = TimeSerial(VBA.CInt(utc_OffsetParts(0)), VBA.CInt(utc_OffsetParts(1)), Int(VBA.Val(utc_OffsetParts(2))))</t>
  </si>
  <si>
    <t xml:space="preserve">                End Select</t>
  </si>
  <si>
    <t xml:space="preserve">                If utc_NegativeOffset Then: utc_Offset = -utc_Offset</t>
  </si>
  <si>
    <t xml:space="preserve">                utc_TimeParts = VBA.Split(utc_Parts(1), ":")</t>
  </si>
  <si>
    <t xml:space="preserve">        Select Case UBound(utc_TimeParts)</t>
  </si>
  <si>
    <t xml:space="preserve">        Case 0</t>
  </si>
  <si>
    <t xml:space="preserve">            ParseIso = ParseIso + VBA.TimeSerial(VBA.CInt(utc_TimeParts(0)), 0, 0)</t>
  </si>
  <si>
    <t xml:space="preserve">        Case 1</t>
  </si>
  <si>
    <t xml:space="preserve">            ParseIso = ParseIso + VBA.TimeSerial(VBA.CInt(utc_TimeParts(0)), VBA.CInt(utc_TimeParts(1)), 0)</t>
  </si>
  <si>
    <t xml:space="preserve">        Case 2</t>
  </si>
  <si>
    <t xml:space="preserve">            ' VBA.Val does not use regional settings, use for seconds to avoid decimal/comma issues</t>
  </si>
  <si>
    <t xml:space="preserve">            ParseIso = ParseIso + VBA.TimeSerial(VBA.CInt(utc_TimeParts(0)), VBA.CInt(utc_TimeParts(1)), Int(VBA.Val(utc_TimeParts(2))))</t>
  </si>
  <si>
    <t xml:space="preserve">        ParseIso = ParseUtc(ParseIso)</t>
  </si>
  <si>
    <t xml:space="preserve">        If utc_HasOffset Then</t>
  </si>
  <si>
    <t xml:space="preserve">            ParseIso = ParseIso - utc_Offset</t>
  </si>
  <si>
    <t xml:space="preserve">    Err.Raise 10013, "UtcConverter.ParseIso", "ISO 8601 parsing error for " &amp; utc_IsoString &amp; ": " &amp; Err.Number &amp; " - " &amp; Err.Description</t>
  </si>
  <si>
    <t>' Convert local date to ISO 8601 string</t>
  </si>
  <si>
    <t>' @method ConvertToIso</t>
  </si>
  <si>
    <t>' @return {Date} ISO 8601 string</t>
  </si>
  <si>
    <t>' @throws 10014 - ISO 8601 conversion error</t>
  </si>
  <si>
    <t>Public Function ConvertToIso(utc_LocalDate As Date) As String</t>
  </si>
  <si>
    <t xml:space="preserve">    ConvertToIso = VBA.Format$(ConvertToUtc(utc_LocalDate), "yyyy-mm-ddTHH:mm:ss.000Z")</t>
  </si>
  <si>
    <t xml:space="preserve">    Err.Raise 10014, "UtcConverter.ConvertToIso", "ISO 8601 conversion error: " &amp; Err.Number &amp; " - " &amp; Err.Description</t>
  </si>
  <si>
    <t>Private Function utc_ConvertDate(utc_Value As Date, Optional utc_ConvertToUtc As Boolean = False) As Date</t>
  </si>
  <si>
    <t xml:space="preserve">    Dim utc_ShellCommand As String</t>
  </si>
  <si>
    <t xml:space="preserve">    Dim utc_Result As utc_ShellResult</t>
  </si>
  <si>
    <t xml:space="preserve">    If utc_ConvertToUtc Then</t>
  </si>
  <si>
    <t xml:space="preserve">        utc_ShellCommand = "date -ur `date -jf '%Y-%m-%d %H:%M:%S' " &amp; _</t>
  </si>
  <si>
    <t xml:space="preserve">            "'" &amp; VBA.Format$(utc_Value, "yyyy-mm-dd HH:mm:ss") &amp; "' " &amp; _</t>
  </si>
  <si>
    <t xml:space="preserve">            " +'%s'` +'%Y-%m-%d %H:%M:%S'"</t>
  </si>
  <si>
    <t xml:space="preserve">        utc_ShellCommand = "date -jf '%Y-%m-%d %H:%M:%S %z' " &amp; _</t>
  </si>
  <si>
    <t xml:space="preserve">            "'" &amp; VBA.Format$(utc_Value, "yyyy-mm-dd HH:mm:ss") &amp; " +0000' " &amp; _</t>
  </si>
  <si>
    <t xml:space="preserve">            "+'%Y-%m-%d %H:%M:%S'"</t>
  </si>
  <si>
    <t xml:space="preserve">    utc_Result = utc_ExecuteInShell(utc_ShellCommand)</t>
  </si>
  <si>
    <t xml:space="preserve">    If utc_Result.utc_Output = "" Then</t>
  </si>
  <si>
    <t xml:space="preserve">        Err.Raise 10015, "UtcConverter.utc_ConvertDate", "'date' command failed"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</si>
  <si>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</si>
  <si>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</si>
  <si>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</si>
  <si>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</si>
  <si>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TimeSerial(utc_TimeParts(0), utc_TimeParts(1), utc_TimeParts(2))</t>
  </si>
  <si>
    <t>Private Function utc_ExecuteInShell(utc_ShellCommand As String) As utc_ShellResult</t>
  </si>
  <si>
    <t xml:space="preserve">    Dim utc_File As LongPtr</t>
  </si>
  <si>
    <t xml:space="preserve">    Dim utc_Read As LongPtr</t>
  </si>
  <si>
    <t xml:space="preserve">    Dim utc_File As Long</t>
  </si>
  <si>
    <t xml:space="preserve">    Dim utc_Read As Long</t>
  </si>
  <si>
    <t xml:space="preserve">    Dim utc_Chunk As String</t>
  </si>
  <si>
    <t xml:space="preserve">    utc_File = utc_popen(utc_ShellCommand, "r")</t>
  </si>
  <si>
    <t xml:space="preserve">    If utc_File = 0 Then: Exit Function</t>
  </si>
  <si>
    <t xml:space="preserve">    Do While utc_feof(utc_File) = 0</t>
  </si>
  <si>
    <t xml:space="preserve">        utc_Chunk = VBA.Space$(50)</t>
  </si>
  <si>
    <t xml:space="preserve">        utc_Read = CLng(utc_fread(utc_Chunk, 1, Len(utc_Chunk) - 1, utc_File))</t>
  </si>
  <si>
    <t xml:space="preserve">        If utc_Read &gt; 0 Then</t>
  </si>
  <si>
    <t xml:space="preserve">            utc_Chunk = VBA.Left$(utc_Chunk, CLng(utc_Read))</t>
  </si>
  <si>
    <t xml:space="preserve">            utc_ExecuteInShell.utc_Output = utc_ExecuteInShell.utc_Output &amp; utc_Chunk</t>
  </si>
  <si>
    <t xml:space="preserve">    utc_ExecuteInShell.utc_ExitCode = CLng(utc_pclose(utc_File))</t>
  </si>
  <si>
    <t>Private Function utc_DateToSystemTime(utc_Value As Date) As utc_SYSTEMTIME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</si>
  <si>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</si>
  <si>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</si>
  <si>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</si>
  <si>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</si>
  <si>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</si>
  <si>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</si>
  <si>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</si>
  <si>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>Private Function utc_SystemTimeToDate(utc_Value As utc_SYSTEMTIME) As Date</t>
  </si>
  <si>
    <t xml:space="preserve">    utc_SystemTimeToDate = DateSerial(utc_Value.utc_wYear, utc_Value.utc_wMonth, utc_Value.utc_wDay) + _</t>
  </si>
  <si>
    <t xml:space="preserve">        TimeSerial(utc_Value.utc_wHour, utc_Value.utc_wMinute, utc_Value.utc_wSecond)</t>
  </si>
  <si>
    <t>'========================================================</t>
  </si>
  <si>
    <t>'  JsonIO_All.bas  —  één workbook voor 4 JSON-bestanden</t>
  </si>
  <si>
    <t>Private Const SH_CAL As String = "calendar"</t>
  </si>
  <si>
    <t>Private Const SH_COL As String = "light_colors"</t>
  </si>
  <si>
    <t>Private Const SH_PAT As String = "light_patterns"</t>
  </si>
  <si>
    <t>Private Const SH_BOX As String = "theme_boxes"</t>
  </si>
  <si>
    <t>Private Const FN_CAL As String = "calendar.json"</t>
  </si>
  <si>
    <t>Private Const FN_COL As String = "light_colors.json"</t>
  </si>
  <si>
    <t>Private Const FN_PAT As String = "light_patterns.json"</t>
  </si>
  <si>
    <t>Private Const FN_BOX As String = "theme_boxes.json"</t>
  </si>
  <si>
    <t>Private CAL_HEADERS As Variant</t>
  </si>
  <si>
    <t>Private COL_HEADERS As Variant</t>
  </si>
  <si>
    <t>Private PAT_HEADERS As Variant</t>
  </si>
  <si>
    <t>Private BOX_HEADERS As Variant</t>
  </si>
  <si>
    <t>Private Sub InitHeaders()</t>
  </si>
  <si>
    <t xml:space="preserve">    If IsEmpty(CAL_HEADERS) Then</t>
  </si>
  <si>
    <t xml:space="preserve">        CAL_HEADERS = Array("year", "month", "day", "sentence", "interval_min", "theme_box_id", "pattern_id", "color_id", "note")</t>
  </si>
  <si>
    <t xml:space="preserve">    If IsEmpty(COL_HEADERS) Then</t>
  </si>
  <si>
    <t xml:space="preserve">        COL_HEADERS = Array("id", "label", "rgb1_hex", "rgb2_hex")</t>
  </si>
  <si>
    <t xml:space="preserve">    If IsEmpty(PAT_HEADERS) Then</t>
  </si>
  <si>
    <t xml:space="preserve">        PAT_HEADERS = Array("id", "label", "color_cycle_sec", "bright_cycle_sec", "fade_width", "min_brightness", "gradient_speed", "center_x", "center_y", "radius", "window_width", "radius_osc", "x_amp", "y_amp", "x_cycle_sec", "y_cycle_sec")</t>
  </si>
  <si>
    <t xml:space="preserve">    If IsEmpty(BOX_HEADERS) Then</t>
  </si>
  <si>
    <t xml:space="preserve">        BOX_HEADERS = Array("id", "entries_csv")</t>
  </si>
  <si>
    <t>Public Sub ReadAllJSON()</t>
  </si>
  <si>
    <t xml:space="preserve">    InitHeaders</t>
  </si>
  <si>
    <t xml:space="preserve">    EnsureSheetWithHeaders SH_CAL, CAL_HEADERS</t>
  </si>
  <si>
    <t xml:space="preserve">    EnsureSheetWithHeaders SH_COL, COL_HEADERS</t>
  </si>
  <si>
    <t xml:space="preserve">    EnsureSheetWithHeaders SH_PAT, PAT_HEADERS</t>
  </si>
  <si>
    <t xml:space="preserve">    EnsureSheetWithHeaders SH_BOX, BOX_HEADERS</t>
  </si>
  <si>
    <t xml:space="preserve">   ' ReadCalendar</t>
  </si>
  <si>
    <t xml:space="preserve">    ReadLightColors</t>
  </si>
  <si>
    <t xml:space="preserve">    ReadLightPatterns</t>
  </si>
  <si>
    <t xml:space="preserve">   ' ReadThemeBoxes</t>
  </si>
  <si>
    <t>Public Sub ExportJSONs() ' &lt;&lt;&lt;&lt;&lt;&lt;&lt;&lt;&lt;&lt;&lt;&lt;&lt;&lt;&lt;&lt;&lt;&lt;&lt;&lt;&lt;&lt;&lt;&lt;&lt;&lt;&lt;&lt;&lt;&lt;&lt;&lt;&lt;&lt;&lt;&lt;&lt;&lt;&lt;&lt;&lt;&lt;&lt;&lt;&lt;&lt;&lt;&lt;&lt;&lt;&lt;&lt;&lt;&lt;&lt;&lt;&lt;&lt;&lt;&lt;</t>
  </si>
  <si>
    <t xml:space="preserve">    Call CombineAndSortDates</t>
  </si>
  <si>
    <t xml:space="preserve">    Application.CalculateFull</t>
  </si>
  <si>
    <t xml:space="preserve">    WriteCalendar</t>
  </si>
  <si>
    <t xml:space="preserve">    WriteThemeBoxes</t>
  </si>
  <si>
    <t>Public Sub WriteAllJSON()</t>
  </si>
  <si>
    <t xml:space="preserve">   ' WriteLightColors</t>
  </si>
  <si>
    <t xml:space="preserve">   ' WriteLightPatterns</t>
  </si>
  <si>
    <t>'------------------------------- READ -------------------------------</t>
  </si>
  <si>
    <t>Private Sub ReadCalendar() '&lt;&lt;&lt;&lt;&lt;&lt;&lt;&lt;&lt;&lt;&lt;&lt;&lt;&lt;&lt;&lt;&lt;&lt;&lt;&lt; do not use</t>
  </si>
  <si>
    <t xml:space="preserve">    Dim p As String: p = ThisWorkbook.Path &amp; "\" &amp; FN_CAL</t>
  </si>
  <si>
    <t xml:space="preserve">    If Not FileExists(p) Then ClearData SH_CAL: Exit Sub</t>
  </si>
  <si>
    <t xml:space="preserve">    Dim root As Object, ws As Worksheet, txt As String</t>
  </si>
  <si>
    <t xml:space="preserve">    txt = ReadTextFile(p)</t>
  </si>
  <si>
    <t xml:space="preserve">    Set root = JsonConverter.ParseJson(txt)</t>
  </si>
  <si>
    <t xml:space="preserve">    Set ws = SheetByName(SH_CAL)</t>
  </si>
  <si>
    <t xml:space="preserve">    ClearData SH_CAL</t>
  </si>
  <si>
    <t xml:space="preserve">    Dim r As Long: r = 2</t>
  </si>
  <si>
    <t xml:space="preserve">    Dim it As Object</t>
  </si>
  <si>
    <t xml:space="preserve">    For Each it In root("entries")</t>
  </si>
  <si>
    <t xml:space="preserve">        ws.Cells(r, 1).Value = Nz(it("date")("year"))</t>
  </si>
  <si>
    <t xml:space="preserve">        ws.Cells(r, 2).Value = Nz(it("date")("month"))</t>
  </si>
  <si>
    <t xml:space="preserve">        ws.Cells(r, 3).Value = Nz(it("date")("day"))</t>
  </si>
  <si>
    <t xml:space="preserve">        ws.Cells(r, 4).Value = Nz(it("tts")("sentence"))</t>
  </si>
  <si>
    <t xml:space="preserve">        ws.Cells(r, 5).Value = Nz(it("tts")("interval_min"))</t>
  </si>
  <si>
    <t xml:space="preserve">        ws.Cells(r, 6).Value = Nz(it("theme_box_id"))</t>
  </si>
  <si>
    <t xml:space="preserve">        ws.Cells(r, 7).Value = Nz(it("pattern_id"))</t>
  </si>
  <si>
    <t xml:space="preserve">        ws.Cells(r, 8).Value = Nz(it("color_id"))</t>
  </si>
  <si>
    <t xml:space="preserve">        ws.Cells(r, 9).Value = Nz(it("note"))</t>
  </si>
  <si>
    <t xml:space="preserve">        r = r + 1</t>
  </si>
  <si>
    <t xml:space="preserve">    Next it</t>
  </si>
  <si>
    <t xml:space="preserve">    AutoFitHeaders ws, UBound(CAL_HEADERS) + 1</t>
  </si>
  <si>
    <t>Private Sub ReadLightColors()</t>
  </si>
  <si>
    <t xml:space="preserve">    Dim p As String: p = ThisWorkbook.Path &amp; "\" &amp; FN_COL</t>
  </si>
  <si>
    <t xml:space="preserve">    If Not FileExists(p) Then ClearData SH_COL: Exit Sub</t>
  </si>
  <si>
    <t xml:space="preserve">    Set ws = SheetByName(SH_COL)</t>
  </si>
  <si>
    <t xml:space="preserve">    ClearData SH_COL</t>
  </si>
  <si>
    <t xml:space="preserve">    ws.Range("E1").Value = "active_color"</t>
  </si>
  <si>
    <t xml:space="preserve">    On Error Resume Next</t>
  </si>
  <si>
    <t xml:space="preserve">    ws.Range("F1").Value = root("active_color")</t>
  </si>
  <si>
    <t xml:space="preserve">    On Error GoTo 0</t>
  </si>
  <si>
    <t xml:space="preserve">    For Each it In root("colors")</t>
  </si>
  <si>
    <t xml:space="preserve">        ws.Cells(r, 1).Value = Nz(it("id"))</t>
  </si>
  <si>
    <t xml:space="preserve">        ws.Cells(r, 2).Value = Nz(it("label"))</t>
  </si>
  <si>
    <t xml:space="preserve">        ws.Cells(r, 3).Value = Nz(it("rgb1_hex"))</t>
  </si>
  <si>
    <t xml:space="preserve">        ws.Cells(r, 4).Value = Nz(it("rgb2_hex"))</t>
  </si>
  <si>
    <t xml:space="preserve">    AutoFitHeaders ws, UBound(COL_HEADERS) + 1</t>
  </si>
  <si>
    <t>Private Sub ReadLightPatterns()</t>
  </si>
  <si>
    <t xml:space="preserve">    Dim p As String: p = ThisWorkbook.Path &amp; "\" &amp; FN_PAT</t>
  </si>
  <si>
    <t xml:space="preserve">    If Not FileExists(p) Then ClearData SH_PAT: Exit Sub</t>
  </si>
  <si>
    <t xml:space="preserve">    Set ws = SheetByName(SH_PAT)</t>
  </si>
  <si>
    <t xml:space="preserve">    ClearData SH_PAT</t>
  </si>
  <si>
    <t xml:space="preserve">    ws.Range("E1").Value = "active_pattern"</t>
  </si>
  <si>
    <t xml:space="preserve">    ws.Range("F1").Value = root("active_pattern")</t>
  </si>
  <si>
    <t xml:space="preserve">    Dim it As Object, pms As Object</t>
  </si>
  <si>
    <t xml:space="preserve">    For Each it In root("patterns")</t>
  </si>
  <si>
    <t xml:space="preserve">        Set pms = it("params")</t>
  </si>
  <si>
    <t xml:space="preserve">        ws.Cells(r, 3).Value = Nz(pms("color_cycle_sec"))</t>
  </si>
  <si>
    <t xml:space="preserve">        ws.Cells(r, 4).Value = Nz(pms("bright_cycle_sec"))</t>
  </si>
  <si>
    <t xml:space="preserve">        ws.Cells(r, 5).Value = Nz(pms("fade_width"))</t>
  </si>
  <si>
    <t xml:space="preserve">        ws.Cells(r, 6).Value = Nz(pms("min_brightness"))</t>
  </si>
  <si>
    <t xml:space="preserve">        ws.Cells(r, 7).Value = Nz(pms("gradient_speed"))</t>
  </si>
  <si>
    <t xml:space="preserve">        ws.Cells(r, 8).Value = Nz(pms("center_x"))</t>
  </si>
  <si>
    <t xml:space="preserve">        ws.Cells(r, 9).Value = Nz(pms("center_y"))</t>
  </si>
  <si>
    <t xml:space="preserve">        ws.Cells(r, 10).Value = Nz(pms("radius"))</t>
  </si>
  <si>
    <t xml:space="preserve">        ws.Cells(r, 11).Value = Nz(pms("window_width"))</t>
  </si>
  <si>
    <t xml:space="preserve">        ws.Cells(r, 12).Value = Nz(pms("radius_osc"))</t>
  </si>
  <si>
    <t xml:space="preserve">        ws.Cells(r, 13).Value = Nz(pms("x_amp"))</t>
  </si>
  <si>
    <t xml:space="preserve">        ws.Cells(r, 14).Value = Nz(pms("y_amp"))</t>
  </si>
  <si>
    <t xml:space="preserve">        ws.Cells(r, 15).Value = Nz(pms("x_cycle_sec"))</t>
  </si>
  <si>
    <t xml:space="preserve">        ws.Cells(r, 16).Value = Nz(pms("y_cycle_sec"))</t>
  </si>
  <si>
    <t xml:space="preserve">    AutoFitHeaders ws, UBound(PAT_HEADERS) + 1</t>
  </si>
  <si>
    <t>Private Sub ReadThemeBoxes() ' do not use</t>
  </si>
  <si>
    <t xml:space="preserve">    Dim p As String: p = ThisWorkbook.Path &amp; "\" &amp; FN_BOX</t>
  </si>
  <si>
    <t xml:space="preserve">    If Not FileExists(p) Then ClearData SH_BOX: Exit Sub</t>
  </si>
  <si>
    <t xml:space="preserve">    Set ws = SheetByName(SH_BOX)</t>
  </si>
  <si>
    <t xml:space="preserve">    ClearData SH_BOX</t>
  </si>
  <si>
    <t xml:space="preserve">    ws.Range("E1").Value = "active_theme_box"</t>
  </si>
  <si>
    <t xml:space="preserve">    ws.Range("F1").Value = root("active_theme_box")</t>
  </si>
  <si>
    <t xml:space="preserve">    For Each it In root("theme_boxes")</t>
  </si>
  <si>
    <t xml:space="preserve">        ws.Cells(r, 2).Value = Join(ToStringArray(it("entries")), ", ")</t>
  </si>
  <si>
    <t xml:space="preserve">    AutoFitHeaders ws, UBound(BOX_HEADERS) + 1</t>
  </si>
  <si>
    <t>'------------------------------- WRITE -------------------------------</t>
  </si>
  <si>
    <t>Private Sub WriteCalendar()</t>
  </si>
  <si>
    <t xml:space="preserve">    Dim ws As Worksheet</t>
  </si>
  <si>
    <t xml:space="preserve">    Set ws = SheetByName(SH_CAL)          ' bestaand: naam van je calendar-sheet</t>
  </si>
  <si>
    <t xml:space="preserve">    Dim lastRow As Long</t>
  </si>
  <si>
    <t xml:space="preserve">    lastRow = LastDataRow(ws, 1)          ' bestaand: laatste rij o.b.v. kolom 1 (year)</t>
  </si>
  <si>
    <t xml:space="preserve">    Dim entries As Collection</t>
  </si>
  <si>
    <t xml:space="preserve">    Set entries = New Collection</t>
  </si>
  <si>
    <t xml:space="preserve">    Dim r As Long</t>
  </si>
  <si>
    <t xml:space="preserve">    For r = 2 To lastRow</t>
  </si>
  <si>
    <t xml:space="preserve">        If Trim$(CStr(ws.Cells(r, 1).Value)) &lt;&gt; "" Then</t>
  </si>
  <si>
    <t xml:space="preserve">            Dim y As Long, m As Long, d As Long</t>
  </si>
  <si>
    <t xml:space="preserve">            y = CLng(Nz(ws.Cells(r, 1).Value))</t>
  </si>
  <si>
    <t xml:space="preserve">            m = CLng(Nz(ws.Cells(r, 2).Value))</t>
  </si>
  <si>
    <t xml:space="preserve">            d = CLng(Nz(ws.Cells(r, 3).Value))</t>
  </si>
  <si>
    <t xml:space="preserve">            Dim dateObj As Object, ttsObj As Object</t>
  </si>
  <si>
    <t xml:space="preserve">            Dim audioObj As Object, lightsObj As Object, rec As Object</t>
  </si>
  <si>
    <t xml:space="preserve">            ' date</t>
  </si>
  <si>
    <t xml:space="preserve">            Set dateObj = CreateObject("Scripting.Dictionary")</t>
  </si>
  <si>
    <t xml:space="preserve">            dateObj("year") = y</t>
  </si>
  <si>
    <t xml:space="preserve">            dateObj("month") = m</t>
  </si>
  <si>
    <t xml:space="preserve">            dateObj("day") = d</t>
  </si>
  <si>
    <t xml:space="preserve">            dateObj("iso") = Format$(DateSerial(y, m, d), "yyyy-mm-dd")</t>
  </si>
  <si>
    <t xml:space="preserve">            ' tts</t>
  </si>
  <si>
    <t xml:space="preserve">            Set ttsObj = CreateObject("Scripting.Dictionary")</t>
  </si>
  <si>
    <t xml:space="preserve">            ttsObj("sentence") = CStr(Nz(ws.Cells(r, 4).Value))</t>
  </si>
  <si>
    <t xml:space="preserve">            If Trim$(CStr(ws.Cells(r, 5).Value)) &lt;&gt; "" Then</t>
  </si>
  <si>
    <t xml:space="preserve">                ttsObj("interval_min") = CLng(Nz(ws.Cells(r, 5).Value))</t>
  </si>
  <si>
    <t xml:space="preserve">            ' audio</t>
  </si>
  <si>
    <t xml:space="preserve">            Set audioObj = CreateObject("Scripting.Dictionary")</t>
  </si>
  <si>
    <t xml:space="preserve">            If Trim$(CStr(ws.Cells(r, 6).Value)) &lt;&gt; "" Then</t>
  </si>
  <si>
    <t xml:space="preserve">                audioObj("theme_box_id") = CLng(Nz(ws.Cells(r, 6).Value))</t>
  </si>
  <si>
    <t xml:space="preserve">            ' lights</t>
  </si>
  <si>
    <t xml:space="preserve">            Set lightsObj = CreateObject("Scripting.Dictionary")</t>
  </si>
  <si>
    <t xml:space="preserve">            If Trim$(CStr(ws.Cells(r, 7).Value)) &lt;&gt; "" Then</t>
  </si>
  <si>
    <t xml:space="preserve">                lightsObj("pattern_id") = CLng(Nz(ws.Cells(r, 7).Value))</t>
  </si>
  <si>
    <t xml:space="preserve">            If Trim$(CStr(ws.Cells(r, 8).Value)) &lt;&gt; "" Then</t>
  </si>
  <si>
    <t xml:space="preserve">                lightsObj("color_id") = CLng(Nz(ws.Cells(r, 8).Value))</t>
  </si>
  <si>
    <t xml:space="preserve">            ' record</t>
  </si>
  <si>
    <t xml:space="preserve">            Set rec = CreateObject("Scripting.Dictionary")</t>
  </si>
  <si>
    <t xml:space="preserve">            Set rec("date") = dateObj</t>
  </si>
  <si>
    <t xml:space="preserve">            Set rec("tts") = ttsObj</t>
  </si>
  <si>
    <t xml:space="preserve">            Set rec("audio") = audioObj</t>
  </si>
  <si>
    <t xml:space="preserve">            Set rec("lights") = lightsObj</t>
  </si>
  <si>
    <t xml:space="preserve">            entries.Add rec</t>
  </si>
  <si>
    <t xml:space="preserve">    Next r</t>
  </si>
  <si>
    <t xml:space="preserve">    Dim root As Object</t>
  </si>
  <si>
    <t xml:space="preserve">    Set root = CreateObject("Scripting.Dictionary")</t>
  </si>
  <si>
    <t xml:space="preserve">    root("format_version") = 1                   ' calendar.json v1</t>
  </si>
  <si>
    <t xml:space="preserve">    root("timezone") = "Europe/Amsterdam"</t>
  </si>
  <si>
    <t xml:space="preserve">    root("generated_at") = Format$(Now, "yyyy-mm-dd\THH:nn:ss")</t>
  </si>
  <si>
    <t xml:space="preserve">    Set root("entries") = entries</t>
  </si>
  <si>
    <t xml:space="preserve">    ' FN_CAL = bestandsnaam, bv. "calendar.json"</t>
  </si>
  <si>
    <t xml:space="preserve">    WriteTextFile ThisWorkbook.Path &amp; "\" &amp; FN_CAL, _</t>
  </si>
  <si>
    <t xml:space="preserve">                  JsonConverter.ConvertToJson(root, Whitespace:=2)</t>
  </si>
  <si>
    <t>Private Sub WriteLightColors()</t>
  </si>
  <si>
    <t xml:space="preserve">    Dim ws As Worksheet: Set ws = SheetByName(SH_COL)</t>
  </si>
  <si>
    <t xml:space="preserve">    Dim lastRow As Long: lastRow = LastDataRow(ws, 1)</t>
  </si>
  <si>
    <t xml:space="preserve">    Dim arr As Collection: Set arr = New Collection</t>
  </si>
  <si>
    <t xml:space="preserve">        If Trim$(ws.Cells(r, 1).Value) &lt;&gt; "" Then</t>
  </si>
  <si>
    <t xml:space="preserve">            Dim rec As Object: Set rec = CreateObject("Scripting.Dictionary")</t>
  </si>
  <si>
    <t xml:space="preserve">            rec("id") = CStr(Nz(ws.Cells(r, 1).Value))</t>
  </si>
  <si>
    <t xml:space="preserve">            rec("label") = CStr(Nz(ws.Cells(r, 2).Value))</t>
  </si>
  <si>
    <t xml:space="preserve">            rec("rgb1_hex") = CStr(Nz(ws.Cells(r, 3).Value))</t>
  </si>
  <si>
    <t xml:space="preserve">            rec("rgb2_hex") = CStr(Nz(ws.Cells(r, 4).Value))</t>
  </si>
  <si>
    <t xml:space="preserve">            arr.Add rec</t>
  </si>
  <si>
    <t xml:space="preserve">    Dim root As Object: Set root = CreateObject("Scripting.Dictionary")</t>
  </si>
  <si>
    <t xml:space="preserve">    root("schema") = 1</t>
  </si>
  <si>
    <t xml:space="preserve">    root("active_color") = CStr(Nz(ws.Range("F1").Value))</t>
  </si>
  <si>
    <t xml:space="preserve">    Set root("colors") = arr</t>
  </si>
  <si>
    <t xml:space="preserve">    WriteTextFile ThisWorkbook.Path &amp; "\" &amp; FN_COL, JsonConverter.ConvertToJson(root, Whitespace:=2)</t>
  </si>
  <si>
    <t>Private Sub WriteLightPatterns()</t>
  </si>
  <si>
    <t xml:space="preserve">    Dim ws As Worksheet: Set ws = SheetByName(SH_PAT)</t>
  </si>
  <si>
    <t xml:space="preserve">            Dim rec As Object, pms As Object</t>
  </si>
  <si>
    <t xml:space="preserve">            Set pms = CreateObject("Scripting.Dictionary")</t>
  </si>
  <si>
    <t xml:space="preserve">            pms("color_cycle_sec") = CDbl(Nz(ws.Cells(r, 3).Value))</t>
  </si>
  <si>
    <t xml:space="preserve">            pms("bright_cycle_sec") = CDbl(Nz(ws.Cells(r, 4).Value))</t>
  </si>
  <si>
    <t xml:space="preserve">            pms("fade_width") = CLng(Nz(ws.Cells(r, 5).Value))</t>
  </si>
  <si>
    <t xml:space="preserve">            pms("min_brightness") = CLng(Nz(ws.Cells(r, 6).Value))</t>
  </si>
  <si>
    <t xml:space="preserve">            pms("gradient_speed") = CDbl(Nz(ws.Cells(r, 7).Value))</t>
  </si>
  <si>
    <t xml:space="preserve">            pms("center_x") = CDbl(Nz(ws.Cells(r, 8).Value))</t>
  </si>
  <si>
    <t xml:space="preserve">            pms("center_y") = CDbl(Nz(ws.Cells(r, 9).Value))</t>
  </si>
  <si>
    <t xml:space="preserve">            pms("radius") = CDbl(Nz(ws.Cells(r, 10).Value))</t>
  </si>
  <si>
    <t xml:space="preserve">            pms("window_width") = CDbl(Nz(ws.Cells(r, 11).Value))</t>
  </si>
  <si>
    <t xml:space="preserve">            pms("radius_osc") = CDbl(Nz(ws.Cells(r, 12).Value))</t>
  </si>
  <si>
    <t xml:space="preserve">            pms("x_amp") = CDbl(Nz(ws.Cells(r, 13).Value))</t>
  </si>
  <si>
    <t xml:space="preserve">            pms("y_amp") = CDbl(Nz(ws.Cells(r, 14).Value))</t>
  </si>
  <si>
    <t xml:space="preserve">            pms("x_cycle_sec") = CDbl(Nz(ws.Cells(r, 15).Value))</t>
  </si>
  <si>
    <t xml:space="preserve">            pms("y_cycle_sec") = CDbl(Nz(ws.Cells(r, 16).Value))</t>
  </si>
  <si>
    <t xml:space="preserve">            Set rec("params") = pms</t>
  </si>
  <si>
    <t xml:space="preserve">    root("active_pattern") = CStr(Nz(ws.Range("F1").Value))</t>
  </si>
  <si>
    <t xml:space="preserve">    Set root("patterns") = arr</t>
  </si>
  <si>
    <t xml:space="preserve">    WriteTextFile ThisWorkbook.Path &amp; "\" &amp; FN_PAT, JsonConverter.ConvertToJson(root, Whitespace:=2)</t>
  </si>
  <si>
    <t>Private Sub WriteThemeBoxes()</t>
  </si>
  <si>
    <t xml:space="preserve">    Set ws = SheetByName(SH_BOX)              ' jouw theme-box sheet</t>
  </si>
  <si>
    <t xml:space="preserve">    lastRow = LastDataRow(ws, 1)             ' kolom 1 = id</t>
  </si>
  <si>
    <t xml:space="preserve">    Dim boxes As Collection</t>
  </si>
  <si>
    <t xml:space="preserve">    Set boxes = New Collection</t>
  </si>
  <si>
    <t xml:space="preserve">            Dim rec As Object</t>
  </si>
  <si>
    <t xml:space="preserve">            Dim dirArr As Variant</t>
  </si>
  <si>
    <t xml:space="preserve">            ' id</t>
  </si>
  <si>
    <t xml:space="preserve">            rec("id") = CLng(Nz(ws.Cells(r, 1).Value))</t>
  </si>
  <si>
    <t xml:space="preserve">            ' name</t>
  </si>
  <si>
    <t xml:space="preserve">            rec("name") = CStr(Nz(ws.Cells(r, 2).Value))</t>
  </si>
  <si>
    <t xml:space="preserve">            ' dir_ids uit CSV-string in kolom 3</t>
  </si>
  <si>
    <t xml:space="preserve">            dirArr = CsvToNumericArray(Nz(ws.Cells(r, 3).Value))</t>
  </si>
  <si>
    <t xml:space="preserve">            rec("dir_ids") = dirArr</t>
  </si>
  <si>
    <t xml:space="preserve">            boxes.Add rec</t>
  </si>
  <si>
    <t xml:space="preserve">    root("format_version") = 1              ' theme_boxes.json v1</t>
  </si>
  <si>
    <t xml:space="preserve">    Set root("theme_boxes") = boxes</t>
  </si>
  <si>
    <t xml:space="preserve">    WriteTextFile ThisWorkbook.Path &amp; "\" &amp; FN_BOX, _</t>
  </si>
  <si>
    <t>'------------------------------- HELPERS -------------------------------</t>
  </si>
  <si>
    <t>Private Function SheetByName(ByVal nm As String) As Worksheet</t>
  </si>
  <si>
    <t xml:space="preserve">    Set SheetByName = ThisWorkbook.Worksheets(nm)</t>
  </si>
  <si>
    <t>Private Sub EnsureSheetWithHeaders(ByVal nm As String, ByVal headers As Variant)</t>
  </si>
  <si>
    <t xml:space="preserve">    Dim ws As Worksheet: Set ws = SheetByName(nm)</t>
  </si>
  <si>
    <t xml:space="preserve">    If ws Is Nothing Then</t>
  </si>
  <si>
    <t xml:space="preserve">        Set ws = ThisWorkbook.Worksheets.Add(After:=ThisWorkbook.Sheets(ThisWorkbook.Sheets.count))</t>
  </si>
  <si>
    <t xml:space="preserve">        ws.Name = nm</t>
  </si>
  <si>
    <t xml:space="preserve">    If IsEmpty(ws.Cells(1, 1).Value) Then</t>
  </si>
  <si>
    <t xml:space="preserve">        Dim c As Long</t>
  </si>
  <si>
    <t xml:space="preserve">        For c = 0 To UBound(headers)</t>
  </si>
  <si>
    <t xml:space="preserve">            ws.Cells(1, c + 1).Value = headers(c)</t>
  </si>
  <si>
    <t xml:space="preserve">            ws.Cells(1, c + 1).Font.Bold = True</t>
  </si>
  <si>
    <t xml:space="preserve">        Next c</t>
  </si>
  <si>
    <t>Private Sub ClearData(ByVal nm As String)</t>
  </si>
  <si>
    <t xml:space="preserve">    If ws Is Nothing Then Exit Sub</t>
  </si>
  <si>
    <t xml:space="preserve">    Dim lastCol As Long: lastCol = ws.Cells(1, ws.Columns.count).End(xlToLeft).Column</t>
  </si>
  <si>
    <t xml:space="preserve">    If lastCol &lt; 1 Then lastCol = 1</t>
  </si>
  <si>
    <t xml:space="preserve">    ws.Range(ws.Cells(2, 1), ws.Cells(ws.Rows.count, lastCol)).ClearContents</t>
  </si>
  <si>
    <t>Private Sub AutoFitHeaders(ByVal ws As Worksheet, ByVal headerCols As Long)</t>
  </si>
  <si>
    <t xml:space="preserve">    ws.Range(ws.Cells(1, 1), ws.Cells(1, headerCols)).EntireColumn.AutoFit</t>
  </si>
  <si>
    <t>Private Function FileExists(ByVal p As String) As Boolean</t>
  </si>
  <si>
    <t xml:space="preserve">    FileExists = (Dir(p, vbNormal) &lt;&gt; "")</t>
  </si>
  <si>
    <t>Private Function ReadTextFile(ByVal p As String) As String</t>
  </si>
  <si>
    <t xml:space="preserve">    Dim fso As Object, ts As Object</t>
  </si>
  <si>
    <t xml:space="preserve">    Set fso = CreateObject("Scripting.FileSystemObject")</t>
  </si>
  <si>
    <t xml:space="preserve">    Set ts = fso.OpenTextFile(p, 1, False)</t>
  </si>
  <si>
    <t xml:space="preserve">    ReadTextFile = ts.ReadAll</t>
  </si>
  <si>
    <t xml:space="preserve">    ts.Close</t>
  </si>
  <si>
    <t>Private Sub WriteTextFile(ByVal p As String, ByVal s As String)</t>
  </si>
  <si>
    <t xml:space="preserve">    Set ts = fso.CreateTextFile(p, True)</t>
  </si>
  <si>
    <t xml:space="preserve">    ts.Write s</t>
  </si>
  <si>
    <t>Private Function LastDataRow(ws As Worksheet, ByVal firstCol As Long) As Long</t>
  </si>
  <si>
    <t xml:space="preserve">    r = ws.Cells(ws.Rows.count, firstCol).End(xlUp).Row</t>
  </si>
  <si>
    <t xml:space="preserve">    If r &lt; 2 Then r = 1</t>
  </si>
  <si>
    <t xml:space="preserve">    LastDataRow = r</t>
  </si>
  <si>
    <t>Private Function Nz(v) As Variant</t>
  </si>
  <si>
    <t xml:space="preserve">    If IsObject(v) Then</t>
  </si>
  <si>
    <t xml:space="preserve">        Set Nz = v</t>
  </si>
  <si>
    <t xml:space="preserve">    ElseIf IsEmpty(v) Or IsNull(v) Then</t>
  </si>
  <si>
    <t xml:space="preserve">        Nz = ""</t>
  </si>
  <si>
    <t xml:space="preserve">        Nz = v</t>
  </si>
  <si>
    <t>Private Function ToStringArray(col As Variant) As Variant</t>
  </si>
  <si>
    <t xml:space="preserve">    Dim tmp() As String, i As Long</t>
  </si>
  <si>
    <t xml:space="preserve">    ReDim tmp(0 To col.count - 1)</t>
  </si>
  <si>
    <t xml:space="preserve">    For i = 1 To col.count</t>
  </si>
  <si>
    <t xml:space="preserve">        tmp(i - 1) = CStr(col(i))</t>
  </si>
  <si>
    <t xml:space="preserve">    Next i</t>
  </si>
  <si>
    <t xml:space="preserve">    ToStringArray = tmp</t>
  </si>
  <si>
    <t>Private Function CsvToNumericArray(ByVal csv As String) As Variant</t>
  </si>
  <si>
    <t xml:space="preserve">    Dim parts() As String, outArr() As Variant, i As Long</t>
  </si>
  <si>
    <t xml:space="preserve">    If Trim$(csv) = "" Then</t>
  </si>
  <si>
    <t xml:space="preserve">        ReDim outArr(0 To -1)</t>
  </si>
  <si>
    <t xml:space="preserve">        CsvToNumericArray = outArr</t>
  </si>
  <si>
    <t xml:space="preserve">        Exit Function</t>
  </si>
  <si>
    <t xml:space="preserve">    parts = Split(csv, ",")</t>
  </si>
  <si>
    <t xml:space="preserve">    ReDim outArr(0 To UBound(parts))</t>
  </si>
  <si>
    <t xml:space="preserve">    For i = LBound(parts) To UBound(parts)</t>
  </si>
  <si>
    <t xml:space="preserve">        outArr(i) = CLng(Val(Trim$(parts(i))))</t>
  </si>
  <si>
    <t xml:space="preserve">    CsvToNumericArray = outArr</t>
  </si>
  <si>
    <t>download(read) light_colors.csv and light_patterns.csv</t>
  </si>
  <si>
    <t>Sinterklaas</t>
  </si>
  <si>
    <t>Lemon Yellow</t>
  </si>
  <si>
    <t>#FFF44F</t>
  </si>
  <si>
    <t>#AAAA22</t>
  </si>
  <si>
    <t>## Gebruiksaanwijzing (NL) – kwalkalender 9b.xlsm</t>
  </si>
  <si>
    <t>### 1. Doel</t>
  </si>
  <si>
    <t>Dit Excel-bestand is bedoeld om een kalender met “events” (datum + tekst + licht/kleuren/patroon + interval) samen te stellen, en die als tabel “calendar” (en vermoedelijk ook als calendar.csv) te kunnen gebruiken in je KWAL2-systeem.</t>
  </si>
  <si>
    <t>---</t>
  </si>
  <si>
    <t>## 2. Overzicht van de tabbladen (wat is wat)</t>
  </si>
  <si>
    <t>### 2.1 inputSpecial</t>
  </si>
  <si>
    <t>Voor beweeglijke feestdagen of “specials” waarvan de datum afhangt van het jaar (bv. Pasen, Pinksteren, Carnaval).</t>
  </si>
  <si>
    <t>Belangrijke onderdelen:</t>
  </si>
  <si>
    <t>1. Invoertabel (links, vanaf rij 7)</t>
  </si>
  <si>
    <t xml:space="preserve">   Kolommen (rij 5 geeft de headers):</t>
  </si>
  <si>
    <t xml:space="preserve">   - code</t>
  </si>
  <si>
    <t xml:space="preserve">   - code2 → extra tekstregel / toevoeging</t>
  </si>
  <si>
    <t xml:space="preserve">   - yr → wordt automatisch gevuld</t>
  </si>
  <si>
    <t xml:space="preserve">   - mo en dy → worden gevuld via VBA-functies FeestMaand() en FeestDag()</t>
  </si>
  <si>
    <t xml:space="preserve">   - theme, colors, pattern, intervalMinutes → komen via lookup uit de tabel rechts</t>
  </si>
  <si>
    <t>2. Jaar-bereik</t>
  </si>
  <si>
    <t xml:space="preserve">   - Cel F2 bevat startjaar (bij jou: 2026)</t>
  </si>
  <si>
    <t xml:space="preserve">   - Cel F3 is eindjaar (=F2+12)</t>
  </si>
  <si>
    <t xml:space="preserve">   - De kolom yr wordt automatisch doorgeteld per code.</t>
  </si>
  <si>
    <t>3. Lookup-tabel “Feest” (rechts, vanaf kolom U)</t>
  </si>
  <si>
    <t xml:space="preserve">   Daar staat per code de standaard invulling:</t>
  </si>
  <si>
    <t xml:space="preserve">   - text1</t>
  </si>
  <si>
    <t xml:space="preserve">   - audio/theme (“audio” lijkt bij jou gebruikt als “theme”)</t>
  </si>
  <si>
    <t xml:space="preserve">   - colors</t>
  </si>
  <si>
    <t xml:space="preserve">   - pattern</t>
  </si>
  <si>
    <t xml:space="preserve">   - interval</t>
  </si>
  <si>
    <t>Deze tabel heet als named range Feest en/of Specials.</t>
  </si>
  <si>
    <t>### 2.2 inputAnnual</t>
  </si>
  <si>
    <t>Voor vaste jaarlijkse gebeurtenissen (verjaardagen, 1e van de maand, kerst, nieuwjaar, sinterklaas, etc.)</t>
  </si>
  <si>
    <t xml:space="preserve">   Kolommen:</t>
  </si>
  <si>
    <t xml:space="preserve">   - extraText</t>
  </si>
  <si>
    <t xml:space="preserve">   - yr → vaak 0 (betekent vermoedelijk: “elk jaar”; zie vragen)</t>
  </si>
  <si>
    <t xml:space="preserve">   - mo, dy → hier vul je normaal vaste maand/dag in</t>
  </si>
  <si>
    <t xml:space="preserve">   - theme, colors, pattern, intervalMinutes → via lookup rechts</t>
  </si>
  <si>
    <t>2. Lookup-tabel “Annuals” (rechts, vanaf kolom U)</t>
  </si>
  <si>
    <t xml:space="preserve">   Daar staat per code de standaard invulling (tekst/theme/kleuren/pattern/interval).</t>
  </si>
  <si>
    <t>Deze tabel heet als named range Annuals.</t>
  </si>
  <si>
    <t>### 2.3 export_calendar</t>
  </si>
  <si>
    <t>Dit tabblad is de verzamel- en exportlaag.</t>
  </si>
  <si>
    <t>Er staan 3 gebieden:</t>
  </si>
  <si>
    <t>1. specialList (named range: specialList = B3:I207)</t>
  </si>
  <si>
    <t xml:space="preserve">   - Een dynamische “uitrol” van inputSpecial.</t>
  </si>
  <si>
    <t>2. annualList (named range: annualList = K3:R411)</t>
  </si>
  <si>
    <t xml:space="preserve">   - Een dynamische “uitrol” van inputAnnual.</t>
  </si>
  <si>
    <t>3. exportlist (named range: exportlist = AI3:AP2179)</t>
  </si>
  <si>
    <t xml:space="preserve">   - Dit is de eindlijst met kolommen:</t>
  </si>
  <si>
    <t xml:space="preserve">     - Year, Month, Day, Theme, Color, Pattern, Interval, Say</t>
  </si>
  <si>
    <t xml:space="preserve">   - Let op: in jouw bestand lijken dit geen formules maar vaste waarden (dus waarschijnlijk door VBA/macro gevuld).</t>
  </si>
  <si>
    <t>### 2.4 calendar</t>
  </si>
  <si>
    <t>Dit is de “finale” kalender in ID-vorm (voor je firmware).</t>
  </si>
  <si>
    <t>Kolommen:</t>
  </si>
  <si>
    <t>- theme_box_id = MATCH(theme)-1 in theme_boxes</t>
  </si>
  <si>
    <t>- pattern_id = MATCH(pattern)-1 in light_patterns</t>
  </si>
  <si>
    <t>Extra:</t>
  </si>
  <si>
    <t>### 2.5 theme_boxes / light_patterns / light_colors</t>
  </si>
  <si>
    <t>Dit zijn de “woordenboeken”:</t>
  </si>
  <si>
    <t>1. theme_boxes</t>
  </si>
  <si>
    <t xml:space="preserve">   - id wordt automatisch genummerd</t>
  </si>
  <si>
    <t xml:space="preserve">   - name is de label die je in inputSpecial/inputAnnual gebruikt</t>
  </si>
  <si>
    <t xml:space="preserve">   - dir_id is je mapping naar audio/dirs (lijkt een lijst met dir-id’s)</t>
  </si>
  <si>
    <t>2. light_patterns</t>
  </si>
  <si>
    <t xml:space="preserve">   - id, label, cyclustijden, active_pattern etc.</t>
  </si>
  <si>
    <t xml:space="preserve">   - label is wat je invult/lookup’t als pattern</t>
  </si>
  <si>
    <t>3. light_colors</t>
  </si>
  <si>
    <t xml:space="preserve">   - id, label, rgb1_hex, rgb2_hex</t>
  </si>
  <si>
    <t xml:space="preserve">   - label is wat je invult/lookup’t als colors</t>
  </si>
  <si>
    <t>## 3. Werkwijze: stap-voor-stap</t>
  </si>
  <si>
    <t>### 3.1 Een nieuwe “special” (beweeglijke feestdag) toevoegen</t>
  </si>
  <si>
    <t>1. Ga naar inputSpecial.</t>
  </si>
  <si>
    <t>2. Voeg (rechts in de Feest/Specials-tabel, kolom U…) een nieuwe regel toe:</t>
  </si>
  <si>
    <t xml:space="preserve">   1) code</t>
  </si>
  <si>
    <t xml:space="preserve">   2) text1 (wat gesproken/afgedrukt wordt)</t>
  </si>
  <si>
    <t xml:space="preserve">   3) audio (dit lijkt bij jou de “theme” te zijn)</t>
  </si>
  <si>
    <t xml:space="preserve">   4) colors</t>
  </si>
  <si>
    <t xml:space="preserve">   5) pattern</t>
  </si>
  <si>
    <t xml:space="preserve">   6) interval</t>
  </si>
  <si>
    <t>3. Voeg links in de invoerlijst (kolom D) je code toe op een nieuwe regel.</t>
  </si>
  <si>
    <t>4. Optioneel: zet in code2 extra tekst.</t>
  </si>
  <si>
    <t>5. Controleer dat yr/mo/dy/theme/colors/pattern/intervalMinutes automatisch gevuld worden.</t>
  </si>
  <si>
    <t>### 3.2 Een nieuwe jaarlijkse regel (verjaardag/vaste datum) toevoegen</t>
  </si>
  <si>
    <t>1. Ga naar inputAnnual.</t>
  </si>
  <si>
    <t>2. Voeg (rechts in Annuals-tabel) een nieuwe code toe met default instellingen.</t>
  </si>
  <si>
    <t>3. Vul links een nieuwe invoerregel:</t>
  </si>
  <si>
    <t xml:space="preserve">   2) extraText</t>
  </si>
  <si>
    <t xml:space="preserve">   3) yr (meestal 0 in jouw voorbeelden)</t>
  </si>
  <si>
    <t xml:space="preserve">   4) mo, dy (vaste datum)</t>
  </si>
  <si>
    <t>4. Controleer dat theme/colors/pattern/intervalMinutes gevuld worden via lookup.</t>
  </si>
  <si>
    <t>## 4. Controleren of alles “klopt”</t>
  </si>
  <si>
    <t>### 4.1 Kleur/Pattern/Theme bestaan?</t>
  </si>
  <si>
    <t>1. Theme moet exact voorkomen in theme_boxes!B:B.</t>
  </si>
  <si>
    <t>2. Pattern moet exact voorkomen in light_patterns!B:B.</t>
  </si>
  <si>
    <t>3. Color moet exact voorkomen in colors_list (bij jou: calendar!P:Q).</t>
  </si>
  <si>
    <t>Als een kleur niet gevonden wordt:</t>
  </si>
  <si>
    <t>- In calendar zie je dat terug doordat color_id #N/A wordt en kolom J de missende tekst toont.</t>
  </si>
  <si>
    <t>### 4.2 Datums</t>
  </si>
  <si>
    <t>1. Specials: mo/dy komt uit FeestMaand() / FeestDag().</t>
  </si>
  <si>
    <t>2. Annuals: mo/dy komt uit je invoer.</t>
  </si>
  <si>
    <t>## 5. Export (wat je uiteindelijk nodig hebt)</t>
  </si>
  <si>
    <t>Wat ik wel kan zien:</t>
  </si>
  <si>
    <t>- “about” bevat teksten als:</t>
  </si>
  <si>
    <t xml:space="preserve">  - “upload (save, store) calendar.csv”</t>
  </si>
  <si>
    <t xml:space="preserve">  - “overwrite existing calendar.csv without warning”</t>
  </si>
  <si>
    <t xml:space="preserve">  - “download light_colors.csv and light_patterns.csv”</t>
  </si>
  <si>
    <t>Wat ik niet kan zien zonder de VBA-code (en ik ga dat niet raden):</t>
  </si>
  <si>
    <t>- Of export_calendar!exportlist door een macro opnieuw wordt opgebouwd (lijkt van wel).</t>
  </si>
  <si>
    <t>## 6. Vragen die ik moet weten (anders ga ik gokken)</t>
  </si>
  <si>
    <t>1. Wat is de officiële bron van waarheid voor export?</t>
  </si>
  <si>
    <t xml:space="preserve">   A) tab calendar (ID’s) of B) tab export_calendar exportlist (tekstlabels) of C) beide?</t>
  </si>
  <si>
    <t>2. Wat is het exacte bestandsformaat dat je systeem verwacht?</t>
  </si>
  <si>
    <t xml:space="preserve">   - calendar.csv? Welke kolommen en in welke volgorde?</t>
  </si>
  <si>
    <t xml:space="preserve">   - Scheidingsteken ; of , ?</t>
  </si>
  <si>
    <t xml:space="preserve">   - Header wel/niet?</t>
  </si>
  <si>
    <t>3. In inputAnnual: betekent yr = 0 bij jou definitief “elk jaar”, of is het iets anders?</t>
  </si>
  <si>
    <t>4. In inputSpecial: de jaar-loop loopt van F2 t/m F3 (F2+12). Moet dat altijd 12 jaar zijn, of wil je dat als parameter?</t>
  </si>
  <si>
    <t>5. Bestaat er al een knop “export/upload/download” in het bestand die je gebruikt? Zo ja: hoe heet die knop/macro (naam in VBA of knoptekst)?</t>
  </si>
  <si>
    <t>februari</t>
  </si>
  <si>
    <t>NJ</t>
  </si>
  <si>
    <t>K1</t>
  </si>
  <si>
    <t>K2</t>
  </si>
  <si>
    <t>EM</t>
  </si>
  <si>
    <t>HG</t>
  </si>
  <si>
    <t>BV</t>
  </si>
  <si>
    <t>SK</t>
  </si>
  <si>
    <t>OJ</t>
  </si>
  <si>
    <t>Oudjaar</t>
  </si>
  <si>
    <t>DH</t>
  </si>
  <si>
    <t>Dodenherdenking</t>
  </si>
  <si>
    <t>KD</t>
  </si>
  <si>
    <t>OK</t>
  </si>
  <si>
    <t>Onnozele Kinderen</t>
  </si>
  <si>
    <t>SJ</t>
  </si>
  <si>
    <t>SintJan</t>
  </si>
  <si>
    <t>VD</t>
  </si>
  <si>
    <t>Valentijns en verlovingsdag</t>
  </si>
  <si>
    <t>PI</t>
  </si>
  <si>
    <t>P1</t>
  </si>
  <si>
    <t>P2</t>
  </si>
  <si>
    <t>Tweede Paasdag</t>
  </si>
  <si>
    <t>C1</t>
  </si>
  <si>
    <t>C2</t>
  </si>
  <si>
    <t>C3</t>
  </si>
  <si>
    <t>X1</t>
  </si>
  <si>
    <t>X2</t>
  </si>
  <si>
    <t>HV</t>
  </si>
  <si>
    <t>AW</t>
  </si>
  <si>
    <t>GV</t>
  </si>
  <si>
    <t>en nog meer decimalen</t>
  </si>
  <si>
    <t>Agge mar leut heht</t>
  </si>
  <si>
    <t>Carnaval</t>
  </si>
  <si>
    <t>SF</t>
  </si>
  <si>
    <t>Suikerfeest</t>
  </si>
  <si>
    <t>RosenMoontach</t>
  </si>
  <si>
    <t>Laatste Carnavalsdag</t>
  </si>
  <si>
    <t>Nog steeds Pinksteren</t>
  </si>
  <si>
    <t>Inner White Outer Red</t>
  </si>
  <si>
    <t>#FF0000</t>
  </si>
  <si>
    <t>light_pattern_id</t>
  </si>
  <si>
    <t>light_pattern_name</t>
  </si>
  <si>
    <t>fade_width</t>
  </si>
  <si>
    <t>min_brightness</t>
  </si>
  <si>
    <t>Misty Bloom</t>
  </si>
  <si>
    <t>Lively Sparkle</t>
  </si>
  <si>
    <t>Mystic Orbit</t>
  </si>
  <si>
    <t>Soft Pulse</t>
  </si>
  <si>
    <t>Quick Flicker</t>
  </si>
  <si>
    <t>Broad Sweep</t>
  </si>
  <si>
    <t>Calm Radiance</t>
  </si>
  <si>
    <t>Energetic Beat</t>
  </si>
  <si>
    <t>Radiant Shine</t>
  </si>
  <si>
    <t>Twinkling Lights</t>
  </si>
  <si>
    <t>Gentle Ripples</t>
  </si>
  <si>
    <t>Vibrant Blink</t>
  </si>
  <si>
    <t>Stationary Split</t>
  </si>
  <si>
    <t>Dancing Embers</t>
  </si>
  <si>
    <t>Polar Lights</t>
  </si>
  <si>
    <t>Fireworks</t>
  </si>
  <si>
    <t>Pulse</t>
  </si>
  <si>
    <t>Static Situation</t>
  </si>
  <si>
    <t>download(read) theme_boxes.csv</t>
  </si>
  <si>
    <t>tts_sentence</t>
  </si>
  <si>
    <t>tts_interval_min</t>
  </si>
  <si>
    <t>light_colors_id</t>
  </si>
  <si>
    <t>theme_box_name</t>
  </si>
  <si>
    <t>entries</t>
  </si>
  <si>
    <t>#8888aa</t>
  </si>
  <si>
    <t>#4CAF50</t>
  </si>
  <si>
    <t>#00ACC1</t>
  </si>
  <si>
    <t>#9C27B0</t>
  </si>
  <si>
    <t>#FF9800</t>
  </si>
  <si>
    <t>#2196F3</t>
  </si>
  <si>
    <t>#0D47A1</t>
  </si>
  <si>
    <t>#F44336</t>
  </si>
  <si>
    <t>#FF5722</t>
  </si>
  <si>
    <t>#795548</t>
  </si>
  <si>
    <t>#1565C0</t>
  </si>
  <si>
    <t>#E91E63</t>
  </si>
  <si>
    <t>#FF6F00</t>
  </si>
  <si>
    <t>#006064</t>
  </si>
  <si>
    <t>#FFC107</t>
  </si>
  <si>
    <t>#2E7D32</t>
  </si>
  <si>
    <t>#7E57C2</t>
  </si>
  <si>
    <t>#455A64</t>
  </si>
  <si>
    <t>#26A69A</t>
  </si>
  <si>
    <t>#1976D2</t>
  </si>
  <si>
    <t>#546E7A</t>
  </si>
  <si>
    <t>#AB47BC</t>
  </si>
  <si>
    <t>#66BB6A</t>
  </si>
  <si>
    <t>#EF6C00</t>
  </si>
  <si>
    <t>#43A047</t>
  </si>
  <si>
    <t>BIRDS1</t>
  </si>
  <si>
    <t>#388E3C</t>
  </si>
  <si>
    <t>BIRDS2</t>
  </si>
  <si>
    <t>#81C784</t>
  </si>
  <si>
    <t>BIRDS3</t>
  </si>
  <si>
    <t>#00897B</t>
  </si>
  <si>
    <t>BIRDS4</t>
  </si>
  <si>
    <t>#4DB6AC</t>
  </si>
  <si>
    <t>BIRDS5</t>
  </si>
  <si>
    <t>#8BC34A</t>
  </si>
  <si>
    <t>BIRDS6</t>
  </si>
  <si>
    <t>#558B2F</t>
  </si>
  <si>
    <t>BIRDS7</t>
  </si>
  <si>
    <t>#33691E</t>
  </si>
  <si>
    <t>BIRDS8</t>
  </si>
  <si>
    <t>#1B5E20</t>
  </si>
  <si>
    <t>BIRDS9</t>
  </si>
  <si>
    <t>002,003,020,021,085,086,087,088,089,090,091,092,093,094,095,096,097,098,099</t>
  </si>
  <si>
    <t>009,010,013,027,028,031,032</t>
  </si>
  <si>
    <t>011,012,029,030,077,078,079,080,081,082,083,084</t>
  </si>
  <si>
    <t>015,033</t>
  </si>
  <si>
    <t>016,034,102,103,104,105,106,107</t>
  </si>
  <si>
    <t>017</t>
  </si>
  <si>
    <t>018</t>
  </si>
  <si>
    <t>035,036,037,038,039,040</t>
  </si>
  <si>
    <t>041,042,051</t>
  </si>
  <si>
    <t>043</t>
  </si>
  <si>
    <t>014,044,045</t>
  </si>
  <si>
    <t>046,047,048,049</t>
  </si>
  <si>
    <t>050</t>
  </si>
  <si>
    <t>072,073,074,076</t>
  </si>
  <si>
    <t>100,101</t>
  </si>
  <si>
    <t>108</t>
  </si>
  <si>
    <t>009,010,013,027,028,031,032,044,045</t>
  </si>
  <si>
    <t>001,004,005,006,007,008,019,022,023,095</t>
  </si>
  <si>
    <t>024,025,026,052,053,054,055,056,057,096</t>
  </si>
  <si>
    <t>058,059,060,061,062,063,064,065,066,097</t>
  </si>
  <si>
    <t>075,085,086,087,088,089,090,091,092,099</t>
  </si>
  <si>
    <t>127,128,129,130,131,132,133,134</t>
  </si>
  <si>
    <t>135,136,137,138,139,140,141</t>
  </si>
  <si>
    <t>Eerste van de maand februari</t>
  </si>
  <si>
    <t>Carnaval, Tadaaaaah - tadaaaah</t>
  </si>
  <si>
    <t>Carnaval, Alaaf!!</t>
  </si>
  <si>
    <t>RosenMoontach, Agge mar leut heht</t>
  </si>
  <si>
    <t>Nog steeds Pinksteren,  - wat is dat ook weer??</t>
  </si>
  <si>
    <t>Carnaval, Keiebijters!!</t>
  </si>
  <si>
    <t>RosenMoontach, Tadaaaaah - tadaaaah</t>
  </si>
  <si>
    <t>Tweede Paasdag, zoek de eitjes</t>
  </si>
  <si>
    <t>Nog steeds Pinksteren,  - iets met vurige tongen?</t>
  </si>
  <si>
    <t>Carnaval, En deh hittie naw gedonn umdettie Hellemonder is</t>
  </si>
  <si>
    <t>RosenMoontach, Alaaf!!</t>
  </si>
  <si>
    <t>Nog steeds Pinksteren,  - de Heilige Geest zien vliegen???</t>
  </si>
  <si>
    <t>Carnaval, Agge mar leut heht</t>
  </si>
  <si>
    <t>RosenMoontach, Keiebijters!!</t>
  </si>
  <si>
    <t>RosenMoontach, En deh hittie naw gedonn umdettie Hellemonder is</t>
  </si>
  <si>
    <t>Tweede Paasdag, waar is de paashaas??</t>
  </si>
  <si>
    <t>light_colors_name</t>
  </si>
  <si>
    <t>009,010,011,012,013,014,015,016,058,059,060,061,062,063,064,065,066,097</t>
  </si>
  <si>
    <t>#607D8B</t>
  </si>
  <si>
    <t>TVSIM</t>
  </si>
  <si>
    <t>#78909C</t>
  </si>
  <si>
    <t>ARAB</t>
  </si>
  <si>
    <t>142,143</t>
  </si>
  <si>
    <t>001,004,005,006,007,008,019,022,023,024,025,026,052,053,054,055,056,057,058,059,060,061,062,063,064,065,066,067,068,069,070,071,075,109,110,111,112,113,114,115,116,117,118,119,120,121,122,123,124,125,126,127,128,129,130,131,132,133,134,135,136,137,138,139,140,141</t>
  </si>
  <si>
    <t>009,010,011,012,013,027,028,029,030,031,032,077,078,079,080,081,082,083,084</t>
  </si>
  <si>
    <t>015,016,033,034,046,047,048,049,102,103,104,105,106,107</t>
  </si>
  <si>
    <t>035,036,037,038,039,040,041,042,051,100,101,108</t>
  </si>
  <si>
    <t>001,002,003,004,005,006,007,008,019,020,021,022,023,024,025,026,052,053,054,055,056,057,058,059,060,061,062,063,064,065,066,067,068,069,070,071,075,085,086,087,088,089,090,091,092,093,094,095,096,097,098,099,109,110,111,112,113,114,115,116,117,118,119,120,121,122,123,124,125,126,127,128,129,130,131,132,133,134,135,136,137,138,139,140,141</t>
  </si>
  <si>
    <t>018,035,036,037,038,039,040,041,042,051,100,101</t>
  </si>
  <si>
    <t>093,109,110,111,112,113,114,115,116,117</t>
  </si>
  <si>
    <t>094,118,119,120,121,122,123,124,125,126</t>
  </si>
  <si>
    <t>002,003,020,021,067,068,069,070,071,098</t>
  </si>
  <si>
    <t>overwrite existing csv's  without warning</t>
  </si>
  <si>
    <t>rebuild and save calendar.csv to /NEW/</t>
  </si>
  <si>
    <t>save light_colors.csv and light_patterns.csv to /NEW/</t>
  </si>
  <si>
    <t>piedag - drie komma een vier enzovoorts !</t>
  </si>
  <si>
    <t>Koningsdag - was vroegah konegginedag</t>
  </si>
  <si>
    <t>piedag - drie komma een vier enzovoorts !en nog meer decimalen</t>
  </si>
  <si>
    <t>018,144,145,146,147,148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</si>
</sst>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/>
    <xf numFmtId="0" fontId="4" fillId="6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6" borderId="0" xfId="0" applyFont="1" applyFill="1"/>
    <xf numFmtId="0" fontId="1" fillId="6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49" fontId="1" fillId="0" borderId="1" xfId="0" applyNumberFormat="1" applyFont="1" applyBorder="1"/>
    <xf numFmtId="49" fontId="2" fillId="0" borderId="0" xfId="0" applyNumberFormat="1" applyFont="1"/>
    <xf numFmtId="49" fontId="0" fillId="0" borderId="0" xfId="0" applyNumberFormat="1"/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 shrinkToFit="1"/>
    </xf>
    <xf numFmtId="49" fontId="0" fillId="0" borderId="0" xfId="0" applyNumberFormat="1" applyAlignment="1">
      <alignment horizontal="left" shrinkToFit="1"/>
    </xf>
    <xf numFmtId="49" fontId="2" fillId="0" borderId="0" xfId="0" quotePrefix="1" applyNumberFormat="1" applyFont="1"/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left" shrinkToFit="1"/>
    </xf>
    <xf numFmtId="49" fontId="1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579437</xdr:colOff>
      <xdr:row>2</xdr:row>
      <xdr:rowOff>119063</xdr:rowOff>
    </xdr:from>
    <xdr:to>
      <xdr:col>2</xdr:col>
      <xdr:colOff>381000</xdr:colOff>
      <xdr:row>5</xdr:row>
      <xdr:rowOff>0</xdr:rowOff>
    </xdr:to>
    <xdr:sp macro="[0]!ExportCSVs" textlink="">
      <xdr:nvSpPr>
        <xdr:cNvPr id="2" name="Arrow: Up 1">
          <a:extLst>
            <a:ext uri="{FF2B5EF4-FFF2-40B4-BE49-F238E27FC236}">
              <a16:creationId xmlns:a16="http://schemas.microsoft.com/office/drawing/2014/main" id="{0670B128-FB3C-3635-B50B-AC845278FEBD}"/>
            </a:ext>
          </a:extLst>
        </xdr:cNvPr>
        <xdr:cNvSpPr/>
      </xdr:nvSpPr>
      <xdr:spPr>
        <a:xfrm>
          <a:off x="8159750" y="500063"/>
          <a:ext cx="412750" cy="452437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  <xdr:twoCellAnchor>
    <xdr:from>
      <xdr:col>1</xdr:col>
      <xdr:colOff>595312</xdr:colOff>
      <xdr:row>7</xdr:row>
      <xdr:rowOff>55563</xdr:rowOff>
    </xdr:from>
    <xdr:to>
      <xdr:col>2</xdr:col>
      <xdr:colOff>436563</xdr:colOff>
      <xdr:row>10</xdr:row>
      <xdr:rowOff>79375</xdr:rowOff>
    </xdr:to>
    <xdr:sp macro="[0]!ReadAllCSV" textlink="">
      <xdr:nvSpPr>
        <xdr:cNvPr id="3" name="Arrow: Down 2">
          <a:extLst>
            <a:ext uri="{FF2B5EF4-FFF2-40B4-BE49-F238E27FC236}">
              <a16:creationId xmlns:a16="http://schemas.microsoft.com/office/drawing/2014/main" id="{A7A01599-1328-B1BE-1205-44901037B046}"/>
            </a:ext>
          </a:extLst>
        </xdr:cNvPr>
        <xdr:cNvSpPr/>
      </xdr:nvSpPr>
      <xdr:spPr>
        <a:xfrm>
          <a:off x="8175625" y="1389063"/>
          <a:ext cx="452438" cy="595312"/>
        </a:xfrm>
        <a:prstGeom prst="downArrow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C1FD-9016-4AFC-A27E-49D72F10B1F5}">
  <sheetPr codeName="Sheet1">
    <tabColor rgb="FF0070C0"/>
  </sheetPr>
  <dimension ref="D2:Z156"/>
  <sheetViews>
    <sheetView topLeftCell="K121" workbookViewId="0">
      <selection activeCell="X11" sqref="X11"/>
    </sheetView>
  </sheetViews>
  <sheetFormatPr defaultRowHeight="15" x14ac:dyDescent="0.25"/>
  <cols>
    <col min="1" max="1" width="5" customWidth="1"/>
    <col min="2" max="2" width="2.140625" customWidth="1"/>
    <col min="3" max="3" width="5" customWidth="1"/>
    <col min="5" max="5" width="27" customWidth="1"/>
    <col min="9" max="9" width="10.7109375" customWidth="1"/>
    <col min="10" max="10" width="16.42578125" customWidth="1"/>
    <col min="11" max="11" width="19.42578125" customWidth="1"/>
    <col min="12" max="12" width="9.5703125" customWidth="1"/>
    <col min="13" max="13" width="26.28515625" style="9" customWidth="1"/>
    <col min="21" max="21" width="9.140625" style="1"/>
    <col min="22" max="22" width="23.140625" customWidth="1"/>
    <col min="23" max="23" width="12.85546875" customWidth="1"/>
    <col min="24" max="24" width="13.28515625" style="1" customWidth="1"/>
    <col min="25" max="25" width="14.42578125" style="1" customWidth="1"/>
    <col min="28" max="28" width="18" bestFit="1" customWidth="1"/>
  </cols>
  <sheetData>
    <row r="2" spans="4:26" x14ac:dyDescent="0.25">
      <c r="F2" s="4">
        <v>2026</v>
      </c>
      <c r="L2">
        <v>0.2</v>
      </c>
    </row>
    <row r="3" spans="4:26" x14ac:dyDescent="0.25">
      <c r="F3" s="4">
        <f>F2+12</f>
        <v>2038</v>
      </c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U4" s="14" t="s">
        <v>1</v>
      </c>
      <c r="V4" s="15" t="s">
        <v>101</v>
      </c>
      <c r="W4" s="15" t="s">
        <v>100</v>
      </c>
      <c r="X4" s="14" t="s">
        <v>97</v>
      </c>
      <c r="Y4" s="14" t="s">
        <v>99</v>
      </c>
      <c r="Z4" s="14" t="s">
        <v>109</v>
      </c>
    </row>
    <row r="5" spans="4:26" x14ac:dyDescent="0.25">
      <c r="D5" s="24" t="s">
        <v>1</v>
      </c>
      <c r="E5" s="24" t="s">
        <v>2</v>
      </c>
      <c r="F5" s="24" t="s">
        <v>5</v>
      </c>
      <c r="G5" s="24" t="s">
        <v>3</v>
      </c>
      <c r="H5" s="24" t="s">
        <v>4</v>
      </c>
      <c r="I5" s="24" t="s">
        <v>96</v>
      </c>
      <c r="J5" s="24" t="s">
        <v>97</v>
      </c>
      <c r="K5" s="24" t="s">
        <v>98</v>
      </c>
      <c r="L5" s="24" t="s">
        <v>15</v>
      </c>
      <c r="M5" s="24" t="s">
        <v>6</v>
      </c>
      <c r="O5" s="1"/>
      <c r="P5" s="1"/>
      <c r="Q5" s="1"/>
      <c r="R5" s="1"/>
      <c r="S5" s="1"/>
      <c r="U5" s="16" t="s">
        <v>1373</v>
      </c>
      <c r="V5" s="17" t="s">
        <v>12</v>
      </c>
      <c r="W5" s="17" t="s">
        <v>58</v>
      </c>
      <c r="X5" s="17" t="s">
        <v>158</v>
      </c>
      <c r="Y5" s="17" t="s">
        <v>261</v>
      </c>
      <c r="Z5" s="17">
        <v>80</v>
      </c>
    </row>
    <row r="6" spans="4:26" x14ac:dyDescent="0.25">
      <c r="D6" s="18"/>
      <c r="E6" s="18"/>
      <c r="F6" s="20"/>
      <c r="G6" s="18"/>
      <c r="H6" s="18"/>
      <c r="I6" s="18"/>
      <c r="J6" s="18"/>
      <c r="K6" s="18"/>
      <c r="L6" s="18"/>
      <c r="M6" s="19"/>
      <c r="O6" s="1"/>
      <c r="P6" s="1"/>
      <c r="Q6" s="1"/>
      <c r="R6" s="1"/>
      <c r="S6" s="1"/>
      <c r="U6" s="16" t="s">
        <v>1379</v>
      </c>
      <c r="V6" s="17" t="s">
        <v>24</v>
      </c>
      <c r="W6" s="17" t="s">
        <v>49</v>
      </c>
      <c r="X6" s="17" t="s">
        <v>167</v>
      </c>
      <c r="Y6" s="17" t="s">
        <v>85</v>
      </c>
      <c r="Z6" s="17">
        <v>146</v>
      </c>
    </row>
    <row r="7" spans="4:26" x14ac:dyDescent="0.25">
      <c r="D7" s="21" t="s">
        <v>1373</v>
      </c>
      <c r="E7" s="22"/>
      <c r="F7" s="18">
        <f>IF(F6=$F$3,$F$2,IF(D7=D6,D6+1,$F$2))</f>
        <v>2026</v>
      </c>
      <c r="G7" s="18">
        <f>FeestMaand(D7,F7)</f>
        <v>4</v>
      </c>
      <c r="H7" s="18">
        <f>FeestDag(D7,F7)</f>
        <v>5</v>
      </c>
      <c r="I7" s="18" t="str">
        <f>IF(D7="","",VLOOKUP($D7,$U$5:$AA$30,I$4,0))</f>
        <v>SATIE</v>
      </c>
      <c r="J7" s="18" t="str">
        <f t="shared" ref="J7:J70" si="0">IF(D7="","",VLOOKUP($D7,$U$5:$AA$30,J$4,0))</f>
        <v>Sunny Yellow</v>
      </c>
      <c r="K7" s="18" t="str">
        <f t="shared" ref="K7:K70" si="1">IF(D7="","",VLOOKUP($D7,$U$5:$AA$30,K$4,0))</f>
        <v>Gentle Waves</v>
      </c>
      <c r="L7" s="18">
        <f t="shared" ref="L7:L38" si="2">IF(ISNA(VLOOKUP($D7,$U$5:$AA$30,L$4,0)),"",INT(VLOOKUP($D7,$U$5:$AA$30,L$4,0)*(1+$L$2*SIN(ROW($D7)))))</f>
        <v>90</v>
      </c>
      <c r="M7" s="19" t="str">
        <f>IF(D7="","",VLOOKUP($D7,$U$5:$AA$30,M$4,0)&amp;IF(E7="","",", "&amp;E7))</f>
        <v>Vrolijk Pasen</v>
      </c>
      <c r="O7" s="1"/>
      <c r="P7" s="1"/>
      <c r="Q7" s="1"/>
      <c r="R7" s="1"/>
      <c r="S7" s="1"/>
      <c r="U7" s="16" t="s">
        <v>1376</v>
      </c>
      <c r="V7" s="17" t="s">
        <v>1386</v>
      </c>
      <c r="W7" s="17" t="s">
        <v>93</v>
      </c>
      <c r="X7" s="17" t="s">
        <v>164</v>
      </c>
      <c r="Y7" s="17" t="s">
        <v>84</v>
      </c>
      <c r="Z7" s="17">
        <v>99</v>
      </c>
    </row>
    <row r="8" spans="4:26" x14ac:dyDescent="0.25">
      <c r="D8" s="21" t="s">
        <v>1373</v>
      </c>
      <c r="E8" s="22" t="s">
        <v>42</v>
      </c>
      <c r="F8" s="18">
        <f>IF(F7=$F$3,$F$2,IF(D8=D7,F7+1,$F$2))</f>
        <v>2027</v>
      </c>
      <c r="G8" s="18">
        <f t="shared" ref="G8:G71" si="3">FeestMaand(D8,F8)</f>
        <v>3</v>
      </c>
      <c r="H8" s="18">
        <f t="shared" ref="H8:H71" si="4">FeestDag(D8,F8)</f>
        <v>28</v>
      </c>
      <c r="I8" s="18" t="str">
        <f t="shared" ref="I8:I70" si="5">IF(D8="","",VLOOKUP($D8,$U$5:$AA$30,I$4,0))</f>
        <v>SATIE</v>
      </c>
      <c r="J8" s="18" t="str">
        <f t="shared" si="0"/>
        <v>Sunny Yellow</v>
      </c>
      <c r="K8" s="18" t="str">
        <f t="shared" si="1"/>
        <v>Gentle Waves</v>
      </c>
      <c r="L8" s="18">
        <f t="shared" si="2"/>
        <v>95</v>
      </c>
      <c r="M8" s="19" t="str">
        <f t="shared" ref="M8:M71" si="6">IF(D8="","",VLOOKUP($D8,$U$5:$AA$30,M$4,0)&amp;IF(E8="","",", "&amp;E8))</f>
        <v>Vrolijk Pasen, zoek de eitjes</v>
      </c>
      <c r="U8" s="16" t="s">
        <v>1381</v>
      </c>
      <c r="V8" s="17" t="s">
        <v>14</v>
      </c>
      <c r="W8" s="17" t="s">
        <v>44</v>
      </c>
      <c r="X8" s="17" t="s">
        <v>227</v>
      </c>
      <c r="Y8" s="17" t="s">
        <v>83</v>
      </c>
      <c r="Z8" s="17">
        <v>111</v>
      </c>
    </row>
    <row r="9" spans="4:26" x14ac:dyDescent="0.25">
      <c r="D9" s="21" t="s">
        <v>1373</v>
      </c>
      <c r="E9" s="22"/>
      <c r="F9" s="18">
        <f t="shared" ref="F9:F72" si="7">IF(F8=$F$3,$F$2,IF(D9=D8,F8+1,$F$2))</f>
        <v>2028</v>
      </c>
      <c r="G9" s="18">
        <f t="shared" si="3"/>
        <v>4</v>
      </c>
      <c r="H9" s="18">
        <f t="shared" si="4"/>
        <v>16</v>
      </c>
      <c r="I9" s="18" t="str">
        <f t="shared" si="5"/>
        <v>SATIE</v>
      </c>
      <c r="J9" s="18" t="str">
        <f t="shared" si="0"/>
        <v>Sunny Yellow</v>
      </c>
      <c r="K9" s="18" t="str">
        <f t="shared" si="1"/>
        <v>Gentle Waves</v>
      </c>
      <c r="L9" s="18">
        <f t="shared" si="2"/>
        <v>86</v>
      </c>
      <c r="M9" s="19" t="str">
        <f t="shared" si="6"/>
        <v>Vrolijk Pasen</v>
      </c>
      <c r="U9" s="16" t="s">
        <v>1382</v>
      </c>
      <c r="V9" s="17" t="s">
        <v>20</v>
      </c>
      <c r="W9" s="17" t="s">
        <v>89</v>
      </c>
      <c r="X9" s="17" t="s">
        <v>204</v>
      </c>
      <c r="Y9" s="17" t="s">
        <v>86</v>
      </c>
      <c r="Z9" s="17">
        <v>222</v>
      </c>
    </row>
    <row r="10" spans="4:26" x14ac:dyDescent="0.25">
      <c r="D10" s="21" t="s">
        <v>1373</v>
      </c>
      <c r="E10" s="22"/>
      <c r="F10" s="18">
        <f t="shared" si="7"/>
        <v>2029</v>
      </c>
      <c r="G10" s="18">
        <f t="shared" si="3"/>
        <v>4</v>
      </c>
      <c r="H10" s="18">
        <f t="shared" si="4"/>
        <v>1</v>
      </c>
      <c r="I10" s="18" t="str">
        <f t="shared" si="5"/>
        <v>SATIE</v>
      </c>
      <c r="J10" s="18" t="str">
        <f t="shared" si="0"/>
        <v>Sunny Yellow</v>
      </c>
      <c r="K10" s="18" t="str">
        <f t="shared" si="1"/>
        <v>Gentle Waves</v>
      </c>
      <c r="L10" s="18">
        <f t="shared" si="2"/>
        <v>71</v>
      </c>
      <c r="M10" s="19" t="str">
        <f t="shared" si="6"/>
        <v>Vrolijk Pasen</v>
      </c>
      <c r="U10" s="16" t="s">
        <v>1383</v>
      </c>
      <c r="V10" s="17" t="s">
        <v>28</v>
      </c>
      <c r="W10" s="17" t="s">
        <v>54</v>
      </c>
      <c r="X10" s="17" t="s">
        <v>181</v>
      </c>
      <c r="Y10" s="17" t="s">
        <v>83</v>
      </c>
      <c r="Z10" s="17">
        <v>234</v>
      </c>
    </row>
    <row r="11" spans="4:26" x14ac:dyDescent="0.25">
      <c r="D11" s="21" t="s">
        <v>1373</v>
      </c>
      <c r="E11" s="22" t="s">
        <v>111</v>
      </c>
      <c r="F11" s="18">
        <f t="shared" si="7"/>
        <v>2030</v>
      </c>
      <c r="G11" s="18">
        <f t="shared" si="3"/>
        <v>4</v>
      </c>
      <c r="H11" s="18">
        <f t="shared" si="4"/>
        <v>21</v>
      </c>
      <c r="I11" s="18" t="str">
        <f t="shared" si="5"/>
        <v>SATIE</v>
      </c>
      <c r="J11" s="18" t="str">
        <f t="shared" si="0"/>
        <v>Sunny Yellow</v>
      </c>
      <c r="K11" s="18" t="str">
        <f t="shared" si="1"/>
        <v>Gentle Waves</v>
      </c>
      <c r="L11" s="18">
        <f t="shared" si="2"/>
        <v>64</v>
      </c>
      <c r="M11" s="19" t="str">
        <f t="shared" si="6"/>
        <v>Vrolijk Pasen, waar is de paashaas??</v>
      </c>
      <c r="U11" s="16" t="s">
        <v>1374</v>
      </c>
      <c r="V11" s="17" t="s">
        <v>1375</v>
      </c>
      <c r="W11" s="17" t="s">
        <v>58</v>
      </c>
      <c r="X11" s="17" t="s">
        <v>198</v>
      </c>
      <c r="Y11" s="17" t="s">
        <v>265</v>
      </c>
      <c r="Z11" s="17">
        <v>311</v>
      </c>
    </row>
    <row r="12" spans="4:26" x14ac:dyDescent="0.25">
      <c r="D12" s="21" t="s">
        <v>1373</v>
      </c>
      <c r="E12" s="22"/>
      <c r="F12" s="18">
        <f t="shared" si="7"/>
        <v>2031</v>
      </c>
      <c r="G12" s="18">
        <f t="shared" si="3"/>
        <v>4</v>
      </c>
      <c r="H12" s="18">
        <f t="shared" si="4"/>
        <v>13</v>
      </c>
      <c r="I12" s="18" t="str">
        <f t="shared" si="5"/>
        <v>SATIE</v>
      </c>
      <c r="J12" s="18" t="str">
        <f t="shared" si="0"/>
        <v>Sunny Yellow</v>
      </c>
      <c r="K12" s="18" t="str">
        <f t="shared" si="1"/>
        <v>Gentle Waves</v>
      </c>
      <c r="L12" s="18">
        <f t="shared" si="2"/>
        <v>71</v>
      </c>
      <c r="M12" s="19" t="str">
        <f t="shared" si="6"/>
        <v>Vrolijk Pasen</v>
      </c>
      <c r="U12" s="16" t="s">
        <v>1377</v>
      </c>
      <c r="V12" s="17" t="s">
        <v>1389</v>
      </c>
      <c r="W12" s="17" t="s">
        <v>93</v>
      </c>
      <c r="X12" s="17" t="s">
        <v>164</v>
      </c>
      <c r="Y12" s="17" t="s">
        <v>84</v>
      </c>
      <c r="Z12" s="17">
        <v>111</v>
      </c>
    </row>
    <row r="13" spans="4:26" x14ac:dyDescent="0.25">
      <c r="D13" s="21" t="s">
        <v>1373</v>
      </c>
      <c r="E13" s="22"/>
      <c r="F13" s="18">
        <f t="shared" si="7"/>
        <v>2032</v>
      </c>
      <c r="G13" s="18">
        <f t="shared" si="3"/>
        <v>3</v>
      </c>
      <c r="H13" s="18">
        <f t="shared" si="4"/>
        <v>28</v>
      </c>
      <c r="I13" s="18" t="str">
        <f t="shared" si="5"/>
        <v>SATIE</v>
      </c>
      <c r="J13" s="18" t="str">
        <f t="shared" si="0"/>
        <v>Sunny Yellow</v>
      </c>
      <c r="K13" s="18" t="str">
        <f t="shared" si="1"/>
        <v>Gentle Waves</v>
      </c>
      <c r="L13" s="18">
        <f t="shared" si="2"/>
        <v>86</v>
      </c>
      <c r="M13" s="19" t="str">
        <f t="shared" si="6"/>
        <v>Vrolijk Pasen</v>
      </c>
      <c r="U13" s="16" t="s">
        <v>1378</v>
      </c>
      <c r="V13" s="17" t="s">
        <v>1390</v>
      </c>
      <c r="W13" s="17" t="s">
        <v>93</v>
      </c>
      <c r="X13" s="17" t="s">
        <v>164</v>
      </c>
      <c r="Y13" s="17" t="s">
        <v>84</v>
      </c>
      <c r="Z13" s="17">
        <v>211</v>
      </c>
    </row>
    <row r="14" spans="4:26" x14ac:dyDescent="0.25">
      <c r="D14" s="21" t="s">
        <v>1373</v>
      </c>
      <c r="E14" s="22"/>
      <c r="F14" s="18">
        <f t="shared" si="7"/>
        <v>2033</v>
      </c>
      <c r="G14" s="18">
        <f t="shared" si="3"/>
        <v>4</v>
      </c>
      <c r="H14" s="18">
        <f t="shared" si="4"/>
        <v>17</v>
      </c>
      <c r="I14" s="18" t="str">
        <f t="shared" si="5"/>
        <v>SATIE</v>
      </c>
      <c r="J14" s="18" t="str">
        <f t="shared" si="0"/>
        <v>Sunny Yellow</v>
      </c>
      <c r="K14" s="18" t="str">
        <f t="shared" si="1"/>
        <v>Gentle Waves</v>
      </c>
      <c r="L14" s="18">
        <f t="shared" si="2"/>
        <v>95</v>
      </c>
      <c r="M14" s="19" t="str">
        <f t="shared" si="6"/>
        <v>Vrolijk Pasen</v>
      </c>
      <c r="U14" s="16" t="s">
        <v>1380</v>
      </c>
      <c r="V14" s="17" t="s">
        <v>1391</v>
      </c>
      <c r="W14" s="17" t="s">
        <v>49</v>
      </c>
      <c r="X14" s="17" t="s">
        <v>167</v>
      </c>
      <c r="Y14" s="17" t="s">
        <v>85</v>
      </c>
      <c r="Z14" s="17">
        <v>211</v>
      </c>
    </row>
    <row r="15" spans="4:26" x14ac:dyDescent="0.25">
      <c r="D15" s="21" t="s">
        <v>1373</v>
      </c>
      <c r="E15" s="22"/>
      <c r="F15" s="18">
        <f t="shared" si="7"/>
        <v>2034</v>
      </c>
      <c r="G15" s="18">
        <f t="shared" si="3"/>
        <v>4</v>
      </c>
      <c r="H15" s="18">
        <f t="shared" si="4"/>
        <v>9</v>
      </c>
      <c r="I15" s="18" t="str">
        <f t="shared" si="5"/>
        <v>SATIE</v>
      </c>
      <c r="J15" s="18" t="str">
        <f t="shared" si="0"/>
        <v>Sunny Yellow</v>
      </c>
      <c r="K15" s="18" t="str">
        <f t="shared" si="1"/>
        <v>Gentle Waves</v>
      </c>
      <c r="L15" s="18">
        <f t="shared" si="2"/>
        <v>90</v>
      </c>
      <c r="M15" s="19" t="str">
        <f t="shared" si="6"/>
        <v>Vrolijk Pasen</v>
      </c>
      <c r="U15" s="16" t="s">
        <v>1387</v>
      </c>
      <c r="V15" s="17" t="s">
        <v>1388</v>
      </c>
      <c r="W15" s="17" t="s">
        <v>52</v>
      </c>
      <c r="X15" s="17" t="s">
        <v>79</v>
      </c>
      <c r="Y15" s="17" t="s">
        <v>259</v>
      </c>
      <c r="Z15" s="17">
        <v>211</v>
      </c>
    </row>
    <row r="16" spans="4:26" x14ac:dyDescent="0.25">
      <c r="D16" s="21" t="s">
        <v>1373</v>
      </c>
      <c r="E16" s="22"/>
      <c r="F16" s="18">
        <f t="shared" si="7"/>
        <v>2035</v>
      </c>
      <c r="G16" s="18">
        <f t="shared" si="3"/>
        <v>3</v>
      </c>
      <c r="H16" s="18">
        <f t="shared" si="4"/>
        <v>25</v>
      </c>
      <c r="I16" s="18" t="str">
        <f t="shared" si="5"/>
        <v>SATIE</v>
      </c>
      <c r="J16" s="18" t="str">
        <f t="shared" si="0"/>
        <v>Sunny Yellow</v>
      </c>
      <c r="K16" s="18" t="str">
        <f t="shared" si="1"/>
        <v>Gentle Waves</v>
      </c>
      <c r="L16" s="18">
        <f t="shared" si="2"/>
        <v>75</v>
      </c>
      <c r="M16" s="19" t="str">
        <f t="shared" si="6"/>
        <v>Vrolijk Pasen</v>
      </c>
      <c r="U16" s="16"/>
      <c r="V16" s="17"/>
      <c r="W16" s="17" t="s">
        <v>92</v>
      </c>
      <c r="X16" s="17" t="s">
        <v>79</v>
      </c>
      <c r="Y16" s="17" t="s">
        <v>83</v>
      </c>
      <c r="Z16" s="17">
        <v>211</v>
      </c>
    </row>
    <row r="17" spans="4:26" x14ac:dyDescent="0.25">
      <c r="D17" s="21" t="s">
        <v>1373</v>
      </c>
      <c r="E17" s="22"/>
      <c r="F17" s="18">
        <f t="shared" si="7"/>
        <v>2036</v>
      </c>
      <c r="G17" s="18">
        <f t="shared" si="3"/>
        <v>4</v>
      </c>
      <c r="H17" s="18">
        <f t="shared" si="4"/>
        <v>13</v>
      </c>
      <c r="I17" s="18" t="str">
        <f t="shared" si="5"/>
        <v>SATIE</v>
      </c>
      <c r="J17" s="18" t="str">
        <f t="shared" si="0"/>
        <v>Sunny Yellow</v>
      </c>
      <c r="K17" s="18" t="str">
        <f t="shared" si="1"/>
        <v>Gentle Waves</v>
      </c>
      <c r="L17" s="18">
        <f t="shared" si="2"/>
        <v>64</v>
      </c>
      <c r="M17" s="19" t="str">
        <f t="shared" si="6"/>
        <v>Vrolijk Pasen</v>
      </c>
      <c r="U17" s="16"/>
      <c r="V17" s="17"/>
      <c r="W17" s="17" t="s">
        <v>92</v>
      </c>
      <c r="X17" s="17" t="s">
        <v>79</v>
      </c>
      <c r="Y17" s="17" t="s">
        <v>83</v>
      </c>
      <c r="Z17" s="17">
        <v>211</v>
      </c>
    </row>
    <row r="18" spans="4:26" x14ac:dyDescent="0.25">
      <c r="D18" s="21" t="s">
        <v>1373</v>
      </c>
      <c r="E18" s="22"/>
      <c r="F18" s="18">
        <f t="shared" si="7"/>
        <v>2037</v>
      </c>
      <c r="G18" s="18">
        <f t="shared" si="3"/>
        <v>4</v>
      </c>
      <c r="H18" s="18">
        <f t="shared" si="4"/>
        <v>5</v>
      </c>
      <c r="I18" s="18" t="str">
        <f t="shared" si="5"/>
        <v>SATIE</v>
      </c>
      <c r="J18" s="18" t="str">
        <f t="shared" si="0"/>
        <v>Sunny Yellow</v>
      </c>
      <c r="K18" s="18" t="str">
        <f t="shared" si="1"/>
        <v>Gentle Waves</v>
      </c>
      <c r="L18" s="18">
        <f t="shared" si="2"/>
        <v>67</v>
      </c>
      <c r="M18" s="19" t="str">
        <f t="shared" si="6"/>
        <v>Vrolijk Pasen</v>
      </c>
      <c r="U18" s="16"/>
      <c r="V18" s="17"/>
      <c r="W18" s="17" t="s">
        <v>92</v>
      </c>
      <c r="X18" s="17" t="s">
        <v>79</v>
      </c>
      <c r="Y18" s="17" t="s">
        <v>83</v>
      </c>
      <c r="Z18" s="17">
        <v>211</v>
      </c>
    </row>
    <row r="19" spans="4:26" x14ac:dyDescent="0.25">
      <c r="D19" s="21" t="s">
        <v>1373</v>
      </c>
      <c r="E19" s="22"/>
      <c r="F19" s="18">
        <f t="shared" si="7"/>
        <v>2038</v>
      </c>
      <c r="G19" s="18">
        <f t="shared" si="3"/>
        <v>4</v>
      </c>
      <c r="H19" s="18">
        <f t="shared" si="4"/>
        <v>25</v>
      </c>
      <c r="I19" s="18" t="str">
        <f t="shared" si="5"/>
        <v>SATIE</v>
      </c>
      <c r="J19" s="18" t="str">
        <f t="shared" si="0"/>
        <v>Sunny Yellow</v>
      </c>
      <c r="K19" s="18" t="str">
        <f t="shared" si="1"/>
        <v>Gentle Waves</v>
      </c>
      <c r="L19" s="18">
        <f t="shared" si="2"/>
        <v>82</v>
      </c>
      <c r="M19" s="19" t="str">
        <f t="shared" si="6"/>
        <v>Vrolijk Pasen</v>
      </c>
      <c r="U19" s="16"/>
      <c r="V19" s="17"/>
      <c r="W19" s="17" t="s">
        <v>92</v>
      </c>
      <c r="X19" s="17" t="s">
        <v>79</v>
      </c>
      <c r="Y19" s="17" t="s">
        <v>83</v>
      </c>
      <c r="Z19" s="17">
        <v>211</v>
      </c>
    </row>
    <row r="20" spans="4:26" x14ac:dyDescent="0.25">
      <c r="D20" s="21" t="s">
        <v>1376</v>
      </c>
      <c r="E20" s="22" t="s">
        <v>16</v>
      </c>
      <c r="F20" s="18">
        <f t="shared" si="7"/>
        <v>2026</v>
      </c>
      <c r="G20" s="18">
        <f t="shared" si="3"/>
        <v>2</v>
      </c>
      <c r="H20" s="18">
        <f t="shared" si="4"/>
        <v>15</v>
      </c>
      <c r="I20" s="18" t="str">
        <f t="shared" si="5"/>
        <v>MUSIC</v>
      </c>
      <c r="J20" s="18" t="str">
        <f t="shared" si="0"/>
        <v>Candy Pink</v>
      </c>
      <c r="K20" s="18" t="str">
        <f t="shared" si="1"/>
        <v>Rapid Sparks</v>
      </c>
      <c r="L20" s="18">
        <f t="shared" si="2"/>
        <v>117</v>
      </c>
      <c r="M20" s="19" t="str">
        <f t="shared" si="6"/>
        <v>Carnaval, Alaaf!!</v>
      </c>
      <c r="U20" s="16"/>
      <c r="V20" s="17"/>
      <c r="W20" s="17" t="s">
        <v>92</v>
      </c>
      <c r="X20" s="17" t="s">
        <v>79</v>
      </c>
      <c r="Y20" s="17" t="s">
        <v>83</v>
      </c>
      <c r="Z20" s="17">
        <v>211</v>
      </c>
    </row>
    <row r="21" spans="4:26" x14ac:dyDescent="0.25">
      <c r="D21" s="21" t="s">
        <v>1376</v>
      </c>
      <c r="E21" s="22" t="s">
        <v>17</v>
      </c>
      <c r="F21" s="18">
        <f t="shared" si="7"/>
        <v>2027</v>
      </c>
      <c r="G21" s="18">
        <f t="shared" si="3"/>
        <v>2</v>
      </c>
      <c r="H21" s="18">
        <f t="shared" si="4"/>
        <v>7</v>
      </c>
      <c r="I21" s="18" t="str">
        <f t="shared" si="5"/>
        <v>MUSIC</v>
      </c>
      <c r="J21" s="18" t="str">
        <f t="shared" si="0"/>
        <v>Candy Pink</v>
      </c>
      <c r="K21" s="18" t="str">
        <f t="shared" si="1"/>
        <v>Rapid Sparks</v>
      </c>
      <c r="L21" s="18">
        <f t="shared" si="2"/>
        <v>115</v>
      </c>
      <c r="M21" s="19" t="str">
        <f t="shared" si="6"/>
        <v>Carnaval, Keiebijters!!</v>
      </c>
      <c r="U21" s="16"/>
      <c r="V21" s="17"/>
      <c r="W21" s="17" t="s">
        <v>92</v>
      </c>
      <c r="X21" s="17" t="s">
        <v>79</v>
      </c>
      <c r="Y21" s="17" t="s">
        <v>83</v>
      </c>
      <c r="Z21" s="17">
        <v>211</v>
      </c>
    </row>
    <row r="22" spans="4:26" x14ac:dyDescent="0.25">
      <c r="D22" s="21" t="s">
        <v>1376</v>
      </c>
      <c r="E22" s="22" t="s">
        <v>18</v>
      </c>
      <c r="F22" s="18">
        <f t="shared" si="7"/>
        <v>2028</v>
      </c>
      <c r="G22" s="18">
        <f t="shared" si="3"/>
        <v>2</v>
      </c>
      <c r="H22" s="18">
        <f t="shared" si="4"/>
        <v>27</v>
      </c>
      <c r="I22" s="18" t="str">
        <f t="shared" si="5"/>
        <v>MUSIC</v>
      </c>
      <c r="J22" s="18" t="str">
        <f t="shared" si="0"/>
        <v>Candy Pink</v>
      </c>
      <c r="K22" s="18" t="str">
        <f t="shared" si="1"/>
        <v>Rapid Sparks</v>
      </c>
      <c r="L22" s="18">
        <f t="shared" si="2"/>
        <v>98</v>
      </c>
      <c r="M22" s="19" t="str">
        <f t="shared" si="6"/>
        <v>Carnaval, En deh hittie naw gedonn umdettie Hellemonder is</v>
      </c>
      <c r="U22" s="16"/>
      <c r="V22" s="17"/>
      <c r="W22" s="17" t="s">
        <v>92</v>
      </c>
      <c r="X22" s="17" t="s">
        <v>79</v>
      </c>
      <c r="Y22" s="17" t="s">
        <v>83</v>
      </c>
      <c r="Z22" s="17">
        <v>211</v>
      </c>
    </row>
    <row r="23" spans="4:26" x14ac:dyDescent="0.25">
      <c r="D23" s="21" t="s">
        <v>1376</v>
      </c>
      <c r="E23" s="22" t="s">
        <v>1385</v>
      </c>
      <c r="F23" s="18">
        <f t="shared" si="7"/>
        <v>2029</v>
      </c>
      <c r="G23" s="18">
        <f t="shared" si="3"/>
        <v>2</v>
      </c>
      <c r="H23" s="18">
        <f t="shared" si="4"/>
        <v>11</v>
      </c>
      <c r="I23" s="18" t="str">
        <f t="shared" si="5"/>
        <v>MUSIC</v>
      </c>
      <c r="J23" s="18" t="str">
        <f t="shared" si="0"/>
        <v>Candy Pink</v>
      </c>
      <c r="K23" s="18" t="str">
        <f t="shared" si="1"/>
        <v>Rapid Sparks</v>
      </c>
      <c r="L23" s="18">
        <f t="shared" si="2"/>
        <v>82</v>
      </c>
      <c r="M23" s="19" t="str">
        <f t="shared" si="6"/>
        <v>Carnaval, Agge mar leut heht</v>
      </c>
      <c r="U23" s="16"/>
      <c r="V23" s="17"/>
      <c r="W23" s="17" t="s">
        <v>92</v>
      </c>
      <c r="X23" s="17" t="s">
        <v>79</v>
      </c>
      <c r="Y23" s="17" t="s">
        <v>83</v>
      </c>
      <c r="Z23" s="17">
        <v>211</v>
      </c>
    </row>
    <row r="24" spans="4:26" x14ac:dyDescent="0.25">
      <c r="D24" s="21" t="s">
        <v>1376</v>
      </c>
      <c r="E24" s="22" t="s">
        <v>16</v>
      </c>
      <c r="F24" s="18">
        <f t="shared" si="7"/>
        <v>2030</v>
      </c>
      <c r="G24" s="18">
        <f t="shared" si="3"/>
        <v>3</v>
      </c>
      <c r="H24" s="18">
        <f t="shared" si="4"/>
        <v>3</v>
      </c>
      <c r="I24" s="18" t="str">
        <f t="shared" si="5"/>
        <v>MUSIC</v>
      </c>
      <c r="J24" s="18" t="str">
        <f t="shared" si="0"/>
        <v>Candy Pink</v>
      </c>
      <c r="K24" s="18" t="str">
        <f t="shared" si="1"/>
        <v>Rapid Sparks</v>
      </c>
      <c r="L24" s="18">
        <f t="shared" si="2"/>
        <v>81</v>
      </c>
      <c r="M24" s="19" t="str">
        <f t="shared" si="6"/>
        <v>Carnaval, Alaaf!!</v>
      </c>
      <c r="U24" s="16"/>
      <c r="V24" s="17"/>
      <c r="W24" s="17" t="s">
        <v>92</v>
      </c>
      <c r="X24" s="17" t="s">
        <v>79</v>
      </c>
      <c r="Y24" s="17" t="s">
        <v>83</v>
      </c>
      <c r="Z24" s="17">
        <v>211</v>
      </c>
    </row>
    <row r="25" spans="4:26" x14ac:dyDescent="0.25">
      <c r="D25" s="21" t="s">
        <v>1376</v>
      </c>
      <c r="E25" s="22" t="s">
        <v>17</v>
      </c>
      <c r="F25" s="18">
        <f t="shared" si="7"/>
        <v>2031</v>
      </c>
      <c r="G25" s="18">
        <f t="shared" si="3"/>
        <v>2</v>
      </c>
      <c r="H25" s="18">
        <f t="shared" si="4"/>
        <v>23</v>
      </c>
      <c r="I25" s="18" t="str">
        <f t="shared" si="5"/>
        <v>MUSIC</v>
      </c>
      <c r="J25" s="18" t="str">
        <f t="shared" si="0"/>
        <v>Candy Pink</v>
      </c>
      <c r="K25" s="18" t="str">
        <f t="shared" si="1"/>
        <v>Rapid Sparks</v>
      </c>
      <c r="L25" s="18">
        <f t="shared" si="2"/>
        <v>96</v>
      </c>
      <c r="M25" s="19" t="str">
        <f t="shared" si="6"/>
        <v>Carnaval, Keiebijters!!</v>
      </c>
      <c r="U25" s="16"/>
      <c r="V25" s="17"/>
      <c r="W25" s="17" t="s">
        <v>92</v>
      </c>
      <c r="X25" s="17" t="s">
        <v>79</v>
      </c>
      <c r="Y25" s="17" t="s">
        <v>83</v>
      </c>
      <c r="Z25" s="17">
        <v>211</v>
      </c>
    </row>
    <row r="26" spans="4:26" x14ac:dyDescent="0.25">
      <c r="D26" s="21" t="s">
        <v>1376</v>
      </c>
      <c r="E26" s="22" t="s">
        <v>18</v>
      </c>
      <c r="F26" s="18">
        <f t="shared" si="7"/>
        <v>2032</v>
      </c>
      <c r="G26" s="18">
        <f t="shared" si="3"/>
        <v>2</v>
      </c>
      <c r="H26" s="18">
        <f t="shared" si="4"/>
        <v>8</v>
      </c>
      <c r="I26" s="18" t="str">
        <f t="shared" si="5"/>
        <v>MUSIC</v>
      </c>
      <c r="J26" s="18" t="str">
        <f t="shared" si="0"/>
        <v>Candy Pink</v>
      </c>
      <c r="K26" s="18" t="str">
        <f t="shared" si="1"/>
        <v>Rapid Sparks</v>
      </c>
      <c r="L26" s="18">
        <f t="shared" si="2"/>
        <v>114</v>
      </c>
      <c r="M26" s="19" t="str">
        <f t="shared" si="6"/>
        <v>Carnaval, En deh hittie naw gedonn umdettie Hellemonder is</v>
      </c>
      <c r="U26" s="16"/>
      <c r="V26" s="17"/>
      <c r="W26" s="17" t="s">
        <v>92</v>
      </c>
      <c r="X26" s="17" t="s">
        <v>79</v>
      </c>
      <c r="Y26" s="17" t="s">
        <v>83</v>
      </c>
      <c r="Z26" s="17">
        <v>211</v>
      </c>
    </row>
    <row r="27" spans="4:26" x14ac:dyDescent="0.25">
      <c r="D27" s="21" t="s">
        <v>1376</v>
      </c>
      <c r="E27" s="22" t="s">
        <v>1385</v>
      </c>
      <c r="F27" s="18">
        <f t="shared" si="7"/>
        <v>2033</v>
      </c>
      <c r="G27" s="18">
        <f t="shared" si="3"/>
        <v>2</v>
      </c>
      <c r="H27" s="18">
        <f t="shared" si="4"/>
        <v>27</v>
      </c>
      <c r="I27" s="18" t="str">
        <f t="shared" si="5"/>
        <v>MUSIC</v>
      </c>
      <c r="J27" s="18" t="str">
        <f t="shared" si="0"/>
        <v>Candy Pink</v>
      </c>
      <c r="K27" s="18" t="str">
        <f t="shared" si="1"/>
        <v>Rapid Sparks</v>
      </c>
      <c r="L27" s="18">
        <f t="shared" si="2"/>
        <v>117</v>
      </c>
      <c r="M27" s="19" t="str">
        <f t="shared" si="6"/>
        <v>Carnaval, Agge mar leut heht</v>
      </c>
      <c r="U27" s="16"/>
      <c r="V27" s="17"/>
      <c r="W27" s="17" t="s">
        <v>92</v>
      </c>
      <c r="X27" s="17" t="s">
        <v>79</v>
      </c>
      <c r="Y27" s="17" t="s">
        <v>83</v>
      </c>
      <c r="Z27" s="17">
        <v>211</v>
      </c>
    </row>
    <row r="28" spans="4:26" x14ac:dyDescent="0.25">
      <c r="D28" s="21" t="s">
        <v>1376</v>
      </c>
      <c r="E28" s="22" t="s">
        <v>16</v>
      </c>
      <c r="F28" s="18">
        <f t="shared" si="7"/>
        <v>2034</v>
      </c>
      <c r="G28" s="18">
        <f t="shared" si="3"/>
        <v>2</v>
      </c>
      <c r="H28" s="18">
        <f t="shared" si="4"/>
        <v>19</v>
      </c>
      <c r="I28" s="18" t="str">
        <f t="shared" si="5"/>
        <v>MUSIC</v>
      </c>
      <c r="J28" s="18" t="str">
        <f t="shared" si="0"/>
        <v>Candy Pink</v>
      </c>
      <c r="K28" s="18" t="str">
        <f t="shared" si="1"/>
        <v>Rapid Sparks</v>
      </c>
      <c r="L28" s="18">
        <f t="shared" si="2"/>
        <v>104</v>
      </c>
      <c r="M28" s="19" t="str">
        <f t="shared" si="6"/>
        <v>Carnaval, Alaaf!!</v>
      </c>
      <c r="U28" s="16"/>
      <c r="V28" s="17"/>
      <c r="W28" s="17" t="s">
        <v>92</v>
      </c>
      <c r="X28" s="17" t="s">
        <v>79</v>
      </c>
      <c r="Y28" s="17" t="s">
        <v>83</v>
      </c>
      <c r="Z28" s="17">
        <v>211</v>
      </c>
    </row>
    <row r="29" spans="4:26" x14ac:dyDescent="0.25">
      <c r="D29" s="21" t="s">
        <v>1376</v>
      </c>
      <c r="E29" s="22" t="s">
        <v>17</v>
      </c>
      <c r="F29" s="18">
        <f t="shared" si="7"/>
        <v>2035</v>
      </c>
      <c r="G29" s="18">
        <f t="shared" si="3"/>
        <v>2</v>
      </c>
      <c r="H29" s="18">
        <f t="shared" si="4"/>
        <v>4</v>
      </c>
      <c r="I29" s="18" t="str">
        <f t="shared" si="5"/>
        <v>MUSIC</v>
      </c>
      <c r="J29" s="18" t="str">
        <f t="shared" si="0"/>
        <v>Candy Pink</v>
      </c>
      <c r="K29" s="18" t="str">
        <f t="shared" si="1"/>
        <v>Rapid Sparks</v>
      </c>
      <c r="L29" s="18">
        <f t="shared" si="2"/>
        <v>85</v>
      </c>
      <c r="M29" s="19" t="str">
        <f t="shared" si="6"/>
        <v>Carnaval, Keiebijters!!</v>
      </c>
      <c r="U29" s="16"/>
      <c r="V29" s="17"/>
      <c r="W29" s="17" t="s">
        <v>92</v>
      </c>
      <c r="X29" s="17" t="s">
        <v>79</v>
      </c>
      <c r="Y29" s="17" t="s">
        <v>83</v>
      </c>
      <c r="Z29" s="17">
        <v>211</v>
      </c>
    </row>
    <row r="30" spans="4:26" x14ac:dyDescent="0.25">
      <c r="D30" s="21" t="s">
        <v>1376</v>
      </c>
      <c r="E30" s="22" t="s">
        <v>18</v>
      </c>
      <c r="F30" s="18">
        <f t="shared" si="7"/>
        <v>2036</v>
      </c>
      <c r="G30" s="18">
        <f t="shared" si="3"/>
        <v>2</v>
      </c>
      <c r="H30" s="18">
        <f t="shared" si="4"/>
        <v>24</v>
      </c>
      <c r="I30" s="18" t="str">
        <f t="shared" si="5"/>
        <v>MUSIC</v>
      </c>
      <c r="J30" s="18" t="str">
        <f t="shared" si="0"/>
        <v>Candy Pink</v>
      </c>
      <c r="K30" s="18" t="str">
        <f t="shared" si="1"/>
        <v>Rapid Sparks</v>
      </c>
      <c r="L30" s="18">
        <f t="shared" si="2"/>
        <v>79</v>
      </c>
      <c r="M30" s="19" t="str">
        <f t="shared" si="6"/>
        <v>Carnaval, En deh hittie naw gedonn umdettie Hellemonder is</v>
      </c>
      <c r="U30" s="16"/>
      <c r="V30" s="17"/>
      <c r="W30" s="17" t="s">
        <v>92</v>
      </c>
      <c r="X30" s="17" t="s">
        <v>79</v>
      </c>
      <c r="Y30" s="17" t="s">
        <v>83</v>
      </c>
      <c r="Z30" s="17">
        <v>211</v>
      </c>
    </row>
    <row r="31" spans="4:26" x14ac:dyDescent="0.25">
      <c r="D31" s="21" t="s">
        <v>1376</v>
      </c>
      <c r="E31" s="22" t="s">
        <v>1385</v>
      </c>
      <c r="F31" s="18">
        <f t="shared" si="7"/>
        <v>2037</v>
      </c>
      <c r="G31" s="18">
        <f t="shared" si="3"/>
        <v>2</v>
      </c>
      <c r="H31" s="18">
        <f t="shared" si="4"/>
        <v>15</v>
      </c>
      <c r="I31" s="18" t="str">
        <f t="shared" si="5"/>
        <v>MUSIC</v>
      </c>
      <c r="J31" s="18" t="str">
        <f t="shared" si="0"/>
        <v>Candy Pink</v>
      </c>
      <c r="K31" s="18" t="str">
        <f t="shared" si="1"/>
        <v>Rapid Sparks</v>
      </c>
      <c r="L31" s="18">
        <f t="shared" si="2"/>
        <v>91</v>
      </c>
      <c r="M31" s="19" t="str">
        <f t="shared" si="6"/>
        <v>Carnaval, Agge mar leut heht</v>
      </c>
    </row>
    <row r="32" spans="4:26" x14ac:dyDescent="0.25">
      <c r="D32" s="21" t="s">
        <v>1376</v>
      </c>
      <c r="E32" s="22" t="s">
        <v>19</v>
      </c>
      <c r="F32" s="18">
        <f t="shared" si="7"/>
        <v>2038</v>
      </c>
      <c r="G32" s="18">
        <f t="shared" si="3"/>
        <v>3</v>
      </c>
      <c r="H32" s="18">
        <f t="shared" si="4"/>
        <v>7</v>
      </c>
      <c r="I32" s="18" t="str">
        <f t="shared" si="5"/>
        <v>MUSIC</v>
      </c>
      <c r="J32" s="18" t="str">
        <f t="shared" si="0"/>
        <v>Candy Pink</v>
      </c>
      <c r="K32" s="18" t="str">
        <f t="shared" si="1"/>
        <v>Rapid Sparks</v>
      </c>
      <c r="L32" s="18">
        <f t="shared" si="2"/>
        <v>109</v>
      </c>
      <c r="M32" s="19" t="str">
        <f t="shared" si="6"/>
        <v>Carnaval, Tadaaaaah - tadaaaah</v>
      </c>
    </row>
    <row r="33" spans="4:13" x14ac:dyDescent="0.25">
      <c r="D33" s="21" t="s">
        <v>1381</v>
      </c>
      <c r="E33" s="23"/>
      <c r="F33" s="18">
        <f t="shared" si="7"/>
        <v>2026</v>
      </c>
      <c r="G33" s="18">
        <f t="shared" si="3"/>
        <v>5</v>
      </c>
      <c r="H33" s="18">
        <f t="shared" si="4"/>
        <v>14</v>
      </c>
      <c r="I33" s="18" t="str">
        <f t="shared" si="5"/>
        <v>BLUES</v>
      </c>
      <c r="J33" s="18" t="str">
        <f t="shared" si="0"/>
        <v>Cobalt Blue</v>
      </c>
      <c r="K33" s="18" t="str">
        <f t="shared" si="1"/>
        <v>Slow Breathing</v>
      </c>
      <c r="L33" s="18">
        <f t="shared" si="2"/>
        <v>133</v>
      </c>
      <c r="M33" s="19" t="str">
        <f t="shared" si="6"/>
        <v>Hemelvaart</v>
      </c>
    </row>
    <row r="34" spans="4:13" x14ac:dyDescent="0.25">
      <c r="D34" s="21" t="s">
        <v>1381</v>
      </c>
      <c r="E34" s="23"/>
      <c r="F34" s="18">
        <f t="shared" si="7"/>
        <v>2027</v>
      </c>
      <c r="G34" s="18">
        <f t="shared" si="3"/>
        <v>5</v>
      </c>
      <c r="H34" s="18">
        <f t="shared" si="4"/>
        <v>6</v>
      </c>
      <c r="I34" s="18" t="str">
        <f t="shared" si="5"/>
        <v>BLUES</v>
      </c>
      <c r="J34" s="18" t="str">
        <f t="shared" si="0"/>
        <v>Cobalt Blue</v>
      </c>
      <c r="K34" s="18" t="str">
        <f t="shared" si="1"/>
        <v>Slow Breathing</v>
      </c>
      <c r="L34" s="18">
        <f t="shared" si="2"/>
        <v>122</v>
      </c>
      <c r="M34" s="19" t="str">
        <f t="shared" si="6"/>
        <v>Hemelvaart</v>
      </c>
    </row>
    <row r="35" spans="4:13" x14ac:dyDescent="0.25">
      <c r="D35" s="21" t="s">
        <v>1381</v>
      </c>
      <c r="E35" s="23"/>
      <c r="F35" s="18">
        <f t="shared" si="7"/>
        <v>2028</v>
      </c>
      <c r="G35" s="18">
        <f t="shared" si="3"/>
        <v>5</v>
      </c>
      <c r="H35" s="18">
        <f t="shared" si="4"/>
        <v>25</v>
      </c>
      <c r="I35" s="18" t="str">
        <f t="shared" si="5"/>
        <v>BLUES</v>
      </c>
      <c r="J35" s="18" t="str">
        <f t="shared" si="0"/>
        <v>Cobalt Blue</v>
      </c>
      <c r="K35" s="18" t="str">
        <f t="shared" si="1"/>
        <v>Slow Breathing</v>
      </c>
      <c r="L35" s="18">
        <f t="shared" si="2"/>
        <v>101</v>
      </c>
      <c r="M35" s="19" t="str">
        <f t="shared" si="6"/>
        <v>Hemelvaart</v>
      </c>
    </row>
    <row r="36" spans="4:13" x14ac:dyDescent="0.25">
      <c r="D36" s="21" t="s">
        <v>1381</v>
      </c>
      <c r="E36" s="23"/>
      <c r="F36" s="18">
        <f t="shared" si="7"/>
        <v>2029</v>
      </c>
      <c r="G36" s="18">
        <f t="shared" si="3"/>
        <v>5</v>
      </c>
      <c r="H36" s="18">
        <f t="shared" si="4"/>
        <v>10</v>
      </c>
      <c r="I36" s="18" t="str">
        <f t="shared" si="5"/>
        <v>BLUES</v>
      </c>
      <c r="J36" s="18" t="str">
        <f t="shared" si="0"/>
        <v>Cobalt Blue</v>
      </c>
      <c r="K36" s="18" t="str">
        <f t="shared" si="1"/>
        <v>Slow Breathing</v>
      </c>
      <c r="L36" s="18">
        <f t="shared" si="2"/>
        <v>88</v>
      </c>
      <c r="M36" s="19" t="str">
        <f t="shared" si="6"/>
        <v>Hemelvaart</v>
      </c>
    </row>
    <row r="37" spans="4:13" x14ac:dyDescent="0.25">
      <c r="D37" s="21" t="s">
        <v>1381</v>
      </c>
      <c r="E37" s="23"/>
      <c r="F37" s="18">
        <f t="shared" si="7"/>
        <v>2030</v>
      </c>
      <c r="G37" s="18">
        <f t="shared" si="3"/>
        <v>5</v>
      </c>
      <c r="H37" s="18">
        <f t="shared" si="4"/>
        <v>30</v>
      </c>
      <c r="I37" s="18" t="str">
        <f t="shared" si="5"/>
        <v>BLUES</v>
      </c>
      <c r="J37" s="18" t="str">
        <f t="shared" si="0"/>
        <v>Cobalt Blue</v>
      </c>
      <c r="K37" s="18" t="str">
        <f t="shared" si="1"/>
        <v>Slow Breathing</v>
      </c>
      <c r="L37" s="18">
        <f t="shared" si="2"/>
        <v>96</v>
      </c>
      <c r="M37" s="19" t="str">
        <f t="shared" si="6"/>
        <v>Hemelvaart</v>
      </c>
    </row>
    <row r="38" spans="4:13" x14ac:dyDescent="0.25">
      <c r="D38" s="21" t="s">
        <v>1381</v>
      </c>
      <c r="E38" s="23"/>
      <c r="F38" s="18">
        <f t="shared" si="7"/>
        <v>2031</v>
      </c>
      <c r="G38" s="18">
        <f t="shared" si="3"/>
        <v>5</v>
      </c>
      <c r="H38" s="18">
        <f t="shared" si="4"/>
        <v>22</v>
      </c>
      <c r="I38" s="18" t="str">
        <f t="shared" si="5"/>
        <v>BLUES</v>
      </c>
      <c r="J38" s="18" t="str">
        <f t="shared" si="0"/>
        <v>Cobalt Blue</v>
      </c>
      <c r="K38" s="18" t="str">
        <f t="shared" si="1"/>
        <v>Slow Breathing</v>
      </c>
      <c r="L38" s="18">
        <f t="shared" si="2"/>
        <v>117</v>
      </c>
      <c r="M38" s="19" t="str">
        <f t="shared" si="6"/>
        <v>Hemelvaart</v>
      </c>
    </row>
    <row r="39" spans="4:13" x14ac:dyDescent="0.25">
      <c r="D39" s="21" t="s">
        <v>1381</v>
      </c>
      <c r="E39" s="23"/>
      <c r="F39" s="18">
        <f t="shared" si="7"/>
        <v>2032</v>
      </c>
      <c r="G39" s="18">
        <f t="shared" si="3"/>
        <v>5</v>
      </c>
      <c r="H39" s="18">
        <f t="shared" si="4"/>
        <v>6</v>
      </c>
      <c r="I39" s="18" t="str">
        <f t="shared" si="5"/>
        <v>BLUES</v>
      </c>
      <c r="J39" s="18" t="str">
        <f t="shared" si="0"/>
        <v>Cobalt Blue</v>
      </c>
      <c r="K39" s="18" t="str">
        <f t="shared" si="1"/>
        <v>Slow Breathing</v>
      </c>
      <c r="L39" s="18">
        <f t="shared" ref="L39:L70" si="8">IF(ISNA(VLOOKUP($D39,$U$5:$AA$30,L$4,0)),"",INT(VLOOKUP($D39,$U$5:$AA$30,L$4,0)*(1+$L$2*SIN(ROW($D39)))))</f>
        <v>132</v>
      </c>
      <c r="M39" s="19" t="str">
        <f t="shared" si="6"/>
        <v>Hemelvaart</v>
      </c>
    </row>
    <row r="40" spans="4:13" x14ac:dyDescent="0.25">
      <c r="D40" s="21" t="s">
        <v>1381</v>
      </c>
      <c r="E40" s="23"/>
      <c r="F40" s="18">
        <f t="shared" si="7"/>
        <v>2033</v>
      </c>
      <c r="G40" s="18">
        <f t="shared" si="3"/>
        <v>5</v>
      </c>
      <c r="H40" s="18">
        <f t="shared" si="4"/>
        <v>26</v>
      </c>
      <c r="I40" s="18" t="str">
        <f t="shared" si="5"/>
        <v>BLUES</v>
      </c>
      <c r="J40" s="18" t="str">
        <f t="shared" si="0"/>
        <v>Cobalt Blue</v>
      </c>
      <c r="K40" s="18" t="str">
        <f t="shared" si="1"/>
        <v>Slow Breathing</v>
      </c>
      <c r="L40" s="18">
        <f t="shared" si="8"/>
        <v>127</v>
      </c>
      <c r="M40" s="19" t="str">
        <f t="shared" si="6"/>
        <v>Hemelvaart</v>
      </c>
    </row>
    <row r="41" spans="4:13" x14ac:dyDescent="0.25">
      <c r="D41" s="21" t="s">
        <v>1381</v>
      </c>
      <c r="E41" s="23"/>
      <c r="F41" s="18">
        <f t="shared" si="7"/>
        <v>2034</v>
      </c>
      <c r="G41" s="18">
        <f t="shared" si="3"/>
        <v>5</v>
      </c>
      <c r="H41" s="18">
        <f t="shared" si="4"/>
        <v>18</v>
      </c>
      <c r="I41" s="18" t="str">
        <f t="shared" si="5"/>
        <v>BLUES</v>
      </c>
      <c r="J41" s="18" t="str">
        <f t="shared" si="0"/>
        <v>Cobalt Blue</v>
      </c>
      <c r="K41" s="18" t="str">
        <f t="shared" si="1"/>
        <v>Slow Breathing</v>
      </c>
      <c r="L41" s="18">
        <f t="shared" si="8"/>
        <v>107</v>
      </c>
      <c r="M41" s="19" t="str">
        <f t="shared" si="6"/>
        <v>Hemelvaart</v>
      </c>
    </row>
    <row r="42" spans="4:13" x14ac:dyDescent="0.25">
      <c r="D42" s="21" t="s">
        <v>1381</v>
      </c>
      <c r="E42" s="23"/>
      <c r="F42" s="18">
        <f t="shared" si="7"/>
        <v>2035</v>
      </c>
      <c r="G42" s="18">
        <f t="shared" si="3"/>
        <v>5</v>
      </c>
      <c r="H42" s="18">
        <f t="shared" si="4"/>
        <v>3</v>
      </c>
      <c r="I42" s="18" t="str">
        <f t="shared" si="5"/>
        <v>BLUES</v>
      </c>
      <c r="J42" s="18" t="str">
        <f t="shared" si="0"/>
        <v>Cobalt Blue</v>
      </c>
      <c r="K42" s="18" t="str">
        <f t="shared" si="1"/>
        <v>Slow Breathing</v>
      </c>
      <c r="L42" s="18">
        <f t="shared" si="8"/>
        <v>90</v>
      </c>
      <c r="M42" s="19" t="str">
        <f t="shared" si="6"/>
        <v>Hemelvaart</v>
      </c>
    </row>
    <row r="43" spans="4:13" x14ac:dyDescent="0.25">
      <c r="D43" s="21" t="s">
        <v>1381</v>
      </c>
      <c r="E43" s="23"/>
      <c r="F43" s="18">
        <f t="shared" si="7"/>
        <v>2036</v>
      </c>
      <c r="G43" s="18">
        <f t="shared" si="3"/>
        <v>5</v>
      </c>
      <c r="H43" s="18">
        <f t="shared" si="4"/>
        <v>22</v>
      </c>
      <c r="I43" s="18" t="str">
        <f t="shared" si="5"/>
        <v>BLUES</v>
      </c>
      <c r="J43" s="18" t="str">
        <f t="shared" si="0"/>
        <v>Cobalt Blue</v>
      </c>
      <c r="K43" s="18" t="str">
        <f t="shared" si="1"/>
        <v>Slow Breathing</v>
      </c>
      <c r="L43" s="18">
        <f t="shared" si="8"/>
        <v>92</v>
      </c>
      <c r="M43" s="19" t="str">
        <f t="shared" si="6"/>
        <v>Hemelvaart</v>
      </c>
    </row>
    <row r="44" spans="4:13" x14ac:dyDescent="0.25">
      <c r="D44" s="21" t="s">
        <v>1381</v>
      </c>
      <c r="E44" s="23"/>
      <c r="F44" s="18">
        <f t="shared" si="7"/>
        <v>2037</v>
      </c>
      <c r="G44" s="18">
        <f t="shared" si="3"/>
        <v>5</v>
      </c>
      <c r="H44" s="18">
        <f t="shared" si="4"/>
        <v>14</v>
      </c>
      <c r="I44" s="18" t="str">
        <f t="shared" si="5"/>
        <v>BLUES</v>
      </c>
      <c r="J44" s="18" t="str">
        <f t="shared" si="0"/>
        <v>Cobalt Blue</v>
      </c>
      <c r="K44" s="18" t="str">
        <f t="shared" si="1"/>
        <v>Slow Breathing</v>
      </c>
      <c r="L44" s="18">
        <f t="shared" si="8"/>
        <v>111</v>
      </c>
      <c r="M44" s="19" t="str">
        <f t="shared" si="6"/>
        <v>Hemelvaart</v>
      </c>
    </row>
    <row r="45" spans="4:13" x14ac:dyDescent="0.25">
      <c r="D45" s="21" t="s">
        <v>1381</v>
      </c>
      <c r="E45" s="23"/>
      <c r="F45" s="18">
        <f t="shared" si="7"/>
        <v>2038</v>
      </c>
      <c r="G45" s="18">
        <f t="shared" si="3"/>
        <v>6</v>
      </c>
      <c r="H45" s="18">
        <f t="shared" si="4"/>
        <v>3</v>
      </c>
      <c r="I45" s="18" t="str">
        <f t="shared" si="5"/>
        <v>BLUES</v>
      </c>
      <c r="J45" s="18" t="str">
        <f t="shared" si="0"/>
        <v>Cobalt Blue</v>
      </c>
      <c r="K45" s="18" t="str">
        <f t="shared" si="1"/>
        <v>Slow Breathing</v>
      </c>
      <c r="L45" s="18">
        <f t="shared" si="8"/>
        <v>129</v>
      </c>
      <c r="M45" s="19" t="str">
        <f t="shared" si="6"/>
        <v>Hemelvaart</v>
      </c>
    </row>
    <row r="46" spans="4:13" x14ac:dyDescent="0.25">
      <c r="D46" s="21" t="s">
        <v>1382</v>
      </c>
      <c r="E46" s="23" t="s">
        <v>23</v>
      </c>
      <c r="F46" s="18">
        <f t="shared" si="7"/>
        <v>2026</v>
      </c>
      <c r="G46" s="18">
        <f t="shared" si="3"/>
        <v>2</v>
      </c>
      <c r="H46" s="18">
        <f t="shared" si="4"/>
        <v>18</v>
      </c>
      <c r="I46" s="18" t="str">
        <f t="shared" si="5"/>
        <v>SAD</v>
      </c>
      <c r="J46" s="18" t="str">
        <f t="shared" si="0"/>
        <v>Slate Gray</v>
      </c>
      <c r="K46" s="18" t="str">
        <f t="shared" si="1"/>
        <v>Calm Center</v>
      </c>
      <c r="L46" s="18">
        <f t="shared" si="8"/>
        <v>262</v>
      </c>
      <c r="M46" s="19" t="str">
        <f t="shared" si="6"/>
        <v>Aswoensdag ,  - het is  uit met de carnavalspret</v>
      </c>
    </row>
    <row r="47" spans="4:13" x14ac:dyDescent="0.25">
      <c r="D47" s="21" t="s">
        <v>1382</v>
      </c>
      <c r="E47" s="23" t="s">
        <v>22</v>
      </c>
      <c r="F47" s="18">
        <f t="shared" si="7"/>
        <v>2027</v>
      </c>
      <c r="G47" s="18">
        <f t="shared" si="3"/>
        <v>2</v>
      </c>
      <c r="H47" s="18">
        <f t="shared" si="4"/>
        <v>10</v>
      </c>
      <c r="I47" s="18" t="str">
        <f t="shared" si="5"/>
        <v>SAD</v>
      </c>
      <c r="J47" s="18" t="str">
        <f t="shared" si="0"/>
        <v>Slate Gray</v>
      </c>
      <c r="K47" s="18" t="str">
        <f t="shared" si="1"/>
        <v>Calm Center</v>
      </c>
      <c r="L47" s="18">
        <f t="shared" si="8"/>
        <v>227</v>
      </c>
      <c r="M47" s="19" t="str">
        <f t="shared" si="6"/>
        <v>Aswoensdag ,  - en dan nu: vasten</v>
      </c>
    </row>
    <row r="48" spans="4:13" x14ac:dyDescent="0.25">
      <c r="D48" s="21" t="s">
        <v>1382</v>
      </c>
      <c r="E48" s="23" t="s">
        <v>21</v>
      </c>
      <c r="F48" s="18">
        <f t="shared" si="7"/>
        <v>2028</v>
      </c>
      <c r="G48" s="18">
        <f t="shared" si="3"/>
        <v>3</v>
      </c>
      <c r="H48" s="18">
        <f t="shared" si="4"/>
        <v>1</v>
      </c>
      <c r="I48" s="18" t="str">
        <f t="shared" si="5"/>
        <v>SAD</v>
      </c>
      <c r="J48" s="18" t="str">
        <f t="shared" si="0"/>
        <v>Slate Gray</v>
      </c>
      <c r="K48" s="18" t="str">
        <f t="shared" si="1"/>
        <v>Calm Center</v>
      </c>
      <c r="L48" s="18">
        <f t="shared" si="8"/>
        <v>187</v>
      </c>
      <c r="M48" s="19" t="str">
        <f t="shared" si="6"/>
        <v>Aswoensdag ,  - en nu begint de katholieke ramadan</v>
      </c>
    </row>
    <row r="49" spans="4:13" x14ac:dyDescent="0.25">
      <c r="D49" s="21" t="s">
        <v>1382</v>
      </c>
      <c r="E49" s="23" t="s">
        <v>23</v>
      </c>
      <c r="F49" s="18">
        <f t="shared" si="7"/>
        <v>2029</v>
      </c>
      <c r="G49" s="18">
        <f t="shared" si="3"/>
        <v>2</v>
      </c>
      <c r="H49" s="18">
        <f t="shared" si="4"/>
        <v>14</v>
      </c>
      <c r="I49" s="18" t="str">
        <f t="shared" si="5"/>
        <v>SAD</v>
      </c>
      <c r="J49" s="18" t="str">
        <f t="shared" si="0"/>
        <v>Slate Gray</v>
      </c>
      <c r="K49" s="18" t="str">
        <f t="shared" si="1"/>
        <v>Calm Center</v>
      </c>
      <c r="L49" s="18">
        <f t="shared" si="8"/>
        <v>179</v>
      </c>
      <c r="M49" s="19" t="str">
        <f t="shared" si="6"/>
        <v>Aswoensdag ,  - het is  uit met de carnavalspret</v>
      </c>
    </row>
    <row r="50" spans="4:13" x14ac:dyDescent="0.25">
      <c r="D50" s="21" t="s">
        <v>1382</v>
      </c>
      <c r="E50" s="23" t="s">
        <v>22</v>
      </c>
      <c r="F50" s="18">
        <f t="shared" si="7"/>
        <v>2030</v>
      </c>
      <c r="G50" s="18">
        <f t="shared" si="3"/>
        <v>3</v>
      </c>
      <c r="H50" s="18">
        <f t="shared" si="4"/>
        <v>6</v>
      </c>
      <c r="I50" s="18" t="str">
        <f t="shared" si="5"/>
        <v>SAD</v>
      </c>
      <c r="J50" s="18" t="str">
        <f t="shared" si="0"/>
        <v>Slate Gray</v>
      </c>
      <c r="K50" s="18" t="str">
        <f t="shared" si="1"/>
        <v>Calm Center</v>
      </c>
      <c r="L50" s="18">
        <f t="shared" si="8"/>
        <v>210</v>
      </c>
      <c r="M50" s="19" t="str">
        <f t="shared" si="6"/>
        <v>Aswoensdag ,  - en dan nu: vasten</v>
      </c>
    </row>
    <row r="51" spans="4:13" x14ac:dyDescent="0.25">
      <c r="D51" s="21" t="s">
        <v>1382</v>
      </c>
      <c r="E51" s="23" t="s">
        <v>21</v>
      </c>
      <c r="F51" s="18">
        <f t="shared" si="7"/>
        <v>2031</v>
      </c>
      <c r="G51" s="18">
        <f t="shared" si="3"/>
        <v>2</v>
      </c>
      <c r="H51" s="18">
        <f t="shared" si="4"/>
        <v>26</v>
      </c>
      <c r="I51" s="18" t="str">
        <f t="shared" si="5"/>
        <v>SAD</v>
      </c>
      <c r="J51" s="18" t="str">
        <f t="shared" si="0"/>
        <v>Slate Gray</v>
      </c>
      <c r="K51" s="18" t="str">
        <f t="shared" si="1"/>
        <v>Calm Center</v>
      </c>
      <c r="L51" s="18">
        <f t="shared" si="8"/>
        <v>251</v>
      </c>
      <c r="M51" s="19" t="str">
        <f t="shared" si="6"/>
        <v>Aswoensdag ,  - en nu begint de katholieke ramadan</v>
      </c>
    </row>
    <row r="52" spans="4:13" x14ac:dyDescent="0.25">
      <c r="D52" s="21" t="s">
        <v>1382</v>
      </c>
      <c r="E52" s="23" t="s">
        <v>23</v>
      </c>
      <c r="F52" s="18">
        <f t="shared" si="7"/>
        <v>2032</v>
      </c>
      <c r="G52" s="18">
        <f t="shared" si="3"/>
        <v>2</v>
      </c>
      <c r="H52" s="18">
        <f t="shared" si="4"/>
        <v>11</v>
      </c>
      <c r="I52" s="18" t="str">
        <f t="shared" si="5"/>
        <v>SAD</v>
      </c>
      <c r="J52" s="18" t="str">
        <f t="shared" si="0"/>
        <v>Slate Gray</v>
      </c>
      <c r="K52" s="18" t="str">
        <f t="shared" si="1"/>
        <v>Calm Center</v>
      </c>
      <c r="L52" s="18">
        <f t="shared" si="8"/>
        <v>265</v>
      </c>
      <c r="M52" s="19" t="str">
        <f t="shared" si="6"/>
        <v>Aswoensdag ,  - het is  uit met de carnavalspret</v>
      </c>
    </row>
    <row r="53" spans="4:13" x14ac:dyDescent="0.25">
      <c r="D53" s="21" t="s">
        <v>1382</v>
      </c>
      <c r="E53" s="23" t="s">
        <v>22</v>
      </c>
      <c r="F53" s="18">
        <f t="shared" si="7"/>
        <v>2033</v>
      </c>
      <c r="G53" s="18">
        <f t="shared" si="3"/>
        <v>3</v>
      </c>
      <c r="H53" s="18">
        <f t="shared" si="4"/>
        <v>2</v>
      </c>
      <c r="I53" s="18" t="str">
        <f t="shared" si="5"/>
        <v>SAD</v>
      </c>
      <c r="J53" s="18" t="str">
        <f t="shared" si="0"/>
        <v>Slate Gray</v>
      </c>
      <c r="K53" s="18" t="str">
        <f t="shared" si="1"/>
        <v>Calm Center</v>
      </c>
      <c r="L53" s="18">
        <f t="shared" si="8"/>
        <v>239</v>
      </c>
      <c r="M53" s="19" t="str">
        <f t="shared" si="6"/>
        <v>Aswoensdag ,  - en dan nu: vasten</v>
      </c>
    </row>
    <row r="54" spans="4:13" x14ac:dyDescent="0.25">
      <c r="D54" s="21" t="s">
        <v>1382</v>
      </c>
      <c r="E54" s="23" t="s">
        <v>21</v>
      </c>
      <c r="F54" s="18">
        <f t="shared" si="7"/>
        <v>2034</v>
      </c>
      <c r="G54" s="18">
        <f t="shared" si="3"/>
        <v>2</v>
      </c>
      <c r="H54" s="18">
        <f t="shared" si="4"/>
        <v>22</v>
      </c>
      <c r="I54" s="18" t="str">
        <f t="shared" si="5"/>
        <v>SAD</v>
      </c>
      <c r="J54" s="18" t="str">
        <f t="shared" si="0"/>
        <v>Slate Gray</v>
      </c>
      <c r="K54" s="18" t="str">
        <f t="shared" si="1"/>
        <v>Calm Center</v>
      </c>
      <c r="L54" s="18">
        <f t="shared" si="8"/>
        <v>197</v>
      </c>
      <c r="M54" s="19" t="str">
        <f t="shared" si="6"/>
        <v>Aswoensdag ,  - en nu begint de katholieke ramadan</v>
      </c>
    </row>
    <row r="55" spans="4:13" x14ac:dyDescent="0.25">
      <c r="D55" s="21" t="s">
        <v>1382</v>
      </c>
      <c r="E55" s="23" t="s">
        <v>23</v>
      </c>
      <c r="F55" s="18">
        <f t="shared" si="7"/>
        <v>2035</v>
      </c>
      <c r="G55" s="18">
        <f t="shared" si="3"/>
        <v>2</v>
      </c>
      <c r="H55" s="18">
        <f t="shared" si="4"/>
        <v>7</v>
      </c>
      <c r="I55" s="18" t="str">
        <f t="shared" si="5"/>
        <v>SAD</v>
      </c>
      <c r="J55" s="18" t="str">
        <f t="shared" si="0"/>
        <v>Slate Gray</v>
      </c>
      <c r="K55" s="18" t="str">
        <f t="shared" si="1"/>
        <v>Calm Center</v>
      </c>
      <c r="L55" s="18">
        <f t="shared" si="8"/>
        <v>177</v>
      </c>
      <c r="M55" s="19" t="str">
        <f t="shared" si="6"/>
        <v>Aswoensdag ,  - het is  uit met de carnavalspret</v>
      </c>
    </row>
    <row r="56" spans="4:13" x14ac:dyDescent="0.25">
      <c r="D56" s="21" t="s">
        <v>1382</v>
      </c>
      <c r="E56" s="23" t="s">
        <v>22</v>
      </c>
      <c r="F56" s="18">
        <f t="shared" si="7"/>
        <v>2036</v>
      </c>
      <c r="G56" s="18">
        <f t="shared" si="3"/>
        <v>2</v>
      </c>
      <c r="H56" s="18">
        <f t="shared" si="4"/>
        <v>27</v>
      </c>
      <c r="I56" s="18" t="str">
        <f t="shared" si="5"/>
        <v>SAD</v>
      </c>
      <c r="J56" s="18" t="str">
        <f t="shared" si="0"/>
        <v>Slate Gray</v>
      </c>
      <c r="K56" s="18" t="str">
        <f t="shared" si="1"/>
        <v>Calm Center</v>
      </c>
      <c r="L56" s="18">
        <f t="shared" si="8"/>
        <v>198</v>
      </c>
      <c r="M56" s="19" t="str">
        <f t="shared" si="6"/>
        <v>Aswoensdag ,  - en dan nu: vasten</v>
      </c>
    </row>
    <row r="57" spans="4:13" x14ac:dyDescent="0.25">
      <c r="D57" s="21" t="s">
        <v>1382</v>
      </c>
      <c r="E57" s="23" t="s">
        <v>21</v>
      </c>
      <c r="F57" s="18">
        <f t="shared" si="7"/>
        <v>2037</v>
      </c>
      <c r="G57" s="18">
        <f t="shared" si="3"/>
        <v>2</v>
      </c>
      <c r="H57" s="18">
        <f t="shared" si="4"/>
        <v>18</v>
      </c>
      <c r="I57" s="18" t="str">
        <f t="shared" si="5"/>
        <v>SAD</v>
      </c>
      <c r="J57" s="18" t="str">
        <f t="shared" si="0"/>
        <v>Slate Gray</v>
      </c>
      <c r="K57" s="18" t="str">
        <f t="shared" si="1"/>
        <v>Calm Center</v>
      </c>
      <c r="L57" s="18">
        <f t="shared" si="8"/>
        <v>241</v>
      </c>
      <c r="M57" s="19" t="str">
        <f t="shared" si="6"/>
        <v>Aswoensdag ,  - en nu begint de katholieke ramadan</v>
      </c>
    </row>
    <row r="58" spans="4:13" x14ac:dyDescent="0.25">
      <c r="D58" s="21" t="s">
        <v>1382</v>
      </c>
      <c r="E58" s="23" t="s">
        <v>23</v>
      </c>
      <c r="F58" s="18">
        <f t="shared" si="7"/>
        <v>2038</v>
      </c>
      <c r="G58" s="18">
        <f t="shared" si="3"/>
        <v>3</v>
      </c>
      <c r="H58" s="18">
        <f t="shared" si="4"/>
        <v>10</v>
      </c>
      <c r="I58" s="18" t="str">
        <f t="shared" si="5"/>
        <v>SAD</v>
      </c>
      <c r="J58" s="18" t="str">
        <f t="shared" si="0"/>
        <v>Slate Gray</v>
      </c>
      <c r="K58" s="18" t="str">
        <f t="shared" si="1"/>
        <v>Calm Center</v>
      </c>
      <c r="L58" s="18">
        <f t="shared" si="8"/>
        <v>266</v>
      </c>
      <c r="M58" s="19" t="str">
        <f t="shared" si="6"/>
        <v>Aswoensdag ,  - het is  uit met de carnavalspret</v>
      </c>
    </row>
    <row r="59" spans="4:13" x14ac:dyDescent="0.25">
      <c r="D59" s="21" t="s">
        <v>1379</v>
      </c>
      <c r="E59" s="23" t="s">
        <v>25</v>
      </c>
      <c r="F59" s="18">
        <f t="shared" si="7"/>
        <v>2026</v>
      </c>
      <c r="G59" s="18">
        <f t="shared" si="3"/>
        <v>5</v>
      </c>
      <c r="H59" s="18">
        <f t="shared" si="4"/>
        <v>24</v>
      </c>
      <c r="I59" s="18" t="str">
        <f t="shared" si="5"/>
        <v>ZEN</v>
      </c>
      <c r="J59" s="18" t="str">
        <f t="shared" si="0"/>
        <v>Electric Blue</v>
      </c>
      <c r="K59" s="18" t="str">
        <f t="shared" si="1"/>
        <v>Wide Sweep</v>
      </c>
      <c r="L59" s="18">
        <f t="shared" si="8"/>
        <v>164</v>
      </c>
      <c r="M59" s="19" t="str">
        <f t="shared" si="6"/>
        <v>Pinksteren,  - wat is dat ook weer??</v>
      </c>
    </row>
    <row r="60" spans="4:13" x14ac:dyDescent="0.25">
      <c r="D60" s="21" t="s">
        <v>1379</v>
      </c>
      <c r="E60" s="23" t="s">
        <v>26</v>
      </c>
      <c r="F60" s="18">
        <f t="shared" si="7"/>
        <v>2027</v>
      </c>
      <c r="G60" s="18">
        <f t="shared" si="3"/>
        <v>5</v>
      </c>
      <c r="H60" s="18">
        <f t="shared" si="4"/>
        <v>16</v>
      </c>
      <c r="I60" s="18" t="str">
        <f t="shared" si="5"/>
        <v>ZEN</v>
      </c>
      <c r="J60" s="18" t="str">
        <f t="shared" si="0"/>
        <v>Electric Blue</v>
      </c>
      <c r="K60" s="18" t="str">
        <f t="shared" si="1"/>
        <v>Wide Sweep</v>
      </c>
      <c r="L60" s="18">
        <f t="shared" si="8"/>
        <v>137</v>
      </c>
      <c r="M60" s="19" t="str">
        <f t="shared" si="6"/>
        <v>Pinksteren,  - iets met vurige tongen?</v>
      </c>
    </row>
    <row r="61" spans="4:13" x14ac:dyDescent="0.25">
      <c r="D61" s="21" t="s">
        <v>1379</v>
      </c>
      <c r="E61" s="23" t="s">
        <v>27</v>
      </c>
      <c r="F61" s="18">
        <f t="shared" si="7"/>
        <v>2028</v>
      </c>
      <c r="G61" s="18">
        <f t="shared" si="3"/>
        <v>6</v>
      </c>
      <c r="H61" s="18">
        <f t="shared" si="4"/>
        <v>4</v>
      </c>
      <c r="I61" s="18" t="str">
        <f t="shared" si="5"/>
        <v>ZEN</v>
      </c>
      <c r="J61" s="18" t="str">
        <f t="shared" si="0"/>
        <v>Electric Blue</v>
      </c>
      <c r="K61" s="18" t="str">
        <f t="shared" si="1"/>
        <v>Wide Sweep</v>
      </c>
      <c r="L61" s="18">
        <f t="shared" si="8"/>
        <v>117</v>
      </c>
      <c r="M61" s="19" t="str">
        <f t="shared" si="6"/>
        <v>Pinksteren,  - de Heilige Geest zien vliegen???</v>
      </c>
    </row>
    <row r="62" spans="4:13" x14ac:dyDescent="0.25">
      <c r="D62" s="21" t="s">
        <v>1379</v>
      </c>
      <c r="E62" s="23"/>
      <c r="F62" s="18">
        <f t="shared" si="7"/>
        <v>2029</v>
      </c>
      <c r="G62" s="18">
        <f t="shared" si="3"/>
        <v>5</v>
      </c>
      <c r="H62" s="18">
        <f t="shared" si="4"/>
        <v>20</v>
      </c>
      <c r="I62" s="18" t="str">
        <f t="shared" si="5"/>
        <v>ZEN</v>
      </c>
      <c r="J62" s="18" t="str">
        <f t="shared" si="0"/>
        <v>Electric Blue</v>
      </c>
      <c r="K62" s="18" t="str">
        <f t="shared" si="1"/>
        <v>Wide Sweep</v>
      </c>
      <c r="L62" s="18">
        <f t="shared" si="8"/>
        <v>124</v>
      </c>
      <c r="M62" s="19" t="str">
        <f t="shared" si="6"/>
        <v>Pinksteren</v>
      </c>
    </row>
    <row r="63" spans="4:13" x14ac:dyDescent="0.25">
      <c r="D63" s="21" t="s">
        <v>1379</v>
      </c>
      <c r="E63" s="23" t="s">
        <v>25</v>
      </c>
      <c r="F63" s="18">
        <f t="shared" si="7"/>
        <v>2030</v>
      </c>
      <c r="G63" s="18">
        <f t="shared" si="3"/>
        <v>6</v>
      </c>
      <c r="H63" s="18">
        <f t="shared" si="4"/>
        <v>9</v>
      </c>
      <c r="I63" s="18" t="str">
        <f t="shared" si="5"/>
        <v>ZEN</v>
      </c>
      <c r="J63" s="18" t="str">
        <f t="shared" si="0"/>
        <v>Electric Blue</v>
      </c>
      <c r="K63" s="18" t="str">
        <f t="shared" si="1"/>
        <v>Wide Sweep</v>
      </c>
      <c r="L63" s="18">
        <f t="shared" si="8"/>
        <v>150</v>
      </c>
      <c r="M63" s="19" t="str">
        <f t="shared" si="6"/>
        <v>Pinksteren,  - wat is dat ook weer??</v>
      </c>
    </row>
    <row r="64" spans="4:13" x14ac:dyDescent="0.25">
      <c r="D64" s="21" t="s">
        <v>1379</v>
      </c>
      <c r="E64" s="23" t="s">
        <v>26</v>
      </c>
      <c r="F64" s="18">
        <f t="shared" si="7"/>
        <v>2031</v>
      </c>
      <c r="G64" s="18">
        <f t="shared" si="3"/>
        <v>6</v>
      </c>
      <c r="H64" s="18">
        <f t="shared" si="4"/>
        <v>1</v>
      </c>
      <c r="I64" s="18" t="str">
        <f t="shared" si="5"/>
        <v>ZEN</v>
      </c>
      <c r="J64" s="18" t="str">
        <f t="shared" si="0"/>
        <v>Electric Blue</v>
      </c>
      <c r="K64" s="18" t="str">
        <f t="shared" si="1"/>
        <v>Wide Sweep</v>
      </c>
      <c r="L64" s="18">
        <f t="shared" si="8"/>
        <v>172</v>
      </c>
      <c r="M64" s="19" t="str">
        <f t="shared" si="6"/>
        <v>Pinksteren,  - iets met vurige tongen?</v>
      </c>
    </row>
    <row r="65" spans="4:13" x14ac:dyDescent="0.25">
      <c r="D65" s="21" t="s">
        <v>1379</v>
      </c>
      <c r="E65" s="23" t="s">
        <v>27</v>
      </c>
      <c r="F65" s="18">
        <f t="shared" si="7"/>
        <v>2032</v>
      </c>
      <c r="G65" s="18">
        <f t="shared" si="3"/>
        <v>5</v>
      </c>
      <c r="H65" s="18">
        <f t="shared" si="4"/>
        <v>16</v>
      </c>
      <c r="I65" s="18" t="str">
        <f t="shared" si="5"/>
        <v>ZEN</v>
      </c>
      <c r="J65" s="18" t="str">
        <f t="shared" si="0"/>
        <v>Electric Blue</v>
      </c>
      <c r="K65" s="18" t="str">
        <f t="shared" si="1"/>
        <v>Wide Sweep</v>
      </c>
      <c r="L65" s="18">
        <f t="shared" si="8"/>
        <v>170</v>
      </c>
      <c r="M65" s="19" t="str">
        <f t="shared" si="6"/>
        <v>Pinksteren,  - de Heilige Geest zien vliegen???</v>
      </c>
    </row>
    <row r="66" spans="4:13" x14ac:dyDescent="0.25">
      <c r="D66" s="21" t="s">
        <v>1379</v>
      </c>
      <c r="E66" s="23"/>
      <c r="F66" s="18">
        <f t="shared" si="7"/>
        <v>2033</v>
      </c>
      <c r="G66" s="18">
        <f t="shared" si="3"/>
        <v>6</v>
      </c>
      <c r="H66" s="18">
        <f t="shared" si="4"/>
        <v>5</v>
      </c>
      <c r="I66" s="18" t="str">
        <f t="shared" si="5"/>
        <v>ZEN</v>
      </c>
      <c r="J66" s="18" t="str">
        <f t="shared" si="0"/>
        <v>Electric Blue</v>
      </c>
      <c r="K66" s="18" t="str">
        <f t="shared" si="1"/>
        <v>Wide Sweep</v>
      </c>
      <c r="L66" s="18">
        <f t="shared" si="8"/>
        <v>145</v>
      </c>
      <c r="M66" s="19" t="str">
        <f t="shared" si="6"/>
        <v>Pinksteren</v>
      </c>
    </row>
    <row r="67" spans="4:13" x14ac:dyDescent="0.25">
      <c r="D67" s="21" t="s">
        <v>1379</v>
      </c>
      <c r="E67" s="23" t="s">
        <v>25</v>
      </c>
      <c r="F67" s="18">
        <f t="shared" si="7"/>
        <v>2034</v>
      </c>
      <c r="G67" s="18">
        <f t="shared" si="3"/>
        <v>5</v>
      </c>
      <c r="H67" s="18">
        <f t="shared" si="4"/>
        <v>28</v>
      </c>
      <c r="I67" s="18" t="str">
        <f t="shared" si="5"/>
        <v>ZEN</v>
      </c>
      <c r="J67" s="18" t="str">
        <f t="shared" si="0"/>
        <v>Electric Blue</v>
      </c>
      <c r="K67" s="18" t="str">
        <f t="shared" si="1"/>
        <v>Wide Sweep</v>
      </c>
      <c r="L67" s="18">
        <f t="shared" si="8"/>
        <v>121</v>
      </c>
      <c r="M67" s="19" t="str">
        <f t="shared" si="6"/>
        <v>Pinksteren,  - wat is dat ook weer??</v>
      </c>
    </row>
    <row r="68" spans="4:13" x14ac:dyDescent="0.25">
      <c r="D68" s="21" t="s">
        <v>1379</v>
      </c>
      <c r="E68" s="23" t="s">
        <v>26</v>
      </c>
      <c r="F68" s="18">
        <f t="shared" si="7"/>
        <v>2035</v>
      </c>
      <c r="G68" s="18">
        <f t="shared" si="3"/>
        <v>5</v>
      </c>
      <c r="H68" s="18">
        <f t="shared" si="4"/>
        <v>13</v>
      </c>
      <c r="I68" s="18" t="str">
        <f t="shared" si="5"/>
        <v>ZEN</v>
      </c>
      <c r="J68" s="18" t="str">
        <f t="shared" si="0"/>
        <v>Electric Blue</v>
      </c>
      <c r="K68" s="18" t="str">
        <f t="shared" si="1"/>
        <v>Wide Sweep</v>
      </c>
      <c r="L68" s="18">
        <f t="shared" si="8"/>
        <v>119</v>
      </c>
      <c r="M68" s="19" t="str">
        <f t="shared" si="6"/>
        <v>Pinksteren,  - iets met vurige tongen?</v>
      </c>
    </row>
    <row r="69" spans="4:13" x14ac:dyDescent="0.25">
      <c r="D69" s="21" t="s">
        <v>1379</v>
      </c>
      <c r="E69" s="23" t="s">
        <v>27</v>
      </c>
      <c r="F69" s="18">
        <f t="shared" si="7"/>
        <v>2036</v>
      </c>
      <c r="G69" s="18">
        <f t="shared" si="3"/>
        <v>6</v>
      </c>
      <c r="H69" s="18">
        <f t="shared" si="4"/>
        <v>1</v>
      </c>
      <c r="I69" s="18" t="str">
        <f t="shared" si="5"/>
        <v>ZEN</v>
      </c>
      <c r="J69" s="18" t="str">
        <f t="shared" si="0"/>
        <v>Electric Blue</v>
      </c>
      <c r="K69" s="18" t="str">
        <f t="shared" si="1"/>
        <v>Wide Sweep</v>
      </c>
      <c r="L69" s="18">
        <f t="shared" si="8"/>
        <v>142</v>
      </c>
      <c r="M69" s="19" t="str">
        <f t="shared" si="6"/>
        <v>Pinksteren,  - de Heilige Geest zien vliegen???</v>
      </c>
    </row>
    <row r="70" spans="4:13" x14ac:dyDescent="0.25">
      <c r="D70" s="21" t="s">
        <v>1379</v>
      </c>
      <c r="E70" s="23"/>
      <c r="F70" s="18">
        <f t="shared" si="7"/>
        <v>2037</v>
      </c>
      <c r="G70" s="18">
        <f t="shared" si="3"/>
        <v>5</v>
      </c>
      <c r="H70" s="18">
        <f t="shared" si="4"/>
        <v>24</v>
      </c>
      <c r="I70" s="18" t="str">
        <f t="shared" si="5"/>
        <v>ZEN</v>
      </c>
      <c r="J70" s="18" t="str">
        <f t="shared" si="0"/>
        <v>Electric Blue</v>
      </c>
      <c r="K70" s="18" t="str">
        <f t="shared" si="1"/>
        <v>Wide Sweep</v>
      </c>
      <c r="L70" s="18">
        <f t="shared" si="8"/>
        <v>168</v>
      </c>
      <c r="M70" s="19" t="str">
        <f t="shared" si="6"/>
        <v>Pinksteren</v>
      </c>
    </row>
    <row r="71" spans="4:13" x14ac:dyDescent="0.25">
      <c r="D71" s="21" t="s">
        <v>1379</v>
      </c>
      <c r="E71" s="23" t="s">
        <v>25</v>
      </c>
      <c r="F71" s="18">
        <f t="shared" si="7"/>
        <v>2038</v>
      </c>
      <c r="G71" s="18">
        <f t="shared" si="3"/>
        <v>6</v>
      </c>
      <c r="H71" s="18">
        <f t="shared" si="4"/>
        <v>13</v>
      </c>
      <c r="I71" s="18" t="str">
        <f t="shared" ref="I71:I97" si="9">IF(D71="","",VLOOKUP($D71,$U$5:$AA$30,I$4,0))</f>
        <v>ZEN</v>
      </c>
      <c r="J71" s="18" t="str">
        <f t="shared" ref="J71:J97" si="10">IF(D71="","",VLOOKUP($D71,$U$5:$AA$30,J$4,0))</f>
        <v>Electric Blue</v>
      </c>
      <c r="K71" s="18" t="str">
        <f t="shared" ref="K71:K97" si="11">IF(D71="","",VLOOKUP($D71,$U$5:$AA$30,K$4,0))</f>
        <v>Wide Sweep</v>
      </c>
      <c r="L71" s="18">
        <f t="shared" ref="L71:L134" si="12">IF(ISNA(VLOOKUP($D71,$U$5:$AA$30,L$4,0)),"",INT(VLOOKUP($D71,$U$5:$AA$30,L$4,0)*(1+$L$2*SIN(ROW($D71)))))</f>
        <v>173</v>
      </c>
      <c r="M71" s="19" t="str">
        <f t="shared" si="6"/>
        <v>Pinksteren,  - wat is dat ook weer??</v>
      </c>
    </row>
    <row r="72" spans="4:13" x14ac:dyDescent="0.25">
      <c r="D72" s="21" t="s">
        <v>1383</v>
      </c>
      <c r="E72" s="23" t="s">
        <v>29</v>
      </c>
      <c r="F72" s="18">
        <f t="shared" si="7"/>
        <v>2026</v>
      </c>
      <c r="G72" s="18">
        <f t="shared" ref="G72:G97" si="13">FeestMaand(D72,F72)</f>
        <v>4</v>
      </c>
      <c r="H72" s="18">
        <f t="shared" ref="H72:H97" si="14">FeestDag(D72,F72)</f>
        <v>3</v>
      </c>
      <c r="I72" s="18" t="str">
        <f t="shared" si="9"/>
        <v>TIBET</v>
      </c>
      <c r="J72" s="18" t="str">
        <f t="shared" si="10"/>
        <v>Magenta Dream</v>
      </c>
      <c r="K72" s="18" t="str">
        <f t="shared" si="11"/>
        <v>Slow Breathing</v>
      </c>
      <c r="L72" s="18">
        <f t="shared" si="12"/>
        <v>245</v>
      </c>
      <c r="M72" s="19" t="str">
        <f t="shared" ref="M72:M97" si="15">IF(D72="","",VLOOKUP($D72,$U$5:$AA$30,M$4,0)&amp;IF(E72="","",", "&amp;E72))</f>
        <v>Goede Vrijdag,  - bijna Pasen</v>
      </c>
    </row>
    <row r="73" spans="4:13" x14ac:dyDescent="0.25">
      <c r="D73" s="21" t="s">
        <v>1383</v>
      </c>
      <c r="E73" s="23" t="s">
        <v>30</v>
      </c>
      <c r="F73" s="18">
        <f t="shared" ref="F73:F97" si="16">IF(F72=$F$3,$F$2,IF(D73=D72,F72+1,$F$2))</f>
        <v>2027</v>
      </c>
      <c r="G73" s="18">
        <f t="shared" si="13"/>
        <v>3</v>
      </c>
      <c r="H73" s="18">
        <f t="shared" si="14"/>
        <v>26</v>
      </c>
      <c r="I73" s="18" t="str">
        <f t="shared" si="9"/>
        <v>TIBET</v>
      </c>
      <c r="J73" s="18" t="str">
        <f t="shared" si="10"/>
        <v>Magenta Dream</v>
      </c>
      <c r="K73" s="18" t="str">
        <f t="shared" si="11"/>
        <v>Slow Breathing</v>
      </c>
      <c r="L73" s="18">
        <f t="shared" si="12"/>
        <v>202</v>
      </c>
      <c r="M73" s="19" t="str">
        <f t="shared" si="15"/>
        <v>Goede Vrijdag,  - geen vrije dag</v>
      </c>
    </row>
    <row r="74" spans="4:13" x14ac:dyDescent="0.25">
      <c r="D74" s="21" t="s">
        <v>1383</v>
      </c>
      <c r="E74" s="23"/>
      <c r="F74" s="18">
        <f t="shared" si="16"/>
        <v>2028</v>
      </c>
      <c r="G74" s="18">
        <f t="shared" si="13"/>
        <v>4</v>
      </c>
      <c r="H74" s="18">
        <f t="shared" si="14"/>
        <v>14</v>
      </c>
      <c r="I74" s="18" t="str">
        <f t="shared" si="9"/>
        <v>TIBET</v>
      </c>
      <c r="J74" s="18" t="str">
        <f t="shared" si="10"/>
        <v>Magenta Dream</v>
      </c>
      <c r="K74" s="18" t="str">
        <f t="shared" si="11"/>
        <v>Slow Breathing</v>
      </c>
      <c r="L74" s="18">
        <f t="shared" si="12"/>
        <v>187</v>
      </c>
      <c r="M74" s="19" t="str">
        <f t="shared" si="15"/>
        <v>Goede Vrijdag</v>
      </c>
    </row>
    <row r="75" spans="4:13" x14ac:dyDescent="0.25">
      <c r="D75" s="21" t="s">
        <v>1383</v>
      </c>
      <c r="E75" s="23" t="s">
        <v>31</v>
      </c>
      <c r="F75" s="18">
        <f t="shared" si="16"/>
        <v>2029</v>
      </c>
      <c r="G75" s="18">
        <f t="shared" si="13"/>
        <v>3</v>
      </c>
      <c r="H75" s="18">
        <f t="shared" si="14"/>
        <v>30</v>
      </c>
      <c r="I75" s="18" t="str">
        <f t="shared" si="9"/>
        <v>TIBET</v>
      </c>
      <c r="J75" s="18" t="str">
        <f t="shared" si="10"/>
        <v>Magenta Dream</v>
      </c>
      <c r="K75" s="18" t="str">
        <f t="shared" si="11"/>
        <v>Slow Breathing</v>
      </c>
      <c r="L75" s="18">
        <f t="shared" si="12"/>
        <v>215</v>
      </c>
      <c r="M75" s="19" t="str">
        <f t="shared" si="15"/>
        <v>Goede Vrijdag,  tja, Goede Vrijdag?</v>
      </c>
    </row>
    <row r="76" spans="4:13" x14ac:dyDescent="0.25">
      <c r="D76" s="21" t="s">
        <v>1383</v>
      </c>
      <c r="E76" s="23"/>
      <c r="F76" s="18">
        <f t="shared" si="16"/>
        <v>2030</v>
      </c>
      <c r="G76" s="18">
        <f t="shared" si="13"/>
        <v>4</v>
      </c>
      <c r="H76" s="18">
        <f t="shared" si="14"/>
        <v>19</v>
      </c>
      <c r="I76" s="18" t="str">
        <f t="shared" si="9"/>
        <v>TIBET</v>
      </c>
      <c r="J76" s="18" t="str">
        <f t="shared" si="10"/>
        <v>Magenta Dream</v>
      </c>
      <c r="K76" s="18" t="str">
        <f t="shared" si="11"/>
        <v>Slow Breathing</v>
      </c>
      <c r="L76" s="18">
        <f t="shared" si="12"/>
        <v>260</v>
      </c>
      <c r="M76" s="19" t="str">
        <f t="shared" si="15"/>
        <v>Goede Vrijdag</v>
      </c>
    </row>
    <row r="77" spans="4:13" x14ac:dyDescent="0.25">
      <c r="D77" s="21" t="s">
        <v>1383</v>
      </c>
      <c r="E77" s="23" t="s">
        <v>32</v>
      </c>
      <c r="F77" s="18">
        <f t="shared" si="16"/>
        <v>2031</v>
      </c>
      <c r="G77" s="18">
        <f t="shared" si="13"/>
        <v>4</v>
      </c>
      <c r="H77" s="18">
        <f t="shared" si="14"/>
        <v>11</v>
      </c>
      <c r="I77" s="18" t="str">
        <f t="shared" si="9"/>
        <v>TIBET</v>
      </c>
      <c r="J77" s="18" t="str">
        <f t="shared" si="10"/>
        <v>Magenta Dream</v>
      </c>
      <c r="K77" s="18" t="str">
        <f t="shared" si="11"/>
        <v>Slow Breathing</v>
      </c>
      <c r="L77" s="18">
        <f t="shared" si="12"/>
        <v>280</v>
      </c>
      <c r="M77" s="19" t="str">
        <f t="shared" si="15"/>
        <v>Goede Vrijdag,  - ook zowat</v>
      </c>
    </row>
    <row r="78" spans="4:13" x14ac:dyDescent="0.25">
      <c r="D78" s="21" t="s">
        <v>1383</v>
      </c>
      <c r="E78" s="23"/>
      <c r="F78" s="18">
        <f t="shared" si="16"/>
        <v>2032</v>
      </c>
      <c r="G78" s="18">
        <f t="shared" si="13"/>
        <v>3</v>
      </c>
      <c r="H78" s="18">
        <f t="shared" si="14"/>
        <v>26</v>
      </c>
      <c r="I78" s="18" t="str">
        <f t="shared" si="9"/>
        <v>TIBET</v>
      </c>
      <c r="J78" s="18" t="str">
        <f t="shared" si="10"/>
        <v>Magenta Dream</v>
      </c>
      <c r="K78" s="18" t="str">
        <f t="shared" si="11"/>
        <v>Slow Breathing</v>
      </c>
      <c r="L78" s="18">
        <f t="shared" si="12"/>
        <v>258</v>
      </c>
      <c r="M78" s="19" t="str">
        <f t="shared" si="15"/>
        <v>Goede Vrijdag</v>
      </c>
    </row>
    <row r="79" spans="4:13" x14ac:dyDescent="0.25">
      <c r="D79" s="21" t="s">
        <v>1383</v>
      </c>
      <c r="E79" s="23" t="s">
        <v>112</v>
      </c>
      <c r="F79" s="18">
        <f t="shared" si="16"/>
        <v>2033</v>
      </c>
      <c r="G79" s="18">
        <f t="shared" si="13"/>
        <v>4</v>
      </c>
      <c r="H79" s="18">
        <f t="shared" si="14"/>
        <v>15</v>
      </c>
      <c r="I79" s="18" t="str">
        <f t="shared" si="9"/>
        <v>TIBET</v>
      </c>
      <c r="J79" s="18" t="str">
        <f t="shared" si="10"/>
        <v>Magenta Dream</v>
      </c>
      <c r="K79" s="18" t="str">
        <f t="shared" si="11"/>
        <v>Slow Breathing</v>
      </c>
      <c r="L79" s="18">
        <f t="shared" si="12"/>
        <v>213</v>
      </c>
      <c r="M79" s="19" t="str">
        <f t="shared" si="15"/>
        <v>Goede Vrijdag, holadiejee</v>
      </c>
    </row>
    <row r="80" spans="4:13" x14ac:dyDescent="0.25">
      <c r="D80" s="21" t="s">
        <v>1383</v>
      </c>
      <c r="E80" s="23"/>
      <c r="F80" s="18">
        <f t="shared" si="16"/>
        <v>2034</v>
      </c>
      <c r="G80" s="18">
        <f t="shared" si="13"/>
        <v>4</v>
      </c>
      <c r="H80" s="18">
        <f t="shared" si="14"/>
        <v>7</v>
      </c>
      <c r="I80" s="18" t="str">
        <f t="shared" si="9"/>
        <v>TIBET</v>
      </c>
      <c r="J80" s="18" t="str">
        <f t="shared" si="10"/>
        <v>Magenta Dream</v>
      </c>
      <c r="K80" s="18" t="str">
        <f t="shared" si="11"/>
        <v>Slow Breathing</v>
      </c>
      <c r="L80" s="18">
        <f t="shared" si="12"/>
        <v>187</v>
      </c>
      <c r="M80" s="19" t="str">
        <f t="shared" si="15"/>
        <v>Goede Vrijdag</v>
      </c>
    </row>
    <row r="81" spans="4:13" x14ac:dyDescent="0.25">
      <c r="D81" s="21" t="s">
        <v>1383</v>
      </c>
      <c r="E81" s="23"/>
      <c r="F81" s="18">
        <f t="shared" si="16"/>
        <v>2035</v>
      </c>
      <c r="G81" s="18">
        <f t="shared" si="13"/>
        <v>3</v>
      </c>
      <c r="H81" s="18">
        <f t="shared" si="14"/>
        <v>23</v>
      </c>
      <c r="I81" s="18" t="str">
        <f t="shared" si="9"/>
        <v>TIBET</v>
      </c>
      <c r="J81" s="18" t="str">
        <f t="shared" si="10"/>
        <v>Magenta Dream</v>
      </c>
      <c r="K81" s="18" t="str">
        <f t="shared" si="11"/>
        <v>Slow Breathing</v>
      </c>
      <c r="L81" s="18">
        <f t="shared" si="12"/>
        <v>204</v>
      </c>
      <c r="M81" s="19" t="str">
        <f t="shared" si="15"/>
        <v>Goede Vrijdag</v>
      </c>
    </row>
    <row r="82" spans="4:13" x14ac:dyDescent="0.25">
      <c r="D82" s="21" t="s">
        <v>1383</v>
      </c>
      <c r="E82" s="23"/>
      <c r="F82" s="18">
        <f t="shared" si="16"/>
        <v>2036</v>
      </c>
      <c r="G82" s="18">
        <f t="shared" si="13"/>
        <v>4</v>
      </c>
      <c r="H82" s="18">
        <f t="shared" si="14"/>
        <v>11</v>
      </c>
      <c r="I82" s="18" t="str">
        <f t="shared" si="9"/>
        <v>TIBET</v>
      </c>
      <c r="J82" s="18" t="str">
        <f t="shared" si="10"/>
        <v>Magenta Dream</v>
      </c>
      <c r="K82" s="18" t="str">
        <f t="shared" si="11"/>
        <v>Slow Breathing</v>
      </c>
      <c r="L82" s="18">
        <f t="shared" si="12"/>
        <v>248</v>
      </c>
      <c r="M82" s="19" t="str">
        <f t="shared" si="15"/>
        <v>Goede Vrijdag</v>
      </c>
    </row>
    <row r="83" spans="4:13" x14ac:dyDescent="0.25">
      <c r="D83" s="21" t="s">
        <v>1383</v>
      </c>
      <c r="E83" s="23"/>
      <c r="F83" s="18">
        <f t="shared" si="16"/>
        <v>2037</v>
      </c>
      <c r="G83" s="18">
        <f t="shared" si="13"/>
        <v>4</v>
      </c>
      <c r="H83" s="18">
        <f t="shared" si="14"/>
        <v>3</v>
      </c>
      <c r="I83" s="18" t="str">
        <f t="shared" si="9"/>
        <v>TIBET</v>
      </c>
      <c r="J83" s="18" t="str">
        <f t="shared" si="10"/>
        <v>Magenta Dream</v>
      </c>
      <c r="K83" s="18" t="str">
        <f t="shared" si="11"/>
        <v>Slow Breathing</v>
      </c>
      <c r="L83" s="18">
        <f t="shared" si="12"/>
        <v>279</v>
      </c>
      <c r="M83" s="19" t="str">
        <f t="shared" si="15"/>
        <v>Goede Vrijdag</v>
      </c>
    </row>
    <row r="84" spans="4:13" x14ac:dyDescent="0.25">
      <c r="D84" s="21" t="s">
        <v>1383</v>
      </c>
      <c r="E84" s="23"/>
      <c r="F84" s="18">
        <f t="shared" si="16"/>
        <v>2038</v>
      </c>
      <c r="G84" s="18">
        <f t="shared" si="13"/>
        <v>4</v>
      </c>
      <c r="H84" s="18">
        <f t="shared" si="14"/>
        <v>23</v>
      </c>
      <c r="I84" s="18" t="str">
        <f t="shared" si="9"/>
        <v>TIBET</v>
      </c>
      <c r="J84" s="18" t="str">
        <f t="shared" si="10"/>
        <v>Magenta Dream</v>
      </c>
      <c r="K84" s="18" t="str">
        <f t="shared" si="11"/>
        <v>Slow Breathing</v>
      </c>
      <c r="L84" s="18">
        <f t="shared" si="12"/>
        <v>268</v>
      </c>
      <c r="M84" s="19" t="str">
        <f t="shared" si="15"/>
        <v>Goede Vrijdag</v>
      </c>
    </row>
    <row r="85" spans="4:13" x14ac:dyDescent="0.25">
      <c r="D85" s="21" t="s">
        <v>1376</v>
      </c>
      <c r="E85" s="22" t="s">
        <v>19</v>
      </c>
      <c r="F85" s="18">
        <f t="shared" si="16"/>
        <v>2026</v>
      </c>
      <c r="G85" s="18">
        <f t="shared" si="13"/>
        <v>2</v>
      </c>
      <c r="H85" s="18">
        <f t="shared" si="14"/>
        <v>15</v>
      </c>
      <c r="I85" s="18" t="str">
        <f t="shared" si="9"/>
        <v>MUSIC</v>
      </c>
      <c r="J85" s="18" t="str">
        <f t="shared" si="10"/>
        <v>Candy Pink</v>
      </c>
      <c r="K85" s="18" t="str">
        <f t="shared" si="11"/>
        <v>Rapid Sparks</v>
      </c>
      <c r="L85" s="18">
        <f t="shared" si="12"/>
        <v>95</v>
      </c>
      <c r="M85" s="19" t="str">
        <f t="shared" si="15"/>
        <v>Carnaval, Tadaaaaah - tadaaaah</v>
      </c>
    </row>
    <row r="86" spans="4:13" x14ac:dyDescent="0.25">
      <c r="D86" s="21" t="s">
        <v>1376</v>
      </c>
      <c r="E86" s="22" t="s">
        <v>16</v>
      </c>
      <c r="F86" s="18">
        <f t="shared" si="16"/>
        <v>2027</v>
      </c>
      <c r="G86" s="18">
        <f t="shared" si="13"/>
        <v>2</v>
      </c>
      <c r="H86" s="18">
        <f t="shared" si="14"/>
        <v>7</v>
      </c>
      <c r="I86" s="18" t="str">
        <f t="shared" si="9"/>
        <v>MUSIC</v>
      </c>
      <c r="J86" s="18" t="str">
        <f t="shared" si="10"/>
        <v>Candy Pink</v>
      </c>
      <c r="K86" s="18" t="str">
        <f t="shared" si="11"/>
        <v>Rapid Sparks</v>
      </c>
      <c r="L86" s="18">
        <f t="shared" si="12"/>
        <v>80</v>
      </c>
      <c r="M86" s="19" t="str">
        <f t="shared" si="15"/>
        <v>Carnaval, Alaaf!!</v>
      </c>
    </row>
    <row r="87" spans="4:13" x14ac:dyDescent="0.25">
      <c r="D87" s="21" t="s">
        <v>1376</v>
      </c>
      <c r="E87" s="22" t="s">
        <v>17</v>
      </c>
      <c r="F87" s="18">
        <f t="shared" si="16"/>
        <v>2028</v>
      </c>
      <c r="G87" s="18">
        <f t="shared" si="13"/>
        <v>2</v>
      </c>
      <c r="H87" s="18">
        <f t="shared" si="14"/>
        <v>27</v>
      </c>
      <c r="I87" s="18" t="str">
        <f t="shared" si="9"/>
        <v>MUSIC</v>
      </c>
      <c r="J87" s="18" t="str">
        <f t="shared" si="10"/>
        <v>Candy Pink</v>
      </c>
      <c r="K87" s="18" t="str">
        <f t="shared" si="11"/>
        <v>Rapid Sparks</v>
      </c>
      <c r="L87" s="18">
        <f t="shared" si="12"/>
        <v>82</v>
      </c>
      <c r="M87" s="19" t="str">
        <f t="shared" si="15"/>
        <v>Carnaval, Keiebijters!!</v>
      </c>
    </row>
    <row r="88" spans="4:13" x14ac:dyDescent="0.25">
      <c r="D88" s="21" t="s">
        <v>1376</v>
      </c>
      <c r="E88" s="22" t="s">
        <v>18</v>
      </c>
      <c r="F88" s="18">
        <f t="shared" si="16"/>
        <v>2029</v>
      </c>
      <c r="G88" s="18">
        <f t="shared" si="13"/>
        <v>2</v>
      </c>
      <c r="H88" s="18">
        <f t="shared" si="14"/>
        <v>11</v>
      </c>
      <c r="I88" s="18" t="str">
        <f t="shared" si="9"/>
        <v>MUSIC</v>
      </c>
      <c r="J88" s="18" t="str">
        <f t="shared" si="10"/>
        <v>Candy Pink</v>
      </c>
      <c r="K88" s="18" t="str">
        <f t="shared" si="11"/>
        <v>Rapid Sparks</v>
      </c>
      <c r="L88" s="18">
        <f t="shared" si="12"/>
        <v>99</v>
      </c>
      <c r="M88" s="19" t="str">
        <f t="shared" si="15"/>
        <v>Carnaval, En deh hittie naw gedonn umdettie Hellemonder is</v>
      </c>
    </row>
    <row r="89" spans="4:13" x14ac:dyDescent="0.25">
      <c r="D89" s="21" t="s">
        <v>1376</v>
      </c>
      <c r="E89" s="22" t="s">
        <v>1385</v>
      </c>
      <c r="F89" s="18">
        <f t="shared" si="16"/>
        <v>2030</v>
      </c>
      <c r="G89" s="18">
        <f t="shared" si="13"/>
        <v>3</v>
      </c>
      <c r="H89" s="18">
        <f t="shared" si="14"/>
        <v>3</v>
      </c>
      <c r="I89" s="18" t="str">
        <f t="shared" si="9"/>
        <v>MUSIC</v>
      </c>
      <c r="J89" s="18" t="str">
        <f t="shared" si="10"/>
        <v>Candy Pink</v>
      </c>
      <c r="K89" s="18" t="str">
        <f t="shared" si="11"/>
        <v>Rapid Sparks</v>
      </c>
      <c r="L89" s="18">
        <f t="shared" si="12"/>
        <v>116</v>
      </c>
      <c r="M89" s="19" t="str">
        <f t="shared" si="15"/>
        <v>Carnaval, Agge mar leut heht</v>
      </c>
    </row>
    <row r="90" spans="4:13" x14ac:dyDescent="0.25">
      <c r="D90" s="21" t="s">
        <v>1376</v>
      </c>
      <c r="E90" s="22" t="s">
        <v>16</v>
      </c>
      <c r="F90" s="18">
        <f t="shared" si="16"/>
        <v>2031</v>
      </c>
      <c r="G90" s="18">
        <f t="shared" si="13"/>
        <v>2</v>
      </c>
      <c r="H90" s="18">
        <f t="shared" si="14"/>
        <v>23</v>
      </c>
      <c r="I90" s="18" t="str">
        <f t="shared" si="9"/>
        <v>MUSIC</v>
      </c>
      <c r="J90" s="18" t="str">
        <f t="shared" si="10"/>
        <v>Candy Pink</v>
      </c>
      <c r="K90" s="18" t="str">
        <f t="shared" si="11"/>
        <v>Rapid Sparks</v>
      </c>
      <c r="L90" s="18">
        <f t="shared" si="12"/>
        <v>116</v>
      </c>
      <c r="M90" s="19" t="str">
        <f t="shared" si="15"/>
        <v>Carnaval, Alaaf!!</v>
      </c>
    </row>
    <row r="91" spans="4:13" x14ac:dyDescent="0.25">
      <c r="D91" s="21" t="s">
        <v>1376</v>
      </c>
      <c r="E91" s="22" t="s">
        <v>17</v>
      </c>
      <c r="F91" s="18">
        <f t="shared" si="16"/>
        <v>2032</v>
      </c>
      <c r="G91" s="18">
        <f t="shared" si="13"/>
        <v>2</v>
      </c>
      <c r="H91" s="18">
        <f t="shared" si="14"/>
        <v>8</v>
      </c>
      <c r="I91" s="18" t="str">
        <f t="shared" si="9"/>
        <v>MUSIC</v>
      </c>
      <c r="J91" s="18" t="str">
        <f t="shared" si="10"/>
        <v>Candy Pink</v>
      </c>
      <c r="K91" s="18" t="str">
        <f t="shared" si="11"/>
        <v>Rapid Sparks</v>
      </c>
      <c r="L91" s="18">
        <f t="shared" si="12"/>
        <v>101</v>
      </c>
      <c r="M91" s="19" t="str">
        <f t="shared" si="15"/>
        <v>Carnaval, Keiebijters!!</v>
      </c>
    </row>
    <row r="92" spans="4:13" x14ac:dyDescent="0.25">
      <c r="D92" s="21" t="s">
        <v>1376</v>
      </c>
      <c r="E92" s="22" t="s">
        <v>18</v>
      </c>
      <c r="F92" s="18">
        <f t="shared" si="16"/>
        <v>2033</v>
      </c>
      <c r="G92" s="18">
        <f t="shared" si="13"/>
        <v>2</v>
      </c>
      <c r="H92" s="18">
        <f t="shared" si="14"/>
        <v>27</v>
      </c>
      <c r="I92" s="18" t="str">
        <f t="shared" si="9"/>
        <v>MUSIC</v>
      </c>
      <c r="J92" s="18" t="str">
        <f t="shared" si="10"/>
        <v>Candy Pink</v>
      </c>
      <c r="K92" s="18" t="str">
        <f t="shared" si="11"/>
        <v>Rapid Sparks</v>
      </c>
      <c r="L92" s="18">
        <f t="shared" si="12"/>
        <v>83</v>
      </c>
      <c r="M92" s="19" t="str">
        <f t="shared" si="15"/>
        <v>Carnaval, En deh hittie naw gedonn umdettie Hellemonder is</v>
      </c>
    </row>
    <row r="93" spans="4:13" x14ac:dyDescent="0.25">
      <c r="D93" s="21" t="s">
        <v>1376</v>
      </c>
      <c r="E93" s="22" t="s">
        <v>1385</v>
      </c>
      <c r="F93" s="18">
        <f t="shared" si="16"/>
        <v>2034</v>
      </c>
      <c r="G93" s="18">
        <f t="shared" si="13"/>
        <v>2</v>
      </c>
      <c r="H93" s="18">
        <f t="shared" si="14"/>
        <v>19</v>
      </c>
      <c r="I93" s="18" t="str">
        <f t="shared" si="9"/>
        <v>MUSIC</v>
      </c>
      <c r="J93" s="18" t="str">
        <f t="shared" si="10"/>
        <v>Candy Pink</v>
      </c>
      <c r="K93" s="18" t="str">
        <f t="shared" si="11"/>
        <v>Rapid Sparks</v>
      </c>
      <c r="L93" s="18">
        <f t="shared" si="12"/>
        <v>80</v>
      </c>
      <c r="M93" s="19" t="str">
        <f t="shared" si="15"/>
        <v>Carnaval, Agge mar leut heht</v>
      </c>
    </row>
    <row r="94" spans="4:13" x14ac:dyDescent="0.25">
      <c r="D94" s="21" t="s">
        <v>1376</v>
      </c>
      <c r="E94" s="22" t="s">
        <v>16</v>
      </c>
      <c r="F94" s="18">
        <f t="shared" si="16"/>
        <v>2035</v>
      </c>
      <c r="G94" s="18">
        <f t="shared" si="13"/>
        <v>2</v>
      </c>
      <c r="H94" s="18">
        <f t="shared" si="14"/>
        <v>4</v>
      </c>
      <c r="I94" s="18" t="str">
        <f t="shared" si="9"/>
        <v>MUSIC</v>
      </c>
      <c r="J94" s="18" t="str">
        <f t="shared" si="10"/>
        <v>Candy Pink</v>
      </c>
      <c r="K94" s="18" t="str">
        <f t="shared" si="11"/>
        <v>Rapid Sparks</v>
      </c>
      <c r="L94" s="18">
        <f t="shared" si="12"/>
        <v>94</v>
      </c>
      <c r="M94" s="19" t="str">
        <f t="shared" si="15"/>
        <v>Carnaval, Alaaf!!</v>
      </c>
    </row>
    <row r="95" spans="4:13" x14ac:dyDescent="0.25">
      <c r="D95" s="21" t="s">
        <v>1376</v>
      </c>
      <c r="E95" s="22" t="s">
        <v>17</v>
      </c>
      <c r="F95" s="18">
        <f t="shared" si="16"/>
        <v>2036</v>
      </c>
      <c r="G95" s="18">
        <f t="shared" si="13"/>
        <v>2</v>
      </c>
      <c r="H95" s="18">
        <f t="shared" si="14"/>
        <v>24</v>
      </c>
      <c r="I95" s="18" t="str">
        <f t="shared" si="9"/>
        <v>MUSIC</v>
      </c>
      <c r="J95" s="18" t="str">
        <f t="shared" si="10"/>
        <v>Candy Pink</v>
      </c>
      <c r="K95" s="18" t="str">
        <f t="shared" si="11"/>
        <v>Rapid Sparks</v>
      </c>
      <c r="L95" s="18">
        <f t="shared" si="12"/>
        <v>112</v>
      </c>
      <c r="M95" s="19" t="str">
        <f t="shared" si="15"/>
        <v>Carnaval, Keiebijters!!</v>
      </c>
    </row>
    <row r="96" spans="4:13" x14ac:dyDescent="0.25">
      <c r="D96" s="21" t="s">
        <v>1376</v>
      </c>
      <c r="E96" s="22" t="s">
        <v>18</v>
      </c>
      <c r="F96" s="18">
        <f t="shared" si="16"/>
        <v>2037</v>
      </c>
      <c r="G96" s="18">
        <f t="shared" si="13"/>
        <v>2</v>
      </c>
      <c r="H96" s="18">
        <f t="shared" si="14"/>
        <v>15</v>
      </c>
      <c r="I96" s="18" t="str">
        <f t="shared" si="9"/>
        <v>MUSIC</v>
      </c>
      <c r="J96" s="18" t="str">
        <f t="shared" si="10"/>
        <v>Candy Pink</v>
      </c>
      <c r="K96" s="18" t="str">
        <f t="shared" si="11"/>
        <v>Rapid Sparks</v>
      </c>
      <c r="L96" s="18">
        <f t="shared" si="12"/>
        <v>118</v>
      </c>
      <c r="M96" s="19" t="str">
        <f t="shared" si="15"/>
        <v>Carnaval, En deh hittie naw gedonn umdettie Hellemonder is</v>
      </c>
    </row>
    <row r="97" spans="4:13" x14ac:dyDescent="0.25">
      <c r="D97" s="21" t="s">
        <v>1376</v>
      </c>
      <c r="E97" s="22" t="s">
        <v>1385</v>
      </c>
      <c r="F97" s="18">
        <f t="shared" si="16"/>
        <v>2038</v>
      </c>
      <c r="G97" s="18">
        <f t="shared" si="13"/>
        <v>3</v>
      </c>
      <c r="H97" s="18">
        <f t="shared" si="14"/>
        <v>7</v>
      </c>
      <c r="I97" s="18" t="str">
        <f t="shared" si="9"/>
        <v>MUSIC</v>
      </c>
      <c r="J97" s="18" t="str">
        <f t="shared" si="10"/>
        <v>Candy Pink</v>
      </c>
      <c r="K97" s="18" t="str">
        <f t="shared" si="11"/>
        <v>Rapid Sparks</v>
      </c>
      <c r="L97" s="18">
        <f t="shared" si="12"/>
        <v>106</v>
      </c>
      <c r="M97" s="19" t="str">
        <f t="shared" si="15"/>
        <v>Carnaval, Agge mar leut heht</v>
      </c>
    </row>
    <row r="98" spans="4:13" x14ac:dyDescent="0.25">
      <c r="D98" s="21" t="s">
        <v>1377</v>
      </c>
      <c r="E98" s="22" t="s">
        <v>1385</v>
      </c>
      <c r="F98" s="18">
        <f t="shared" ref="F98:F123" si="17">IF(F97=$F$3,$F$2,IF(D98=D97,F97+1,$F$2))</f>
        <v>2026</v>
      </c>
      <c r="G98" s="18">
        <f t="shared" ref="G98:G123" si="18">FeestMaand(D98,F98)</f>
        <v>2</v>
      </c>
      <c r="H98" s="18">
        <f t="shared" ref="H98:H123" si="19">FeestDag(D98,F98)</f>
        <v>16</v>
      </c>
      <c r="I98" s="18" t="str">
        <f t="shared" ref="I98:I123" si="20">IF(D98="","",VLOOKUP($D98,$U$5:$AA$30,I$4,0))</f>
        <v>MUSIC</v>
      </c>
      <c r="J98" s="18" t="str">
        <f t="shared" ref="J98:J136" si="21">IF(D98="","",VLOOKUP($D98,$U$5:$AA$30,J$4,0))</f>
        <v>Candy Pink</v>
      </c>
      <c r="K98" s="18" t="str">
        <f t="shared" ref="K98:K136" si="22">IF(D98="","",VLOOKUP($D98,$U$5:$AA$30,K$4,0))</f>
        <v>Rapid Sparks</v>
      </c>
      <c r="L98" s="18">
        <f t="shared" si="12"/>
        <v>98</v>
      </c>
      <c r="M98" s="19" t="str">
        <f t="shared" ref="M98:M123" si="23">IF(D98="","",VLOOKUP($D98,$U$5:$AA$30,M$4,0)&amp;IF(E98="","",", "&amp;E98))</f>
        <v>RosenMoontach, Agge mar leut heht</v>
      </c>
    </row>
    <row r="99" spans="4:13" x14ac:dyDescent="0.25">
      <c r="D99" s="21" t="s">
        <v>1377</v>
      </c>
      <c r="E99" s="22" t="s">
        <v>19</v>
      </c>
      <c r="F99" s="18">
        <f t="shared" si="17"/>
        <v>2027</v>
      </c>
      <c r="G99" s="18">
        <f t="shared" si="18"/>
        <v>2</v>
      </c>
      <c r="H99" s="18">
        <f t="shared" si="19"/>
        <v>8</v>
      </c>
      <c r="I99" s="18" t="str">
        <f t="shared" si="20"/>
        <v>MUSIC</v>
      </c>
      <c r="J99" s="18" t="str">
        <f t="shared" si="21"/>
        <v>Candy Pink</v>
      </c>
      <c r="K99" s="18" t="str">
        <f t="shared" si="22"/>
        <v>Rapid Sparks</v>
      </c>
      <c r="L99" s="18">
        <f t="shared" si="12"/>
        <v>88</v>
      </c>
      <c r="M99" s="19" t="str">
        <f t="shared" si="23"/>
        <v>RosenMoontach, Tadaaaaah - tadaaaah</v>
      </c>
    </row>
    <row r="100" spans="4:13" x14ac:dyDescent="0.25">
      <c r="D100" s="21" t="s">
        <v>1377</v>
      </c>
      <c r="E100" s="22" t="s">
        <v>16</v>
      </c>
      <c r="F100" s="18">
        <f t="shared" si="17"/>
        <v>2028</v>
      </c>
      <c r="G100" s="18">
        <f t="shared" si="18"/>
        <v>2</v>
      </c>
      <c r="H100" s="18">
        <f t="shared" si="19"/>
        <v>28</v>
      </c>
      <c r="I100" s="18" t="str">
        <f t="shared" si="20"/>
        <v>MUSIC</v>
      </c>
      <c r="J100" s="18" t="str">
        <f t="shared" si="21"/>
        <v>Candy Pink</v>
      </c>
      <c r="K100" s="18" t="str">
        <f t="shared" si="22"/>
        <v>Rapid Sparks</v>
      </c>
      <c r="L100" s="18">
        <f t="shared" si="12"/>
        <v>99</v>
      </c>
      <c r="M100" s="19" t="str">
        <f t="shared" si="23"/>
        <v>RosenMoontach, Alaaf!!</v>
      </c>
    </row>
    <row r="101" spans="4:13" x14ac:dyDescent="0.25">
      <c r="D101" s="21" t="s">
        <v>1377</v>
      </c>
      <c r="E101" s="22" t="s">
        <v>17</v>
      </c>
      <c r="F101" s="18">
        <f t="shared" si="17"/>
        <v>2029</v>
      </c>
      <c r="G101" s="18">
        <f t="shared" si="18"/>
        <v>2</v>
      </c>
      <c r="H101" s="18">
        <f t="shared" si="19"/>
        <v>12</v>
      </c>
      <c r="I101" s="18" t="str">
        <f t="shared" si="20"/>
        <v>MUSIC</v>
      </c>
      <c r="J101" s="18" t="str">
        <f t="shared" si="21"/>
        <v>Candy Pink</v>
      </c>
      <c r="K101" s="18" t="str">
        <f t="shared" si="22"/>
        <v>Rapid Sparks</v>
      </c>
      <c r="L101" s="18">
        <f t="shared" si="12"/>
        <v>121</v>
      </c>
      <c r="M101" s="19" t="str">
        <f t="shared" si="23"/>
        <v>RosenMoontach, Keiebijters!!</v>
      </c>
    </row>
    <row r="102" spans="4:13" x14ac:dyDescent="0.25">
      <c r="D102" s="21" t="s">
        <v>1377</v>
      </c>
      <c r="E102" s="22" t="s">
        <v>18</v>
      </c>
      <c r="F102" s="18">
        <f t="shared" si="17"/>
        <v>2030</v>
      </c>
      <c r="G102" s="18">
        <f t="shared" si="18"/>
        <v>3</v>
      </c>
      <c r="H102" s="18">
        <f t="shared" si="19"/>
        <v>4</v>
      </c>
      <c r="I102" s="18" t="str">
        <f t="shared" si="20"/>
        <v>MUSIC</v>
      </c>
      <c r="J102" s="18" t="str">
        <f t="shared" si="21"/>
        <v>Candy Pink</v>
      </c>
      <c r="K102" s="18" t="str">
        <f t="shared" si="22"/>
        <v>Rapid Sparks</v>
      </c>
      <c r="L102" s="18">
        <f t="shared" si="12"/>
        <v>133</v>
      </c>
      <c r="M102" s="19" t="str">
        <f t="shared" si="23"/>
        <v>RosenMoontach, En deh hittie naw gedonn umdettie Hellemonder is</v>
      </c>
    </row>
    <row r="103" spans="4:13" x14ac:dyDescent="0.25">
      <c r="D103" s="21" t="s">
        <v>1377</v>
      </c>
      <c r="E103" s="22" t="s">
        <v>1385</v>
      </c>
      <c r="F103" s="18">
        <f t="shared" si="17"/>
        <v>2031</v>
      </c>
      <c r="G103" s="18">
        <f t="shared" si="18"/>
        <v>2</v>
      </c>
      <c r="H103" s="18">
        <f t="shared" si="19"/>
        <v>24</v>
      </c>
      <c r="I103" s="18" t="str">
        <f t="shared" si="20"/>
        <v>MUSIC</v>
      </c>
      <c r="J103" s="18" t="str">
        <f t="shared" si="21"/>
        <v>Candy Pink</v>
      </c>
      <c r="K103" s="18" t="str">
        <f t="shared" si="22"/>
        <v>Rapid Sparks</v>
      </c>
      <c r="L103" s="18">
        <f t="shared" si="12"/>
        <v>124</v>
      </c>
      <c r="M103" s="19" t="str">
        <f t="shared" si="23"/>
        <v>RosenMoontach, Agge mar leut heht</v>
      </c>
    </row>
    <row r="104" spans="4:13" x14ac:dyDescent="0.25">
      <c r="D104" s="21" t="s">
        <v>1377</v>
      </c>
      <c r="E104" s="22" t="s">
        <v>16</v>
      </c>
      <c r="F104" s="18">
        <f t="shared" si="17"/>
        <v>2032</v>
      </c>
      <c r="G104" s="18">
        <f t="shared" si="18"/>
        <v>2</v>
      </c>
      <c r="H104" s="18">
        <f t="shared" si="19"/>
        <v>9</v>
      </c>
      <c r="I104" s="18" t="str">
        <f t="shared" si="20"/>
        <v>MUSIC</v>
      </c>
      <c r="J104" s="18" t="str">
        <f t="shared" si="21"/>
        <v>Candy Pink</v>
      </c>
      <c r="K104" s="18" t="str">
        <f t="shared" si="22"/>
        <v>Rapid Sparks</v>
      </c>
      <c r="L104" s="18">
        <f t="shared" si="12"/>
        <v>103</v>
      </c>
      <c r="M104" s="19" t="str">
        <f t="shared" si="23"/>
        <v>RosenMoontach, Alaaf!!</v>
      </c>
    </row>
    <row r="105" spans="4:13" x14ac:dyDescent="0.25">
      <c r="D105" s="21" t="s">
        <v>1377</v>
      </c>
      <c r="E105" s="22" t="s">
        <v>17</v>
      </c>
      <c r="F105" s="18">
        <f t="shared" si="17"/>
        <v>2033</v>
      </c>
      <c r="G105" s="18">
        <f t="shared" si="18"/>
        <v>2</v>
      </c>
      <c r="H105" s="18">
        <f t="shared" si="19"/>
        <v>28</v>
      </c>
      <c r="I105" s="18" t="str">
        <f t="shared" si="20"/>
        <v>MUSIC</v>
      </c>
      <c r="J105" s="18" t="str">
        <f t="shared" si="21"/>
        <v>Candy Pink</v>
      </c>
      <c r="K105" s="18" t="str">
        <f t="shared" si="22"/>
        <v>Rapid Sparks</v>
      </c>
      <c r="L105" s="18">
        <f t="shared" si="12"/>
        <v>89</v>
      </c>
      <c r="M105" s="19" t="str">
        <f t="shared" si="23"/>
        <v>RosenMoontach, Keiebijters!!</v>
      </c>
    </row>
    <row r="106" spans="4:13" x14ac:dyDescent="0.25">
      <c r="D106" s="21" t="s">
        <v>1377</v>
      </c>
      <c r="E106" s="22" t="s">
        <v>18</v>
      </c>
      <c r="F106" s="18">
        <f t="shared" si="17"/>
        <v>2034</v>
      </c>
      <c r="G106" s="18">
        <f t="shared" si="18"/>
        <v>2</v>
      </c>
      <c r="H106" s="18">
        <f t="shared" si="19"/>
        <v>20</v>
      </c>
      <c r="I106" s="18" t="str">
        <f t="shared" si="20"/>
        <v>MUSIC</v>
      </c>
      <c r="J106" s="18" t="str">
        <f t="shared" si="21"/>
        <v>Candy Pink</v>
      </c>
      <c r="K106" s="18" t="str">
        <f t="shared" si="22"/>
        <v>Rapid Sparks</v>
      </c>
      <c r="L106" s="18">
        <f t="shared" si="12"/>
        <v>94</v>
      </c>
      <c r="M106" s="19" t="str">
        <f t="shared" si="23"/>
        <v>RosenMoontach, En deh hittie naw gedonn umdettie Hellemonder is</v>
      </c>
    </row>
    <row r="107" spans="4:13" x14ac:dyDescent="0.25">
      <c r="D107" s="21" t="s">
        <v>1377</v>
      </c>
      <c r="E107" s="22" t="s">
        <v>1385</v>
      </c>
      <c r="F107" s="18">
        <f t="shared" si="17"/>
        <v>2035</v>
      </c>
      <c r="G107" s="18">
        <f t="shared" si="18"/>
        <v>2</v>
      </c>
      <c r="H107" s="18">
        <f t="shared" si="19"/>
        <v>5</v>
      </c>
      <c r="I107" s="18" t="str">
        <f t="shared" si="20"/>
        <v>MUSIC</v>
      </c>
      <c r="J107" s="18" t="str">
        <f t="shared" si="21"/>
        <v>Candy Pink</v>
      </c>
      <c r="K107" s="18" t="str">
        <f t="shared" si="22"/>
        <v>Rapid Sparks</v>
      </c>
      <c r="L107" s="18">
        <f t="shared" si="12"/>
        <v>115</v>
      </c>
      <c r="M107" s="19" t="str">
        <f t="shared" si="23"/>
        <v>RosenMoontach, Agge mar leut heht</v>
      </c>
    </row>
    <row r="108" spans="4:13" x14ac:dyDescent="0.25">
      <c r="D108" s="21" t="s">
        <v>1377</v>
      </c>
      <c r="E108" s="22" t="s">
        <v>16</v>
      </c>
      <c r="F108" s="18">
        <f t="shared" si="17"/>
        <v>2036</v>
      </c>
      <c r="G108" s="18">
        <f t="shared" si="18"/>
        <v>2</v>
      </c>
      <c r="H108" s="18">
        <f t="shared" si="19"/>
        <v>25</v>
      </c>
      <c r="I108" s="18" t="str">
        <f t="shared" si="20"/>
        <v>MUSIC</v>
      </c>
      <c r="J108" s="18" t="str">
        <f t="shared" si="21"/>
        <v>Candy Pink</v>
      </c>
      <c r="K108" s="18" t="str">
        <f t="shared" si="22"/>
        <v>Rapid Sparks</v>
      </c>
      <c r="L108" s="18">
        <f t="shared" si="12"/>
        <v>131</v>
      </c>
      <c r="M108" s="19" t="str">
        <f t="shared" si="23"/>
        <v>RosenMoontach, Alaaf!!</v>
      </c>
    </row>
    <row r="109" spans="4:13" x14ac:dyDescent="0.25">
      <c r="D109" s="21" t="s">
        <v>1377</v>
      </c>
      <c r="E109" s="22" t="s">
        <v>17</v>
      </c>
      <c r="F109" s="18">
        <f t="shared" si="17"/>
        <v>2037</v>
      </c>
      <c r="G109" s="18">
        <f t="shared" si="18"/>
        <v>2</v>
      </c>
      <c r="H109" s="18">
        <f t="shared" si="19"/>
        <v>16</v>
      </c>
      <c r="I109" s="18" t="str">
        <f t="shared" si="20"/>
        <v>MUSIC</v>
      </c>
      <c r="J109" s="18" t="str">
        <f t="shared" si="21"/>
        <v>Candy Pink</v>
      </c>
      <c r="K109" s="18" t="str">
        <f t="shared" si="22"/>
        <v>Rapid Sparks</v>
      </c>
      <c r="L109" s="18">
        <f t="shared" si="12"/>
        <v>129</v>
      </c>
      <c r="M109" s="19" t="str">
        <f t="shared" si="23"/>
        <v>RosenMoontach, Keiebijters!!</v>
      </c>
    </row>
    <row r="110" spans="4:13" x14ac:dyDescent="0.25">
      <c r="D110" s="21" t="s">
        <v>1377</v>
      </c>
      <c r="E110" s="22" t="s">
        <v>18</v>
      </c>
      <c r="F110" s="18">
        <f t="shared" si="17"/>
        <v>2038</v>
      </c>
      <c r="G110" s="18">
        <f t="shared" si="18"/>
        <v>3</v>
      </c>
      <c r="H110" s="18">
        <f t="shared" si="19"/>
        <v>8</v>
      </c>
      <c r="I110" s="18" t="str">
        <f t="shared" si="20"/>
        <v>MUSIC</v>
      </c>
      <c r="J110" s="18" t="str">
        <f t="shared" si="21"/>
        <v>Candy Pink</v>
      </c>
      <c r="K110" s="18" t="str">
        <f t="shared" si="22"/>
        <v>Rapid Sparks</v>
      </c>
      <c r="L110" s="18">
        <f t="shared" si="12"/>
        <v>110</v>
      </c>
      <c r="M110" s="19" t="str">
        <f t="shared" si="23"/>
        <v>RosenMoontach, En deh hittie naw gedonn umdettie Hellemonder is</v>
      </c>
    </row>
    <row r="111" spans="4:13" x14ac:dyDescent="0.25">
      <c r="D111" s="21" t="s">
        <v>1380</v>
      </c>
      <c r="E111" s="23" t="s">
        <v>25</v>
      </c>
      <c r="F111" s="18">
        <f t="shared" si="17"/>
        <v>2026</v>
      </c>
      <c r="G111" s="18">
        <f t="shared" si="18"/>
        <v>5</v>
      </c>
      <c r="H111" s="18">
        <f t="shared" si="19"/>
        <v>25</v>
      </c>
      <c r="I111" s="18" t="str">
        <f t="shared" si="20"/>
        <v>ZEN</v>
      </c>
      <c r="J111" s="18" t="str">
        <f t="shared" si="21"/>
        <v>Electric Blue</v>
      </c>
      <c r="K111" s="18" t="str">
        <f t="shared" si="22"/>
        <v>Wide Sweep</v>
      </c>
      <c r="L111" s="18">
        <f t="shared" si="12"/>
        <v>174</v>
      </c>
      <c r="M111" s="19" t="str">
        <f t="shared" si="23"/>
        <v>Nog steeds Pinksteren,  - wat is dat ook weer??</v>
      </c>
    </row>
    <row r="112" spans="4:13" x14ac:dyDescent="0.25">
      <c r="D112" s="21" t="s">
        <v>1380</v>
      </c>
      <c r="E112" s="23" t="s">
        <v>26</v>
      </c>
      <c r="F112" s="18">
        <f t="shared" si="17"/>
        <v>2027</v>
      </c>
      <c r="G112" s="18">
        <f t="shared" si="18"/>
        <v>5</v>
      </c>
      <c r="H112" s="18">
        <f t="shared" si="19"/>
        <v>17</v>
      </c>
      <c r="I112" s="18" t="str">
        <f t="shared" si="20"/>
        <v>ZEN</v>
      </c>
      <c r="J112" s="18" t="str">
        <f t="shared" si="21"/>
        <v>Electric Blue</v>
      </c>
      <c r="K112" s="18" t="str">
        <f t="shared" si="22"/>
        <v>Wide Sweep</v>
      </c>
      <c r="L112" s="18">
        <f t="shared" si="12"/>
        <v>173</v>
      </c>
      <c r="M112" s="19" t="str">
        <f t="shared" si="23"/>
        <v>Nog steeds Pinksteren,  - iets met vurige tongen?</v>
      </c>
    </row>
    <row r="113" spans="4:13" x14ac:dyDescent="0.25">
      <c r="D113" s="21" t="s">
        <v>1380</v>
      </c>
      <c r="E113" s="23" t="s">
        <v>27</v>
      </c>
      <c r="F113" s="18">
        <f t="shared" si="17"/>
        <v>2028</v>
      </c>
      <c r="G113" s="18">
        <f t="shared" si="18"/>
        <v>6</v>
      </c>
      <c r="H113" s="18">
        <f t="shared" si="19"/>
        <v>5</v>
      </c>
      <c r="I113" s="18" t="str">
        <f t="shared" si="20"/>
        <v>ZEN</v>
      </c>
      <c r="J113" s="18" t="str">
        <f t="shared" si="21"/>
        <v>Electric Blue</v>
      </c>
      <c r="K113" s="18" t="str">
        <f t="shared" si="22"/>
        <v>Wide Sweep</v>
      </c>
      <c r="L113" s="18">
        <f t="shared" si="12"/>
        <v>206</v>
      </c>
      <c r="M113" s="19" t="str">
        <f t="shared" si="23"/>
        <v>Nog steeds Pinksteren,  - de Heilige Geest zien vliegen???</v>
      </c>
    </row>
    <row r="114" spans="4:13" x14ac:dyDescent="0.25">
      <c r="D114" s="21" t="s">
        <v>1380</v>
      </c>
      <c r="E114" s="23"/>
      <c r="F114" s="18">
        <f t="shared" si="17"/>
        <v>2029</v>
      </c>
      <c r="G114" s="18">
        <f t="shared" si="18"/>
        <v>5</v>
      </c>
      <c r="H114" s="18">
        <f t="shared" si="19"/>
        <v>21</v>
      </c>
      <c r="I114" s="18" t="str">
        <f t="shared" si="20"/>
        <v>ZEN</v>
      </c>
      <c r="J114" s="18" t="str">
        <f t="shared" si="21"/>
        <v>Electric Blue</v>
      </c>
      <c r="K114" s="18" t="str">
        <f t="shared" si="22"/>
        <v>Wide Sweep</v>
      </c>
      <c r="L114" s="18">
        <f t="shared" si="12"/>
        <v>244</v>
      </c>
      <c r="M114" s="19" t="str">
        <f t="shared" si="23"/>
        <v>Nog steeds Pinksteren</v>
      </c>
    </row>
    <row r="115" spans="4:13" x14ac:dyDescent="0.25">
      <c r="D115" s="21" t="s">
        <v>1380</v>
      </c>
      <c r="E115" s="23" t="s">
        <v>25</v>
      </c>
      <c r="F115" s="18">
        <f t="shared" si="17"/>
        <v>2030</v>
      </c>
      <c r="G115" s="18">
        <f t="shared" si="18"/>
        <v>6</v>
      </c>
      <c r="H115" s="18">
        <f t="shared" si="19"/>
        <v>10</v>
      </c>
      <c r="I115" s="18" t="str">
        <f t="shared" si="20"/>
        <v>ZEN</v>
      </c>
      <c r="J115" s="18" t="str">
        <f t="shared" si="21"/>
        <v>Electric Blue</v>
      </c>
      <c r="K115" s="18" t="str">
        <f t="shared" si="22"/>
        <v>Wide Sweep</v>
      </c>
      <c r="L115" s="18">
        <f t="shared" si="12"/>
        <v>250</v>
      </c>
      <c r="M115" s="19" t="str">
        <f t="shared" si="23"/>
        <v>Nog steeds Pinksteren,  - wat is dat ook weer??</v>
      </c>
    </row>
    <row r="116" spans="4:13" x14ac:dyDescent="0.25">
      <c r="D116" s="21" t="s">
        <v>1380</v>
      </c>
      <c r="E116" s="23" t="s">
        <v>26</v>
      </c>
      <c r="F116" s="18">
        <f t="shared" si="17"/>
        <v>2031</v>
      </c>
      <c r="G116" s="18">
        <f t="shared" si="18"/>
        <v>6</v>
      </c>
      <c r="H116" s="18">
        <f t="shared" si="19"/>
        <v>2</v>
      </c>
      <c r="I116" s="18" t="str">
        <f t="shared" si="20"/>
        <v>ZEN</v>
      </c>
      <c r="J116" s="18" t="str">
        <f t="shared" si="21"/>
        <v>Electric Blue</v>
      </c>
      <c r="K116" s="18" t="str">
        <f t="shared" si="22"/>
        <v>Wide Sweep</v>
      </c>
      <c r="L116" s="18">
        <f t="shared" si="12"/>
        <v>220</v>
      </c>
      <c r="M116" s="19" t="str">
        <f t="shared" si="23"/>
        <v>Nog steeds Pinksteren,  - iets met vurige tongen?</v>
      </c>
    </row>
    <row r="117" spans="4:13" x14ac:dyDescent="0.25">
      <c r="D117" s="21" t="s">
        <v>1380</v>
      </c>
      <c r="E117" s="23" t="s">
        <v>27</v>
      </c>
      <c r="F117" s="18">
        <f t="shared" si="17"/>
        <v>2032</v>
      </c>
      <c r="G117" s="18">
        <f t="shared" si="18"/>
        <v>5</v>
      </c>
      <c r="H117" s="18">
        <f t="shared" si="19"/>
        <v>17</v>
      </c>
      <c r="I117" s="18" t="str">
        <f t="shared" si="20"/>
        <v>ZEN</v>
      </c>
      <c r="J117" s="18" t="str">
        <f t="shared" si="21"/>
        <v>Electric Blue</v>
      </c>
      <c r="K117" s="18" t="str">
        <f t="shared" si="22"/>
        <v>Wide Sweep</v>
      </c>
      <c r="L117" s="18">
        <f t="shared" si="12"/>
        <v>181</v>
      </c>
      <c r="M117" s="19" t="str">
        <f t="shared" si="23"/>
        <v>Nog steeds Pinksteren,  - de Heilige Geest zien vliegen???</v>
      </c>
    </row>
    <row r="118" spans="4:13" x14ac:dyDescent="0.25">
      <c r="D118" s="21" t="s">
        <v>1380</v>
      </c>
      <c r="E118" s="23"/>
      <c r="F118" s="18">
        <f t="shared" si="17"/>
        <v>2033</v>
      </c>
      <c r="G118" s="18">
        <f t="shared" si="18"/>
        <v>6</v>
      </c>
      <c r="H118" s="18">
        <f t="shared" si="19"/>
        <v>6</v>
      </c>
      <c r="I118" s="18" t="str">
        <f t="shared" si="20"/>
        <v>ZEN</v>
      </c>
      <c r="J118" s="18" t="str">
        <f t="shared" si="21"/>
        <v>Electric Blue</v>
      </c>
      <c r="K118" s="18" t="str">
        <f t="shared" si="22"/>
        <v>Wide Sweep</v>
      </c>
      <c r="L118" s="18">
        <f t="shared" si="12"/>
        <v>169</v>
      </c>
      <c r="M118" s="19" t="str">
        <f t="shared" si="23"/>
        <v>Nog steeds Pinksteren</v>
      </c>
    </row>
    <row r="119" spans="4:13" x14ac:dyDescent="0.25">
      <c r="D119" s="21" t="s">
        <v>1380</v>
      </c>
      <c r="E119" s="23" t="s">
        <v>25</v>
      </c>
      <c r="F119" s="18">
        <f t="shared" si="17"/>
        <v>2034</v>
      </c>
      <c r="G119" s="18">
        <f t="shared" si="18"/>
        <v>5</v>
      </c>
      <c r="H119" s="18">
        <f t="shared" si="19"/>
        <v>29</v>
      </c>
      <c r="I119" s="18" t="str">
        <f t="shared" si="20"/>
        <v>ZEN</v>
      </c>
      <c r="J119" s="18" t="str">
        <f t="shared" si="21"/>
        <v>Electric Blue</v>
      </c>
      <c r="K119" s="18" t="str">
        <f t="shared" si="22"/>
        <v>Wide Sweep</v>
      </c>
      <c r="L119" s="18">
        <f t="shared" si="12"/>
        <v>195</v>
      </c>
      <c r="M119" s="19" t="str">
        <f t="shared" si="23"/>
        <v>Nog steeds Pinksteren,  - wat is dat ook weer??</v>
      </c>
    </row>
    <row r="120" spans="4:13" x14ac:dyDescent="0.25">
      <c r="D120" s="21" t="s">
        <v>1380</v>
      </c>
      <c r="E120" s="23" t="s">
        <v>26</v>
      </c>
      <c r="F120" s="18">
        <f t="shared" si="17"/>
        <v>2035</v>
      </c>
      <c r="G120" s="18">
        <f t="shared" si="18"/>
        <v>5</v>
      </c>
      <c r="H120" s="18">
        <f t="shared" si="19"/>
        <v>14</v>
      </c>
      <c r="I120" s="18" t="str">
        <f t="shared" si="20"/>
        <v>ZEN</v>
      </c>
      <c r="J120" s="18" t="str">
        <f t="shared" si="21"/>
        <v>Electric Blue</v>
      </c>
      <c r="K120" s="18" t="str">
        <f t="shared" si="22"/>
        <v>Wide Sweep</v>
      </c>
      <c r="L120" s="18">
        <f t="shared" si="12"/>
        <v>235</v>
      </c>
      <c r="M120" s="19" t="str">
        <f t="shared" si="23"/>
        <v>Nog steeds Pinksteren,  - iets met vurige tongen?</v>
      </c>
    </row>
    <row r="121" spans="4:13" x14ac:dyDescent="0.25">
      <c r="D121" s="21" t="s">
        <v>1380</v>
      </c>
      <c r="E121" s="23" t="s">
        <v>27</v>
      </c>
      <c r="F121" s="18">
        <f t="shared" si="17"/>
        <v>2036</v>
      </c>
      <c r="G121" s="18">
        <f t="shared" si="18"/>
        <v>6</v>
      </c>
      <c r="H121" s="18">
        <f t="shared" si="19"/>
        <v>2</v>
      </c>
      <c r="I121" s="18" t="str">
        <f t="shared" si="20"/>
        <v>ZEN</v>
      </c>
      <c r="J121" s="18" t="str">
        <f t="shared" si="21"/>
        <v>Electric Blue</v>
      </c>
      <c r="K121" s="18" t="str">
        <f t="shared" si="22"/>
        <v>Wide Sweep</v>
      </c>
      <c r="L121" s="18">
        <f t="shared" si="12"/>
        <v>253</v>
      </c>
      <c r="M121" s="19" t="str">
        <f t="shared" si="23"/>
        <v>Nog steeds Pinksteren,  - de Heilige Geest zien vliegen???</v>
      </c>
    </row>
    <row r="122" spans="4:13" x14ac:dyDescent="0.25">
      <c r="D122" s="21" t="s">
        <v>1380</v>
      </c>
      <c r="E122" s="23"/>
      <c r="F122" s="18">
        <f t="shared" si="17"/>
        <v>2037</v>
      </c>
      <c r="G122" s="18">
        <f t="shared" si="18"/>
        <v>5</v>
      </c>
      <c r="H122" s="18">
        <f t="shared" si="19"/>
        <v>25</v>
      </c>
      <c r="I122" s="18" t="str">
        <f t="shared" si="20"/>
        <v>ZEN</v>
      </c>
      <c r="J122" s="18" t="str">
        <f t="shared" si="21"/>
        <v>Electric Blue</v>
      </c>
      <c r="K122" s="18" t="str">
        <f t="shared" si="22"/>
        <v>Wide Sweep</v>
      </c>
      <c r="L122" s="18">
        <f t="shared" si="12"/>
        <v>232</v>
      </c>
      <c r="M122" s="19" t="str">
        <f t="shared" si="23"/>
        <v>Nog steeds Pinksteren</v>
      </c>
    </row>
    <row r="123" spans="4:13" x14ac:dyDescent="0.25">
      <c r="D123" s="21" t="s">
        <v>1380</v>
      </c>
      <c r="E123" s="23" t="s">
        <v>25</v>
      </c>
      <c r="F123" s="18">
        <f t="shared" si="17"/>
        <v>2038</v>
      </c>
      <c r="G123" s="18">
        <f t="shared" si="18"/>
        <v>6</v>
      </c>
      <c r="H123" s="18">
        <f t="shared" si="19"/>
        <v>14</v>
      </c>
      <c r="I123" s="18" t="str">
        <f t="shared" si="20"/>
        <v>ZEN</v>
      </c>
      <c r="J123" s="18" t="str">
        <f t="shared" si="21"/>
        <v>Electric Blue</v>
      </c>
      <c r="K123" s="18" t="str">
        <f t="shared" si="22"/>
        <v>Wide Sweep</v>
      </c>
      <c r="L123" s="18">
        <f t="shared" si="12"/>
        <v>191</v>
      </c>
      <c r="M123" s="19" t="str">
        <f t="shared" si="23"/>
        <v>Nog steeds Pinksteren,  - wat is dat ook weer??</v>
      </c>
    </row>
    <row r="124" spans="4:13" x14ac:dyDescent="0.25">
      <c r="D124" s="21" t="s">
        <v>1374</v>
      </c>
      <c r="E124" s="22"/>
      <c r="F124" s="18">
        <f>IF(F123=$F$3,$F$2,IF(D124=D123,D123+1,$F$2))</f>
        <v>2026</v>
      </c>
      <c r="G124" s="18">
        <f>FeestMaand(D124,F124)</f>
        <v>4</v>
      </c>
      <c r="H124" s="18">
        <f>FeestDag(D124,F124)</f>
        <v>6</v>
      </c>
      <c r="I124" s="18" t="str">
        <f>IF(D124="","",VLOOKUP($D124,$U$5:$AA$30,I$4,0))</f>
        <v>SATIE</v>
      </c>
      <c r="J124" s="18" t="str">
        <f t="shared" si="21"/>
        <v>Turquoise Wave</v>
      </c>
      <c r="K124" s="18" t="str">
        <f t="shared" si="22"/>
        <v>Serene Fade</v>
      </c>
      <c r="L124" s="18">
        <f t="shared" si="12"/>
        <v>249</v>
      </c>
      <c r="M124" s="19" t="str">
        <f>IF(D124="","",VLOOKUP($D124,$U$5:$AA$30,M$4,0)&amp;IF(E124="","",", "&amp;E124))</f>
        <v>Tweede Paasdag</v>
      </c>
    </row>
    <row r="125" spans="4:13" x14ac:dyDescent="0.25">
      <c r="D125" s="21" t="s">
        <v>1374</v>
      </c>
      <c r="E125" s="22" t="s">
        <v>42</v>
      </c>
      <c r="F125" s="18">
        <f>IF(F124=$F$3,$F$2,IF(D125=D124,F124+1,$F$2))</f>
        <v>2027</v>
      </c>
      <c r="G125" s="18">
        <f t="shared" ref="G125:G136" si="24">FeestMaand(D125,F125)</f>
        <v>3</v>
      </c>
      <c r="H125" s="18">
        <f t="shared" ref="H125:H136" si="25">FeestDag(D125,F125)</f>
        <v>29</v>
      </c>
      <c r="I125" s="18" t="str">
        <f t="shared" ref="I125:I136" si="26">IF(D125="","",VLOOKUP($D125,$U$5:$AA$30,I$4,0))</f>
        <v>SATIE</v>
      </c>
      <c r="J125" s="18" t="str">
        <f t="shared" si="21"/>
        <v>Turquoise Wave</v>
      </c>
      <c r="K125" s="18" t="str">
        <f t="shared" si="22"/>
        <v>Serene Fade</v>
      </c>
      <c r="L125" s="18">
        <f t="shared" si="12"/>
        <v>272</v>
      </c>
      <c r="M125" s="19" t="str">
        <f t="shared" ref="M125:M136" si="27">IF(D125="","",VLOOKUP($D125,$U$5:$AA$30,M$4,0)&amp;IF(E125="","",", "&amp;E125))</f>
        <v>Tweede Paasdag, zoek de eitjes</v>
      </c>
    </row>
    <row r="126" spans="4:13" x14ac:dyDescent="0.25">
      <c r="D126" s="21" t="s">
        <v>1374</v>
      </c>
      <c r="E126" s="22"/>
      <c r="F126" s="18">
        <f t="shared" ref="F126:F136" si="28">IF(F125=$F$3,$F$2,IF(D126=D125,F125+1,$F$2))</f>
        <v>2028</v>
      </c>
      <c r="G126" s="18">
        <f t="shared" si="24"/>
        <v>4</v>
      </c>
      <c r="H126" s="18">
        <f t="shared" si="25"/>
        <v>17</v>
      </c>
      <c r="I126" s="18" t="str">
        <f t="shared" si="26"/>
        <v>SATIE</v>
      </c>
      <c r="J126" s="18" t="str">
        <f t="shared" si="21"/>
        <v>Turquoise Wave</v>
      </c>
      <c r="K126" s="18" t="str">
        <f t="shared" si="22"/>
        <v>Serene Fade</v>
      </c>
      <c r="L126" s="18">
        <f t="shared" si="12"/>
        <v>331</v>
      </c>
      <c r="M126" s="19" t="str">
        <f t="shared" si="27"/>
        <v>Tweede Paasdag</v>
      </c>
    </row>
    <row r="127" spans="4:13" x14ac:dyDescent="0.25">
      <c r="D127" s="21" t="s">
        <v>1374</v>
      </c>
      <c r="E127" s="22" t="s">
        <v>42</v>
      </c>
      <c r="F127" s="18">
        <f t="shared" si="28"/>
        <v>2029</v>
      </c>
      <c r="G127" s="18">
        <f t="shared" si="24"/>
        <v>4</v>
      </c>
      <c r="H127" s="18">
        <f t="shared" si="25"/>
        <v>2</v>
      </c>
      <c r="I127" s="18" t="str">
        <f t="shared" si="26"/>
        <v>SATIE</v>
      </c>
      <c r="J127" s="18" t="str">
        <f t="shared" si="21"/>
        <v>Turquoise Wave</v>
      </c>
      <c r="K127" s="18" t="str">
        <f t="shared" si="22"/>
        <v>Serene Fade</v>
      </c>
      <c r="L127" s="18">
        <f t="shared" si="12"/>
        <v>371</v>
      </c>
      <c r="M127" s="19" t="str">
        <f t="shared" si="27"/>
        <v>Tweede Paasdag, zoek de eitjes</v>
      </c>
    </row>
    <row r="128" spans="4:13" x14ac:dyDescent="0.25">
      <c r="D128" s="21" t="s">
        <v>1374</v>
      </c>
      <c r="E128" s="22" t="s">
        <v>111</v>
      </c>
      <c r="F128" s="18">
        <f t="shared" si="28"/>
        <v>2030</v>
      </c>
      <c r="G128" s="18">
        <f t="shared" si="24"/>
        <v>4</v>
      </c>
      <c r="H128" s="18">
        <f t="shared" si="25"/>
        <v>22</v>
      </c>
      <c r="I128" s="18" t="str">
        <f t="shared" si="26"/>
        <v>SATIE</v>
      </c>
      <c r="J128" s="18" t="str">
        <f t="shared" si="21"/>
        <v>Turquoise Wave</v>
      </c>
      <c r="K128" s="18" t="str">
        <f t="shared" si="22"/>
        <v>Serene Fade</v>
      </c>
      <c r="L128" s="18">
        <f t="shared" si="12"/>
        <v>355</v>
      </c>
      <c r="M128" s="19" t="str">
        <f t="shared" si="27"/>
        <v>Tweede Paasdag, waar is de paashaas??</v>
      </c>
    </row>
    <row r="129" spans="4:13" x14ac:dyDescent="0.25">
      <c r="D129" s="21" t="s">
        <v>1374</v>
      </c>
      <c r="E129" s="22"/>
      <c r="F129" s="18">
        <f t="shared" si="28"/>
        <v>2031</v>
      </c>
      <c r="G129" s="18">
        <f t="shared" si="24"/>
        <v>4</v>
      </c>
      <c r="H129" s="18">
        <f t="shared" si="25"/>
        <v>14</v>
      </c>
      <c r="I129" s="18" t="str">
        <f t="shared" si="26"/>
        <v>SATIE</v>
      </c>
      <c r="J129" s="18" t="str">
        <f t="shared" si="21"/>
        <v>Turquoise Wave</v>
      </c>
      <c r="K129" s="18" t="str">
        <f t="shared" si="22"/>
        <v>Serene Fade</v>
      </c>
      <c r="L129" s="18">
        <f t="shared" si="12"/>
        <v>298</v>
      </c>
      <c r="M129" s="19" t="str">
        <f t="shared" si="27"/>
        <v>Tweede Paasdag</v>
      </c>
    </row>
    <row r="130" spans="4:13" x14ac:dyDescent="0.25">
      <c r="D130" s="21" t="s">
        <v>1374</v>
      </c>
      <c r="E130" s="22"/>
      <c r="F130" s="18">
        <f t="shared" si="28"/>
        <v>2032</v>
      </c>
      <c r="G130" s="18">
        <f t="shared" si="24"/>
        <v>3</v>
      </c>
      <c r="H130" s="18">
        <f t="shared" si="25"/>
        <v>29</v>
      </c>
      <c r="I130" s="18" t="str">
        <f t="shared" si="26"/>
        <v>SATIE</v>
      </c>
      <c r="J130" s="18" t="str">
        <f t="shared" si="21"/>
        <v>Turquoise Wave</v>
      </c>
      <c r="K130" s="18" t="str">
        <f t="shared" si="22"/>
        <v>Serene Fade</v>
      </c>
      <c r="L130" s="18">
        <f t="shared" si="12"/>
        <v>253</v>
      </c>
      <c r="M130" s="19" t="str">
        <f t="shared" si="27"/>
        <v>Tweede Paasdag</v>
      </c>
    </row>
    <row r="131" spans="4:13" x14ac:dyDescent="0.25">
      <c r="D131" s="21" t="s">
        <v>1374</v>
      </c>
      <c r="E131" s="22" t="s">
        <v>111</v>
      </c>
      <c r="F131" s="18">
        <f t="shared" si="28"/>
        <v>2033</v>
      </c>
      <c r="G131" s="18">
        <f t="shared" si="24"/>
        <v>4</v>
      </c>
      <c r="H131" s="18">
        <f t="shared" si="25"/>
        <v>18</v>
      </c>
      <c r="I131" s="18" t="str">
        <f t="shared" si="26"/>
        <v>SATIE</v>
      </c>
      <c r="J131" s="18" t="str">
        <f t="shared" si="21"/>
        <v>Turquoise Wave</v>
      </c>
      <c r="K131" s="18" t="str">
        <f t="shared" si="22"/>
        <v>Serene Fade</v>
      </c>
      <c r="L131" s="18">
        <f t="shared" si="12"/>
        <v>260</v>
      </c>
      <c r="M131" s="19" t="str">
        <f t="shared" si="27"/>
        <v>Tweede Paasdag, waar is de paashaas??</v>
      </c>
    </row>
    <row r="132" spans="4:13" x14ac:dyDescent="0.25">
      <c r="D132" s="21" t="s">
        <v>1374</v>
      </c>
      <c r="E132" s="22"/>
      <c r="F132" s="18">
        <f t="shared" si="28"/>
        <v>2034</v>
      </c>
      <c r="G132" s="18">
        <f t="shared" si="24"/>
        <v>4</v>
      </c>
      <c r="H132" s="18">
        <f t="shared" si="25"/>
        <v>10</v>
      </c>
      <c r="I132" s="18" t="str">
        <f t="shared" si="26"/>
        <v>SATIE</v>
      </c>
      <c r="J132" s="18" t="str">
        <f t="shared" si="21"/>
        <v>Turquoise Wave</v>
      </c>
      <c r="K132" s="18" t="str">
        <f t="shared" si="22"/>
        <v>Serene Fade</v>
      </c>
      <c r="L132" s="18">
        <f t="shared" si="12"/>
        <v>314</v>
      </c>
      <c r="M132" s="19" t="str">
        <f t="shared" si="27"/>
        <v>Tweede Paasdag</v>
      </c>
    </row>
    <row r="133" spans="4:13" x14ac:dyDescent="0.25">
      <c r="D133" s="21" t="s">
        <v>1374</v>
      </c>
      <c r="E133" s="22"/>
      <c r="F133" s="18">
        <f t="shared" si="28"/>
        <v>2035</v>
      </c>
      <c r="G133" s="18">
        <f t="shared" si="24"/>
        <v>3</v>
      </c>
      <c r="H133" s="18">
        <f t="shared" si="25"/>
        <v>26</v>
      </c>
      <c r="I133" s="18" t="str">
        <f t="shared" si="26"/>
        <v>SATIE</v>
      </c>
      <c r="J133" s="18" t="str">
        <f t="shared" si="21"/>
        <v>Turquoise Wave</v>
      </c>
      <c r="K133" s="18" t="str">
        <f t="shared" si="22"/>
        <v>Serene Fade</v>
      </c>
      <c r="L133" s="18">
        <f t="shared" si="12"/>
        <v>365</v>
      </c>
      <c r="M133" s="19" t="str">
        <f t="shared" si="27"/>
        <v>Tweede Paasdag</v>
      </c>
    </row>
    <row r="134" spans="4:13" x14ac:dyDescent="0.25">
      <c r="D134" s="21" t="s">
        <v>1374</v>
      </c>
      <c r="E134" s="22"/>
      <c r="F134" s="18">
        <f t="shared" si="28"/>
        <v>2036</v>
      </c>
      <c r="G134" s="18">
        <f t="shared" si="24"/>
        <v>4</v>
      </c>
      <c r="H134" s="18">
        <f t="shared" si="25"/>
        <v>14</v>
      </c>
      <c r="I134" s="18" t="str">
        <f t="shared" si="26"/>
        <v>SATIE</v>
      </c>
      <c r="J134" s="18" t="str">
        <f t="shared" si="21"/>
        <v>Turquoise Wave</v>
      </c>
      <c r="K134" s="18" t="str">
        <f t="shared" si="22"/>
        <v>Serene Fade</v>
      </c>
      <c r="L134" s="18">
        <f t="shared" si="12"/>
        <v>366</v>
      </c>
      <c r="M134" s="19" t="str">
        <f t="shared" si="27"/>
        <v>Tweede Paasdag</v>
      </c>
    </row>
    <row r="135" spans="4:13" x14ac:dyDescent="0.25">
      <c r="D135" s="21" t="s">
        <v>1374</v>
      </c>
      <c r="E135" s="22"/>
      <c r="F135" s="18">
        <f t="shared" si="28"/>
        <v>2037</v>
      </c>
      <c r="G135" s="18">
        <f t="shared" si="24"/>
        <v>4</v>
      </c>
      <c r="H135" s="18">
        <f t="shared" si="25"/>
        <v>6</v>
      </c>
      <c r="I135" s="18" t="str">
        <f t="shared" si="26"/>
        <v>SATIE</v>
      </c>
      <c r="J135" s="18" t="str">
        <f t="shared" si="21"/>
        <v>Turquoise Wave</v>
      </c>
      <c r="K135" s="18" t="str">
        <f t="shared" si="22"/>
        <v>Serene Fade</v>
      </c>
      <c r="L135" s="18">
        <f t="shared" ref="L135:L136" si="29">IF(ISNA(VLOOKUP($D135,$U$5:$AA$30,L$4,0)),"",INT(VLOOKUP($D135,$U$5:$AA$30,L$4,0)*(1+$L$2*SIN(ROW($D135)))))</f>
        <v>316</v>
      </c>
      <c r="M135" s="19" t="str">
        <f t="shared" si="27"/>
        <v>Tweede Paasdag</v>
      </c>
    </row>
    <row r="136" spans="4:13" x14ac:dyDescent="0.25">
      <c r="D136" s="21" t="s">
        <v>1374</v>
      </c>
      <c r="E136" s="22"/>
      <c r="F136" s="18">
        <f t="shared" si="28"/>
        <v>2038</v>
      </c>
      <c r="G136" s="18">
        <f t="shared" si="24"/>
        <v>4</v>
      </c>
      <c r="H136" s="18">
        <f t="shared" si="25"/>
        <v>26</v>
      </c>
      <c r="I136" s="18" t="str">
        <f t="shared" si="26"/>
        <v>SATIE</v>
      </c>
      <c r="J136" s="18" t="str">
        <f t="shared" si="21"/>
        <v>Turquoise Wave</v>
      </c>
      <c r="K136" s="18" t="str">
        <f t="shared" si="22"/>
        <v>Serene Fade</v>
      </c>
      <c r="L136" s="18">
        <f t="shared" si="29"/>
        <v>261</v>
      </c>
      <c r="M136" s="19" t="str">
        <f t="shared" si="27"/>
        <v>Tweede Paasdag</v>
      </c>
    </row>
    <row r="137" spans="4:13" x14ac:dyDescent="0.25">
      <c r="D137" s="21" t="s">
        <v>1387</v>
      </c>
      <c r="E137" s="23"/>
      <c r="F137" s="18">
        <f t="shared" ref="F137:F148" si="30">IF(F136=$F$3,$F$2,IF(D137=D136,F136+1,$F$2))</f>
        <v>2026</v>
      </c>
      <c r="G137" s="18">
        <f t="shared" ref="G137:G140" si="31">FeestMaand(D137,F137)</f>
        <v>3</v>
      </c>
      <c r="H137" s="18">
        <f t="shared" ref="H137:H140" si="32">FeestDag(D137,F137)</f>
        <v>19</v>
      </c>
      <c r="I137" s="18" t="str">
        <f t="shared" ref="I137:I156" si="33">IF(D137="","",VLOOKUP($D137,$U$5:$AA$30,I$4,0))</f>
        <v>GUITAR</v>
      </c>
      <c r="J137" s="18" t="str">
        <f t="shared" ref="J137:J156" si="34">IF(D137="","",VLOOKUP($D137,$U$5:$AA$30,J$4,0))</f>
        <v>Warm Sunset</v>
      </c>
      <c r="K137" s="18" t="str">
        <f t="shared" ref="K137:K156" si="35">IF(D137="","",VLOOKUP($D137,$U$5:$AA$30,K$4,0))</f>
        <v>Radiant Glow</v>
      </c>
      <c r="L137" s="18">
        <f t="shared" ref="L137:L156" si="36">IF(ISNA(VLOOKUP($D137,$U$5:$AA$30,L$4,0)),"",INT(VLOOKUP($D137,$U$5:$AA$30,L$4,0)*(1+$L$2*SIN(ROW($D137)))))</f>
        <v>171</v>
      </c>
      <c r="M137" s="19" t="str">
        <f t="shared" ref="M137:M156" si="37">IF(D137="","",VLOOKUP($D137,$U$5:$AA$30,M$4,0)&amp;IF(E137="","",", "&amp;E137))</f>
        <v>Suikerfeest</v>
      </c>
    </row>
    <row r="138" spans="4:13" x14ac:dyDescent="0.25">
      <c r="D138" s="21" t="s">
        <v>1387</v>
      </c>
      <c r="E138" s="23"/>
      <c r="F138" s="18">
        <f t="shared" si="30"/>
        <v>2027</v>
      </c>
      <c r="G138" s="18">
        <f t="shared" si="31"/>
        <v>3</v>
      </c>
      <c r="H138" s="18">
        <f t="shared" si="32"/>
        <v>9</v>
      </c>
      <c r="I138" s="18" t="str">
        <f t="shared" si="33"/>
        <v>GUITAR</v>
      </c>
      <c r="J138" s="18" t="str">
        <f t="shared" si="34"/>
        <v>Warm Sunset</v>
      </c>
      <c r="K138" s="18" t="str">
        <f t="shared" si="35"/>
        <v>Radiant Glow</v>
      </c>
      <c r="L138" s="18">
        <f t="shared" si="36"/>
        <v>201</v>
      </c>
      <c r="M138" s="19" t="str">
        <f t="shared" si="37"/>
        <v>Suikerfeest</v>
      </c>
    </row>
    <row r="139" spans="4:13" x14ac:dyDescent="0.25">
      <c r="D139" s="21" t="s">
        <v>1387</v>
      </c>
      <c r="E139" s="23"/>
      <c r="F139" s="18">
        <f t="shared" si="30"/>
        <v>2028</v>
      </c>
      <c r="G139" s="18">
        <f t="shared" si="31"/>
        <v>2</v>
      </c>
      <c r="H139" s="18">
        <f t="shared" si="32"/>
        <v>26</v>
      </c>
      <c r="I139" s="18" t="str">
        <f t="shared" si="33"/>
        <v>GUITAR</v>
      </c>
      <c r="J139" s="18" t="str">
        <f t="shared" si="34"/>
        <v>Warm Sunset</v>
      </c>
      <c r="K139" s="18" t="str">
        <f t="shared" si="35"/>
        <v>Radiant Glow</v>
      </c>
      <c r="L139" s="18">
        <f t="shared" si="36"/>
        <v>240</v>
      </c>
      <c r="M139" s="19" t="str">
        <f t="shared" si="37"/>
        <v>Suikerfeest</v>
      </c>
    </row>
    <row r="140" spans="4:13" x14ac:dyDescent="0.25">
      <c r="D140" s="21" t="s">
        <v>1387</v>
      </c>
      <c r="E140" s="23"/>
      <c r="F140" s="18">
        <f t="shared" si="30"/>
        <v>2029</v>
      </c>
      <c r="G140" s="18">
        <f t="shared" si="31"/>
        <v>2</v>
      </c>
      <c r="H140" s="18">
        <f t="shared" si="32"/>
        <v>14</v>
      </c>
      <c r="I140" s="18" t="str">
        <f t="shared" si="33"/>
        <v>GUITAR</v>
      </c>
      <c r="J140" s="18" t="str">
        <f t="shared" si="34"/>
        <v>Warm Sunset</v>
      </c>
      <c r="K140" s="18" t="str">
        <f t="shared" si="35"/>
        <v>Radiant Glow</v>
      </c>
      <c r="L140" s="18">
        <f t="shared" si="36"/>
        <v>252</v>
      </c>
      <c r="M140" s="19" t="str">
        <f t="shared" si="37"/>
        <v>Suikerfeest</v>
      </c>
    </row>
    <row r="141" spans="4:13" x14ac:dyDescent="0.25">
      <c r="D141" s="21" t="s">
        <v>1387</v>
      </c>
      <c r="E141" s="23"/>
      <c r="F141" s="18">
        <f t="shared" si="30"/>
        <v>2030</v>
      </c>
      <c r="G141" s="18">
        <f t="shared" ref="G141:G148" si="38">FeestMaand(D141,F141)</f>
        <v>2</v>
      </c>
      <c r="H141" s="18">
        <f t="shared" ref="H141:H148" si="39">FeestDag(D141,F141)</f>
        <v>4</v>
      </c>
      <c r="I141" s="18" t="str">
        <f t="shared" si="33"/>
        <v>GUITAR</v>
      </c>
      <c r="J141" s="18" t="str">
        <f t="shared" si="34"/>
        <v>Warm Sunset</v>
      </c>
      <c r="K141" s="18" t="str">
        <f t="shared" si="35"/>
        <v>Radiant Glow</v>
      </c>
      <c r="L141" s="18">
        <f t="shared" si="36"/>
        <v>226</v>
      </c>
      <c r="M141" s="19" t="str">
        <f t="shared" si="37"/>
        <v>Suikerfeest</v>
      </c>
    </row>
    <row r="142" spans="4:13" x14ac:dyDescent="0.25">
      <c r="D142" s="21" t="s">
        <v>1387</v>
      </c>
      <c r="E142" s="23"/>
      <c r="F142" s="18">
        <f t="shared" si="30"/>
        <v>2031</v>
      </c>
      <c r="G142" s="18">
        <f t="shared" si="38"/>
        <v>1</v>
      </c>
      <c r="H142" s="18">
        <f t="shared" si="39"/>
        <v>24</v>
      </c>
      <c r="I142" s="18" t="str">
        <f t="shared" si="33"/>
        <v>GUITAR</v>
      </c>
      <c r="J142" s="18" t="str">
        <f t="shared" si="34"/>
        <v>Warm Sunset</v>
      </c>
      <c r="K142" s="18" t="str">
        <f t="shared" si="35"/>
        <v>Radiant Glow</v>
      </c>
      <c r="L142" s="18">
        <f t="shared" si="36"/>
        <v>186</v>
      </c>
      <c r="M142" s="19" t="str">
        <f t="shared" si="37"/>
        <v>Suikerfeest</v>
      </c>
    </row>
    <row r="143" spans="4:13" x14ac:dyDescent="0.25">
      <c r="D143" s="21" t="s">
        <v>1387</v>
      </c>
      <c r="E143" s="23"/>
      <c r="F143" s="18">
        <f t="shared" si="30"/>
        <v>2032</v>
      </c>
      <c r="G143" s="18">
        <f t="shared" si="38"/>
        <v>1</v>
      </c>
      <c r="H143" s="18">
        <f t="shared" si="39"/>
        <v>13</v>
      </c>
      <c r="I143" s="18" t="str">
        <f t="shared" si="33"/>
        <v>GUITAR</v>
      </c>
      <c r="J143" s="18" t="str">
        <f t="shared" si="34"/>
        <v>Warm Sunset</v>
      </c>
      <c r="K143" s="18" t="str">
        <f t="shared" si="35"/>
        <v>Radiant Glow</v>
      </c>
      <c r="L143" s="18">
        <f t="shared" si="36"/>
        <v>168</v>
      </c>
      <c r="M143" s="19" t="str">
        <f t="shared" si="37"/>
        <v>Suikerfeest</v>
      </c>
    </row>
    <row r="144" spans="4:13" x14ac:dyDescent="0.25">
      <c r="D144" s="21" t="s">
        <v>1387</v>
      </c>
      <c r="E144" s="23"/>
      <c r="F144" s="18">
        <f t="shared" si="30"/>
        <v>2033</v>
      </c>
      <c r="G144" s="18">
        <f t="shared" si="38"/>
        <v>1</v>
      </c>
      <c r="H144" s="18">
        <f t="shared" si="39"/>
        <v>2</v>
      </c>
      <c r="I144" s="18" t="str">
        <f t="shared" si="33"/>
        <v>GUITAR</v>
      </c>
      <c r="J144" s="18" t="str">
        <f t="shared" si="34"/>
        <v>Warm Sunset</v>
      </c>
      <c r="K144" s="18" t="str">
        <f t="shared" si="35"/>
        <v>Radiant Glow</v>
      </c>
      <c r="L144" s="18">
        <f t="shared" si="36"/>
        <v>190</v>
      </c>
      <c r="M144" s="19" t="str">
        <f t="shared" si="37"/>
        <v>Suikerfeest</v>
      </c>
    </row>
    <row r="145" spans="4:13" x14ac:dyDescent="0.25">
      <c r="D145" s="21" t="s">
        <v>1387</v>
      </c>
      <c r="E145" s="23"/>
      <c r="F145" s="18">
        <f t="shared" si="30"/>
        <v>2034</v>
      </c>
      <c r="G145" s="18">
        <f t="shared" si="38"/>
        <v>12</v>
      </c>
      <c r="H145" s="18">
        <f t="shared" si="39"/>
        <v>11</v>
      </c>
      <c r="I145" s="18" t="str">
        <f t="shared" si="33"/>
        <v>GUITAR</v>
      </c>
      <c r="J145" s="18" t="str">
        <f t="shared" si="34"/>
        <v>Warm Sunset</v>
      </c>
      <c r="K145" s="18" t="str">
        <f t="shared" si="35"/>
        <v>Radiant Glow</v>
      </c>
      <c r="L145" s="18">
        <f t="shared" si="36"/>
        <v>230</v>
      </c>
      <c r="M145" s="19" t="str">
        <f t="shared" si="37"/>
        <v>Suikerfeest</v>
      </c>
    </row>
    <row r="146" spans="4:13" x14ac:dyDescent="0.25">
      <c r="D146" s="21" t="s">
        <v>1387</v>
      </c>
      <c r="E146" s="23"/>
      <c r="F146" s="18">
        <f t="shared" si="30"/>
        <v>2035</v>
      </c>
      <c r="G146" s="18">
        <f t="shared" si="38"/>
        <v>12</v>
      </c>
      <c r="H146" s="18">
        <f t="shared" si="39"/>
        <v>1</v>
      </c>
      <c r="I146" s="18" t="str">
        <f t="shared" si="33"/>
        <v>GUITAR</v>
      </c>
      <c r="J146" s="18" t="str">
        <f t="shared" si="34"/>
        <v>Warm Sunset</v>
      </c>
      <c r="K146" s="18" t="str">
        <f t="shared" si="35"/>
        <v>Radiant Glow</v>
      </c>
      <c r="L146" s="18">
        <f t="shared" si="36"/>
        <v>253</v>
      </c>
      <c r="M146" s="19" t="str">
        <f t="shared" si="37"/>
        <v>Suikerfeest</v>
      </c>
    </row>
    <row r="147" spans="4:13" x14ac:dyDescent="0.25">
      <c r="D147" s="21" t="s">
        <v>1387</v>
      </c>
      <c r="E147" s="23"/>
      <c r="F147" s="18">
        <f t="shared" si="30"/>
        <v>2036</v>
      </c>
      <c r="G147" s="18">
        <f t="shared" si="38"/>
        <v>11</v>
      </c>
      <c r="H147" s="18">
        <f t="shared" si="39"/>
        <v>19</v>
      </c>
      <c r="I147" s="18" t="str">
        <f t="shared" si="33"/>
        <v>GUITAR</v>
      </c>
      <c r="J147" s="18" t="str">
        <f t="shared" si="34"/>
        <v>Warm Sunset</v>
      </c>
      <c r="K147" s="18" t="str">
        <f t="shared" si="35"/>
        <v>Radiant Glow</v>
      </c>
      <c r="L147" s="18">
        <f t="shared" si="36"/>
        <v>236</v>
      </c>
      <c r="M147" s="19" t="str">
        <f t="shared" si="37"/>
        <v>Suikerfeest</v>
      </c>
    </row>
    <row r="148" spans="4:13" x14ac:dyDescent="0.25">
      <c r="D148" s="21" t="s">
        <v>1387</v>
      </c>
      <c r="E148" s="23"/>
      <c r="F148" s="18">
        <f t="shared" si="30"/>
        <v>2037</v>
      </c>
      <c r="G148" s="18">
        <f t="shared" si="38"/>
        <v>11</v>
      </c>
      <c r="H148" s="18">
        <f t="shared" si="39"/>
        <v>8</v>
      </c>
      <c r="I148" s="18" t="str">
        <f t="shared" si="33"/>
        <v>GUITAR</v>
      </c>
      <c r="J148" s="18" t="str">
        <f t="shared" si="34"/>
        <v>Warm Sunset</v>
      </c>
      <c r="K148" s="18" t="str">
        <f t="shared" si="35"/>
        <v>Radiant Glow</v>
      </c>
      <c r="L148" s="18">
        <f t="shared" si="36"/>
        <v>196</v>
      </c>
      <c r="M148" s="19" t="str">
        <f t="shared" si="37"/>
        <v>Suikerfeest</v>
      </c>
    </row>
    <row r="149" spans="4:13" x14ac:dyDescent="0.25">
      <c r="D149" s="21" t="s">
        <v>1387</v>
      </c>
      <c r="E149" s="23"/>
      <c r="F149" s="18">
        <f t="shared" ref="F149:F156" si="40">IF(F148=$F$3,$F$2,IF(D149=D148,F148+1,$F$2))</f>
        <v>2038</v>
      </c>
      <c r="G149" s="18">
        <f t="shared" ref="G149:G156" si="41">FeestMaand(D149,F149)</f>
        <v>10</v>
      </c>
      <c r="H149" s="18">
        <f t="shared" ref="H149:H156" si="42">FeestDag(D149,F149)</f>
        <v>29</v>
      </c>
      <c r="I149" s="18" t="str">
        <f t="shared" si="33"/>
        <v>GUITAR</v>
      </c>
      <c r="J149" s="18" t="str">
        <f t="shared" si="34"/>
        <v>Warm Sunset</v>
      </c>
      <c r="K149" s="18" t="str">
        <f t="shared" si="35"/>
        <v>Radiant Glow</v>
      </c>
      <c r="L149" s="18">
        <f t="shared" si="36"/>
        <v>169</v>
      </c>
      <c r="M149" s="19" t="str">
        <f t="shared" si="37"/>
        <v>Suikerfeest</v>
      </c>
    </row>
    <row r="150" spans="4:13" x14ac:dyDescent="0.25">
      <c r="D150" s="21"/>
      <c r="E150" s="23"/>
      <c r="F150" s="18">
        <f t="shared" si="40"/>
        <v>2026</v>
      </c>
      <c r="G150" s="18">
        <f t="shared" si="41"/>
        <v>0</v>
      </c>
      <c r="H150" s="18">
        <f t="shared" si="42"/>
        <v>0</v>
      </c>
      <c r="I150" s="18" t="str">
        <f t="shared" si="33"/>
        <v/>
      </c>
      <c r="J150" s="18" t="str">
        <f t="shared" si="34"/>
        <v/>
      </c>
      <c r="K150" s="18" t="str">
        <f t="shared" si="35"/>
        <v/>
      </c>
      <c r="L150" s="18" t="str">
        <f t="shared" si="36"/>
        <v/>
      </c>
      <c r="M150" s="19" t="str">
        <f t="shared" si="37"/>
        <v/>
      </c>
    </row>
    <row r="151" spans="4:13" x14ac:dyDescent="0.25">
      <c r="D151" s="21"/>
      <c r="E151" s="23"/>
      <c r="F151" s="18">
        <f t="shared" si="40"/>
        <v>2027</v>
      </c>
      <c r="G151" s="18">
        <f t="shared" si="41"/>
        <v>0</v>
      </c>
      <c r="H151" s="18">
        <f t="shared" si="42"/>
        <v>0</v>
      </c>
      <c r="I151" s="18" t="str">
        <f t="shared" si="33"/>
        <v/>
      </c>
      <c r="J151" s="18" t="str">
        <f t="shared" si="34"/>
        <v/>
      </c>
      <c r="K151" s="18" t="str">
        <f t="shared" si="35"/>
        <v/>
      </c>
      <c r="L151" s="18" t="str">
        <f t="shared" si="36"/>
        <v/>
      </c>
      <c r="M151" s="19" t="str">
        <f t="shared" si="37"/>
        <v/>
      </c>
    </row>
    <row r="152" spans="4:13" x14ac:dyDescent="0.25">
      <c r="D152" s="21"/>
      <c r="E152" s="23"/>
      <c r="F152" s="18">
        <f t="shared" si="40"/>
        <v>2028</v>
      </c>
      <c r="G152" s="18">
        <f t="shared" si="41"/>
        <v>0</v>
      </c>
      <c r="H152" s="18">
        <f t="shared" si="42"/>
        <v>0</v>
      </c>
      <c r="I152" s="18" t="str">
        <f t="shared" si="33"/>
        <v/>
      </c>
      <c r="J152" s="18" t="str">
        <f t="shared" si="34"/>
        <v/>
      </c>
      <c r="K152" s="18" t="str">
        <f t="shared" si="35"/>
        <v/>
      </c>
      <c r="L152" s="18" t="str">
        <f t="shared" si="36"/>
        <v/>
      </c>
      <c r="M152" s="19" t="str">
        <f t="shared" si="37"/>
        <v/>
      </c>
    </row>
    <row r="153" spans="4:13" x14ac:dyDescent="0.25">
      <c r="D153" s="21"/>
      <c r="E153" s="23"/>
      <c r="F153" s="18">
        <f t="shared" si="40"/>
        <v>2029</v>
      </c>
      <c r="G153" s="18">
        <f t="shared" si="41"/>
        <v>0</v>
      </c>
      <c r="H153" s="18">
        <f t="shared" si="42"/>
        <v>0</v>
      </c>
      <c r="I153" s="18" t="str">
        <f t="shared" si="33"/>
        <v/>
      </c>
      <c r="J153" s="18" t="str">
        <f t="shared" si="34"/>
        <v/>
      </c>
      <c r="K153" s="18" t="str">
        <f t="shared" si="35"/>
        <v/>
      </c>
      <c r="L153" s="18" t="str">
        <f t="shared" si="36"/>
        <v/>
      </c>
      <c r="M153" s="19" t="str">
        <f t="shared" si="37"/>
        <v/>
      </c>
    </row>
    <row r="154" spans="4:13" x14ac:dyDescent="0.25">
      <c r="D154" s="21"/>
      <c r="E154" s="23"/>
      <c r="F154" s="18">
        <f t="shared" si="40"/>
        <v>2030</v>
      </c>
      <c r="G154" s="18">
        <f t="shared" si="41"/>
        <v>0</v>
      </c>
      <c r="H154" s="18">
        <f t="shared" si="42"/>
        <v>0</v>
      </c>
      <c r="I154" s="18" t="str">
        <f t="shared" si="33"/>
        <v/>
      </c>
      <c r="J154" s="18" t="str">
        <f t="shared" si="34"/>
        <v/>
      </c>
      <c r="K154" s="18" t="str">
        <f t="shared" si="35"/>
        <v/>
      </c>
      <c r="L154" s="18" t="str">
        <f t="shared" si="36"/>
        <v/>
      </c>
      <c r="M154" s="19" t="str">
        <f t="shared" si="37"/>
        <v/>
      </c>
    </row>
    <row r="155" spans="4:13" x14ac:dyDescent="0.25">
      <c r="D155" s="21"/>
      <c r="E155" s="23"/>
      <c r="F155" s="18">
        <f t="shared" si="40"/>
        <v>2031</v>
      </c>
      <c r="G155" s="18">
        <f t="shared" si="41"/>
        <v>0</v>
      </c>
      <c r="H155" s="18">
        <f t="shared" si="42"/>
        <v>0</v>
      </c>
      <c r="I155" s="18" t="str">
        <f t="shared" si="33"/>
        <v/>
      </c>
      <c r="J155" s="18" t="str">
        <f t="shared" si="34"/>
        <v/>
      </c>
      <c r="K155" s="18" t="str">
        <f t="shared" si="35"/>
        <v/>
      </c>
      <c r="L155" s="18" t="str">
        <f t="shared" si="36"/>
        <v/>
      </c>
      <c r="M155" s="19" t="str">
        <f t="shared" si="37"/>
        <v/>
      </c>
    </row>
    <row r="156" spans="4:13" x14ac:dyDescent="0.25">
      <c r="D156" s="21"/>
      <c r="E156" s="23"/>
      <c r="F156" s="18">
        <f t="shared" si="40"/>
        <v>2032</v>
      </c>
      <c r="G156" s="18">
        <f t="shared" si="41"/>
        <v>0</v>
      </c>
      <c r="H156" s="18">
        <f t="shared" si="42"/>
        <v>0</v>
      </c>
      <c r="I156" s="18" t="str">
        <f t="shared" si="33"/>
        <v/>
      </c>
      <c r="J156" s="18" t="str">
        <f t="shared" si="34"/>
        <v/>
      </c>
      <c r="K156" s="18" t="str">
        <f t="shared" si="35"/>
        <v/>
      </c>
      <c r="L156" s="18" t="str">
        <f t="shared" si="36"/>
        <v/>
      </c>
      <c r="M156" s="19" t="str">
        <f t="shared" si="37"/>
        <v/>
      </c>
    </row>
  </sheetData>
  <dataValidations count="1">
    <dataValidation type="list" allowBlank="1" showInputMessage="1" showErrorMessage="1" sqref="D7:D156" xr:uid="{B02A936A-681F-42F9-B475-0FF11FEF53DA}">
      <formula1>$U$5:$U$30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CABE58-8F0C-489B-AB06-AE9D85BA87F6}">
          <x14:formula1>
            <xm:f>theme_boxes!$B$3:$B$53</xm:f>
          </x14:formula1>
          <xm:sqref>AA7</xm:sqref>
        </x14:dataValidation>
        <x14:dataValidation type="list" allowBlank="1" showInputMessage="1" showErrorMessage="1" xr:uid="{CAE7330A-EFEF-41FE-A7CB-239AD94531E8}">
          <x14:formula1>
            <xm:f>theme_boxes!$B$2:$B$71</xm:f>
          </x14:formula1>
          <xm:sqref>W5:W30</xm:sqref>
        </x14:dataValidation>
        <x14:dataValidation type="list" allowBlank="1" showInputMessage="1" showErrorMessage="1" xr:uid="{9636A3C9-FF6A-4173-883E-8E1BA74C1794}">
          <x14:formula1>
            <xm:f>light_colors!$B$2:$B$61</xm:f>
          </x14:formula1>
          <xm:sqref>X5:X30</xm:sqref>
        </x14:dataValidation>
        <x14:dataValidation type="list" allowBlank="1" showInputMessage="1" showErrorMessage="1" xr:uid="{38187DF7-E5F1-47FC-AEBB-542976CF09A9}">
          <x14:formula1>
            <xm:f>light_patterns!$B$2:$B$60</xm:f>
          </x14:formula1>
          <xm:sqref>Y5:Y30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BA2A-21F5-4238-A9AB-B9C620CE8D50}">
  <sheetPr codeName="Sheet2">
    <tabColor theme="8" tint="0.39997558519241921"/>
  </sheetPr>
  <dimension ref="D1:Z160"/>
  <sheetViews>
    <sheetView topLeftCell="C1" workbookViewId="0">
      <selection activeCell="V15" sqref="V15"/>
    </sheetView>
  </sheetViews>
  <sheetFormatPr defaultRowHeight="15" x14ac:dyDescent="0.25"/>
  <cols>
    <col min="1" max="3" width="3" customWidth="1"/>
    <col min="5" max="5" width="33.140625" customWidth="1"/>
    <col min="6" max="6" width="0.140625" customWidth="1"/>
    <col min="9" max="13" width="7.140625" customWidth="1"/>
    <col min="14" max="19" width="1.140625" customWidth="1"/>
    <col min="20" max="20" width="40" customWidth="1"/>
    <col min="22" max="22" width="28" customWidth="1"/>
    <col min="23" max="23" width="12" customWidth="1"/>
    <col min="24" max="24" width="16" customWidth="1"/>
    <col min="25" max="25" width="15.28515625" customWidth="1"/>
  </cols>
  <sheetData>
    <row r="1" spans="4:26" x14ac:dyDescent="0.25">
      <c r="U1" s="1"/>
    </row>
    <row r="2" spans="4:26" x14ac:dyDescent="0.25">
      <c r="L2">
        <v>0.3</v>
      </c>
      <c r="U2" s="1"/>
    </row>
    <row r="3" spans="4:26" x14ac:dyDescent="0.25">
      <c r="M3" s="9"/>
      <c r="N3" s="9"/>
      <c r="O3" s="9"/>
      <c r="P3" s="9"/>
      <c r="Q3" s="9"/>
      <c r="U3" s="1"/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N4" s="9"/>
      <c r="O4" s="9"/>
      <c r="P4" s="9"/>
      <c r="Q4" s="9"/>
      <c r="U4" s="1" t="s">
        <v>1</v>
      </c>
      <c r="V4" t="s">
        <v>101</v>
      </c>
      <c r="W4" t="s">
        <v>100</v>
      </c>
      <c r="X4" s="1" t="s">
        <v>97</v>
      </c>
      <c r="Y4" s="1" t="s">
        <v>98</v>
      </c>
      <c r="Z4" s="1" t="s">
        <v>102</v>
      </c>
    </row>
    <row r="5" spans="4:26" x14ac:dyDescent="0.25">
      <c r="D5" s="2" t="s">
        <v>1</v>
      </c>
      <c r="E5" s="2" t="s">
        <v>106</v>
      </c>
      <c r="F5" s="2" t="s">
        <v>5</v>
      </c>
      <c r="G5" s="2" t="s">
        <v>3</v>
      </c>
      <c r="H5" s="2" t="s">
        <v>4</v>
      </c>
      <c r="I5" s="1" t="s">
        <v>96</v>
      </c>
      <c r="J5" s="1" t="s">
        <v>97</v>
      </c>
      <c r="K5" s="1" t="s">
        <v>98</v>
      </c>
      <c r="L5" s="9" t="s">
        <v>15</v>
      </c>
      <c r="M5" s="1" t="s">
        <v>6</v>
      </c>
      <c r="N5" s="1"/>
      <c r="O5" s="1"/>
      <c r="P5" s="1"/>
      <c r="Q5" s="1"/>
      <c r="S5" s="1"/>
      <c r="U5" s="2" t="s">
        <v>1358</v>
      </c>
      <c r="V5" s="3" t="s">
        <v>11</v>
      </c>
      <c r="W5" s="3" t="s">
        <v>56</v>
      </c>
      <c r="X5" s="3" t="s">
        <v>184</v>
      </c>
      <c r="Y5" s="3" t="s">
        <v>84</v>
      </c>
      <c r="Z5">
        <v>88</v>
      </c>
    </row>
    <row r="6" spans="4:26" x14ac:dyDescent="0.25">
      <c r="D6" s="2"/>
      <c r="E6" s="2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S6" s="1"/>
      <c r="U6" s="2" t="s">
        <v>1355</v>
      </c>
      <c r="V6" s="3" t="s">
        <v>7</v>
      </c>
      <c r="W6" s="3" t="s">
        <v>43</v>
      </c>
      <c r="X6" s="3" t="s">
        <v>230</v>
      </c>
      <c r="Y6" s="3" t="s">
        <v>1411</v>
      </c>
      <c r="Z6">
        <v>99</v>
      </c>
    </row>
    <row r="7" spans="4:26" x14ac:dyDescent="0.25">
      <c r="D7" s="10" t="s">
        <v>1358</v>
      </c>
      <c r="E7" s="10" t="s">
        <v>0</v>
      </c>
      <c r="F7" s="10">
        <v>0</v>
      </c>
      <c r="G7" s="10">
        <v>10</v>
      </c>
      <c r="H7" s="10">
        <v>8</v>
      </c>
      <c r="I7" s="1" t="str">
        <f t="shared" ref="I7:K35" si="0">IF($D7="","",VLOOKUP($D7,$U$5:$AE$30,I$4,0))</f>
        <v>JARIG</v>
      </c>
      <c r="J7" s="1" t="str">
        <f t="shared" si="0"/>
        <v>Citrus Orange</v>
      </c>
      <c r="K7" s="1" t="str">
        <f t="shared" ref="K7:K12" si="1">IF($D7="","",VLOOKUP($D7,$U$5:$AE$30,K$4,0))</f>
        <v>Rapid Sparks</v>
      </c>
      <c r="L7" s="1">
        <f>IF(ISNA(VLOOKUP($D7,$U$5:$AA$30,L$4,0)),"",INT(VLOOKUP($D7,$U$5:$AA$30,L$4,0)*(1+$L$2*SIN(ROW($D7)))))</f>
        <v>105</v>
      </c>
      <c r="M7" s="9" t="str">
        <f t="shared" ref="M7" si="2">IF($D7="","",VLOOKUP($D7,$U$5:$AE$30,M$4,0)&amp;E7)</f>
        <v>Hartelijk gefeliciteerd,  Jan</v>
      </c>
      <c r="N7" s="9"/>
      <c r="O7" s="9"/>
      <c r="P7" s="9"/>
      <c r="Q7" s="9"/>
      <c r="S7" s="1"/>
      <c r="U7" s="2" t="s">
        <v>1354</v>
      </c>
      <c r="V7" s="3" t="s">
        <v>8</v>
      </c>
      <c r="W7" s="3" t="s">
        <v>93</v>
      </c>
      <c r="X7" s="3" t="s">
        <v>256</v>
      </c>
      <c r="Y7" s="3" t="s">
        <v>83</v>
      </c>
      <c r="Z7">
        <v>111</v>
      </c>
    </row>
    <row r="8" spans="4:26" x14ac:dyDescent="0.25">
      <c r="D8" s="10" t="s">
        <v>1358</v>
      </c>
      <c r="E8" s="10" t="s">
        <v>9</v>
      </c>
      <c r="F8" s="10">
        <v>0</v>
      </c>
      <c r="G8" s="10">
        <v>12</v>
      </c>
      <c r="H8" s="10">
        <v>13</v>
      </c>
      <c r="I8" s="1" t="str">
        <f t="shared" si="0"/>
        <v>JARIG</v>
      </c>
      <c r="J8" s="1" t="str">
        <f t="shared" si="0"/>
        <v>Citrus Orange</v>
      </c>
      <c r="K8" s="1" t="str">
        <f t="shared" si="1"/>
        <v>Rapid Sparks</v>
      </c>
      <c r="L8" s="1">
        <f t="shared" ref="L8:L35" si="3">IF(ISNA(VLOOKUP($D8,$U$5:$AA$30,L$4,0)),"",INT(VLOOKUP($D8,$U$5:$AA$30,L$4,0)*(1+$L$2*SIN(ROW($D8)))))</f>
        <v>114</v>
      </c>
      <c r="M8" s="9" t="str">
        <f t="shared" ref="M8:M35" si="4">IF($D8="","",VLOOKUP($D8,$U$5:$AE$30,M$4,0)&amp;E8)</f>
        <v>Hartelijk gefeliciteerd,  lieve Marit</v>
      </c>
      <c r="N8" s="9"/>
      <c r="O8" s="9"/>
      <c r="P8" s="9"/>
      <c r="Q8" s="9"/>
      <c r="S8" s="1"/>
      <c r="U8" s="2" t="s">
        <v>1357</v>
      </c>
      <c r="V8" s="3" t="s">
        <v>13</v>
      </c>
      <c r="W8" s="3" t="s">
        <v>91</v>
      </c>
      <c r="X8" s="3" t="s">
        <v>164</v>
      </c>
      <c r="Y8" s="3" t="s">
        <v>85</v>
      </c>
      <c r="Z8">
        <v>222</v>
      </c>
    </row>
    <row r="9" spans="4:26" x14ac:dyDescent="0.25">
      <c r="D9" s="10" t="s">
        <v>1358</v>
      </c>
      <c r="E9" s="10" t="s">
        <v>10</v>
      </c>
      <c r="F9" s="10">
        <v>0</v>
      </c>
      <c r="G9" s="10">
        <v>4</v>
      </c>
      <c r="H9" s="10">
        <v>30</v>
      </c>
      <c r="I9" s="1" t="str">
        <f t="shared" si="0"/>
        <v>JARIG</v>
      </c>
      <c r="J9" s="1" t="str">
        <f t="shared" si="0"/>
        <v>Citrus Orange</v>
      </c>
      <c r="K9" s="1" t="str">
        <f t="shared" si="1"/>
        <v>Rapid Sparks</v>
      </c>
      <c r="L9" s="1">
        <f t="shared" si="3"/>
        <v>98</v>
      </c>
      <c r="M9" s="9" t="str">
        <f t="shared" si="4"/>
        <v>Hartelijk gefeliciteerd,  Paul</v>
      </c>
      <c r="N9" s="9"/>
      <c r="O9" s="9"/>
      <c r="P9" s="9"/>
      <c r="Q9" s="9"/>
      <c r="S9" s="1"/>
      <c r="U9" s="2" t="s">
        <v>1359</v>
      </c>
      <c r="V9" s="3" t="s">
        <v>107</v>
      </c>
      <c r="W9" s="3" t="s">
        <v>93</v>
      </c>
      <c r="X9" s="3" t="s">
        <v>152</v>
      </c>
      <c r="Y9" s="3" t="s">
        <v>84</v>
      </c>
      <c r="Z9">
        <v>88</v>
      </c>
    </row>
    <row r="10" spans="4:26" x14ac:dyDescent="0.25">
      <c r="D10" s="10" t="s">
        <v>1358</v>
      </c>
      <c r="E10" s="10" t="s">
        <v>41</v>
      </c>
      <c r="F10" s="10">
        <v>0</v>
      </c>
      <c r="G10" s="10">
        <v>3</v>
      </c>
      <c r="H10" s="10">
        <v>21</v>
      </c>
      <c r="I10" s="1" t="str">
        <f t="shared" si="0"/>
        <v>JARIG</v>
      </c>
      <c r="J10" s="1" t="str">
        <f t="shared" si="0"/>
        <v>Citrus Orange</v>
      </c>
      <c r="K10" s="1" t="str">
        <f t="shared" si="1"/>
        <v>Rapid Sparks</v>
      </c>
      <c r="L10" s="1">
        <f t="shared" si="3"/>
        <v>73</v>
      </c>
      <c r="M10" s="9" t="str">
        <f t="shared" si="4"/>
        <v>Hartelijk gefeliciteerd,  Thomas</v>
      </c>
      <c r="N10" s="9"/>
      <c r="O10" s="9"/>
      <c r="P10" s="9"/>
      <c r="Q10" s="9"/>
      <c r="S10" s="1"/>
      <c r="U10" s="2" t="s">
        <v>1356</v>
      </c>
      <c r="V10" s="3" t="s">
        <v>78</v>
      </c>
      <c r="W10" s="3" t="s">
        <v>43</v>
      </c>
      <c r="X10" s="3" t="s">
        <v>201</v>
      </c>
      <c r="Y10" s="3" t="s">
        <v>86</v>
      </c>
      <c r="Z10">
        <v>88</v>
      </c>
    </row>
    <row r="11" spans="4:26" x14ac:dyDescent="0.25">
      <c r="D11" s="10" t="s">
        <v>1354</v>
      </c>
      <c r="E11" s="10"/>
      <c r="F11" s="10"/>
      <c r="G11" s="10">
        <v>1</v>
      </c>
      <c r="H11" s="10">
        <v>1</v>
      </c>
      <c r="I11" s="1" t="str">
        <f t="shared" si="0"/>
        <v>MUSIC</v>
      </c>
      <c r="J11" s="1" t="str">
        <f t="shared" si="0"/>
        <v>Ice White</v>
      </c>
      <c r="K11" s="1" t="str">
        <f t="shared" si="1"/>
        <v>Slow Breathing</v>
      </c>
      <c r="L11" s="1">
        <f t="shared" si="3"/>
        <v>77</v>
      </c>
      <c r="M11" s="9" t="str">
        <f t="shared" si="4"/>
        <v>Gelukkig Nieuwjaar</v>
      </c>
      <c r="N11" s="9"/>
      <c r="O11" s="9"/>
      <c r="P11" s="9"/>
      <c r="Q11" s="9"/>
      <c r="S11" s="1"/>
      <c r="U11" s="2" t="s">
        <v>1360</v>
      </c>
      <c r="V11" s="3" t="s">
        <v>1234</v>
      </c>
      <c r="W11" s="3" t="s">
        <v>53</v>
      </c>
      <c r="X11" s="3" t="s">
        <v>224</v>
      </c>
      <c r="Y11" s="3" t="s">
        <v>258</v>
      </c>
      <c r="Z11">
        <v>88</v>
      </c>
    </row>
    <row r="12" spans="4:26" x14ac:dyDescent="0.25">
      <c r="D12" s="10" t="s">
        <v>1358</v>
      </c>
      <c r="E12" s="10" t="s">
        <v>104</v>
      </c>
      <c r="F12" s="11"/>
      <c r="G12" s="10">
        <v>5</v>
      </c>
      <c r="H12" s="10">
        <v>10</v>
      </c>
      <c r="I12" s="1" t="str">
        <f t="shared" si="0"/>
        <v>JARIG</v>
      </c>
      <c r="J12" s="1" t="str">
        <f t="shared" si="0"/>
        <v>Citrus Orange</v>
      </c>
      <c r="K12" s="1" t="str">
        <f t="shared" si="1"/>
        <v>Rapid Sparks</v>
      </c>
      <c r="L12" s="1">
        <f t="shared" si="3"/>
        <v>73</v>
      </c>
      <c r="M12" s="9" t="str">
        <f t="shared" si="4"/>
        <v>Hartelijk gefeliciteerd,  Gaia</v>
      </c>
      <c r="N12" s="9"/>
      <c r="O12" s="9"/>
      <c r="P12" s="9"/>
      <c r="Q12" s="9"/>
      <c r="S12" s="1"/>
      <c r="U12" s="2" t="s">
        <v>1361</v>
      </c>
      <c r="V12" s="3" t="s">
        <v>1362</v>
      </c>
      <c r="W12" s="3" t="s">
        <v>87</v>
      </c>
      <c r="X12" s="3" t="s">
        <v>164</v>
      </c>
      <c r="Y12" s="3" t="s">
        <v>1413</v>
      </c>
      <c r="Z12">
        <v>88</v>
      </c>
    </row>
    <row r="13" spans="4:26" x14ac:dyDescent="0.25">
      <c r="D13" s="10" t="s">
        <v>1357</v>
      </c>
      <c r="E13" s="10" t="s">
        <v>1353</v>
      </c>
      <c r="F13" s="11"/>
      <c r="G13" s="10">
        <v>2</v>
      </c>
      <c r="H13" s="10">
        <v>1</v>
      </c>
      <c r="I13" s="1" t="str">
        <f t="shared" si="0"/>
        <v>ALLBIRDS</v>
      </c>
      <c r="J13" s="1" t="str">
        <f t="shared" si="0"/>
        <v>Candy Pink</v>
      </c>
      <c r="K13" s="1" t="str">
        <f>IF($D13="","",VLOOKUP($D13,$U$5:$AE$30,K$4,0))</f>
        <v>Wide Sweep</v>
      </c>
      <c r="L13" s="1">
        <f t="shared" si="3"/>
        <v>249</v>
      </c>
      <c r="M13" s="9" t="str">
        <f t="shared" si="4"/>
        <v>Eerste van de maand februari</v>
      </c>
      <c r="N13" s="9"/>
      <c r="O13" s="9"/>
      <c r="P13" s="9"/>
      <c r="Q13" s="9"/>
      <c r="S13" s="1"/>
      <c r="U13" s="2" t="s">
        <v>1363</v>
      </c>
      <c r="V13" s="3" t="s">
        <v>1364</v>
      </c>
      <c r="W13" s="3" t="s">
        <v>89</v>
      </c>
      <c r="X13" s="3" t="s">
        <v>233</v>
      </c>
      <c r="Y13" s="3" t="s">
        <v>83</v>
      </c>
      <c r="Z13">
        <v>88</v>
      </c>
    </row>
    <row r="14" spans="4:26" x14ac:dyDescent="0.25">
      <c r="D14" s="10" t="s">
        <v>1357</v>
      </c>
      <c r="E14" s="10" t="s">
        <v>33</v>
      </c>
      <c r="F14" s="11"/>
      <c r="G14" s="10">
        <f t="shared" ref="G14:G23" si="5">G13+1</f>
        <v>3</v>
      </c>
      <c r="H14" s="10">
        <v>1</v>
      </c>
      <c r="I14" s="1" t="str">
        <f t="shared" si="0"/>
        <v>ALLBIRDS</v>
      </c>
      <c r="J14" s="1" t="str">
        <f t="shared" si="0"/>
        <v>Candy Pink</v>
      </c>
      <c r="K14" s="1" t="str">
        <f t="shared" si="0"/>
        <v>Wide Sweep</v>
      </c>
      <c r="L14" s="1">
        <f t="shared" si="3"/>
        <v>287</v>
      </c>
      <c r="M14" s="9" t="str">
        <f t="shared" si="4"/>
        <v>Eerste van de maand maart</v>
      </c>
      <c r="N14" s="9"/>
      <c r="O14" s="9"/>
      <c r="P14" s="9"/>
      <c r="Q14" s="9"/>
      <c r="S14" s="1"/>
      <c r="U14" s="2" t="s">
        <v>1365</v>
      </c>
      <c r="V14" s="3" t="s">
        <v>1523</v>
      </c>
      <c r="W14" s="3" t="s">
        <v>58</v>
      </c>
      <c r="X14" s="3" t="s">
        <v>158</v>
      </c>
      <c r="Y14" s="3" t="s">
        <v>258</v>
      </c>
      <c r="Z14">
        <v>88</v>
      </c>
    </row>
    <row r="15" spans="4:26" x14ac:dyDescent="0.25">
      <c r="D15" s="10" t="s">
        <v>1357</v>
      </c>
      <c r="E15" s="10" t="s">
        <v>103</v>
      </c>
      <c r="F15" s="11"/>
      <c r="G15" s="10">
        <f t="shared" si="5"/>
        <v>4</v>
      </c>
      <c r="H15" s="10">
        <v>1</v>
      </c>
      <c r="I15" s="1" t="str">
        <f t="shared" si="0"/>
        <v>ALLBIRDS</v>
      </c>
      <c r="J15" s="1" t="str">
        <f t="shared" si="0"/>
        <v>Candy Pink</v>
      </c>
      <c r="K15" s="1" t="str">
        <f t="shared" si="0"/>
        <v>Wide Sweep</v>
      </c>
      <c r="L15" s="1">
        <f t="shared" si="3"/>
        <v>265</v>
      </c>
      <c r="M15" s="9" t="str">
        <f t="shared" si="4"/>
        <v>Eerste van de maand april, een april, kikker in je bil!</v>
      </c>
      <c r="N15" s="9"/>
      <c r="O15" s="9"/>
      <c r="P15" s="9"/>
      <c r="Q15" s="9"/>
      <c r="S15" s="1"/>
      <c r="U15" s="2" t="s">
        <v>1366</v>
      </c>
      <c r="V15" s="3" t="s">
        <v>1367</v>
      </c>
      <c r="W15" s="3" t="s">
        <v>52</v>
      </c>
      <c r="X15" s="3" t="s">
        <v>245</v>
      </c>
      <c r="Y15" s="3" t="s">
        <v>1411</v>
      </c>
      <c r="Z15">
        <v>88</v>
      </c>
    </row>
    <row r="16" spans="4:26" x14ac:dyDescent="0.25">
      <c r="D16" s="10" t="s">
        <v>1357</v>
      </c>
      <c r="E16" s="10" t="s">
        <v>105</v>
      </c>
      <c r="F16" s="11"/>
      <c r="G16" s="10">
        <f t="shared" si="5"/>
        <v>5</v>
      </c>
      <c r="H16" s="10">
        <v>1</v>
      </c>
      <c r="I16" s="1" t="str">
        <f t="shared" si="0"/>
        <v>ALLBIRDS</v>
      </c>
      <c r="J16" s="1" t="str">
        <f t="shared" si="0"/>
        <v>Candy Pink</v>
      </c>
      <c r="K16" s="1" t="str">
        <f t="shared" si="0"/>
        <v>Wide Sweep</v>
      </c>
      <c r="L16" s="1">
        <f t="shared" si="3"/>
        <v>202</v>
      </c>
      <c r="M16" s="9" t="str">
        <f t="shared" si="4"/>
        <v>Eerste van de maand mei- leggen alle vogeltjes een ei</v>
      </c>
      <c r="N16" s="9"/>
      <c r="O16" s="9"/>
      <c r="P16" s="9"/>
      <c r="Q16" s="9"/>
      <c r="S16" s="1"/>
      <c r="U16" s="2" t="s">
        <v>1368</v>
      </c>
      <c r="V16" s="3" t="s">
        <v>1369</v>
      </c>
      <c r="W16" s="3" t="s">
        <v>93</v>
      </c>
      <c r="X16" s="3" t="s">
        <v>158</v>
      </c>
      <c r="Y16" s="3" t="s">
        <v>1412</v>
      </c>
      <c r="Z16">
        <v>88</v>
      </c>
    </row>
    <row r="17" spans="4:26" x14ac:dyDescent="0.25">
      <c r="D17" s="10" t="s">
        <v>1357</v>
      </c>
      <c r="E17" s="10" t="s">
        <v>34</v>
      </c>
      <c r="F17" s="11"/>
      <c r="G17" s="10">
        <f t="shared" si="5"/>
        <v>6</v>
      </c>
      <c r="H17" s="10">
        <v>1</v>
      </c>
      <c r="I17" s="1" t="str">
        <f t="shared" si="0"/>
        <v>ALLBIRDS</v>
      </c>
      <c r="J17" s="1" t="str">
        <f t="shared" si="0"/>
        <v>Candy Pink</v>
      </c>
      <c r="K17" s="1" t="str">
        <f t="shared" si="0"/>
        <v>Wide Sweep</v>
      </c>
      <c r="L17" s="1">
        <f t="shared" si="3"/>
        <v>157</v>
      </c>
      <c r="M17" s="9" t="str">
        <f t="shared" si="4"/>
        <v>Eerste van de maand juni</v>
      </c>
      <c r="N17" s="9"/>
      <c r="O17" s="9"/>
      <c r="P17" s="9"/>
      <c r="Q17" s="9"/>
      <c r="S17" s="1"/>
      <c r="U17" s="2" t="s">
        <v>1370</v>
      </c>
      <c r="V17" s="3" t="s">
        <v>1371</v>
      </c>
      <c r="W17" s="3" t="s">
        <v>93</v>
      </c>
      <c r="X17" s="3" t="s">
        <v>1392</v>
      </c>
      <c r="Y17" s="3" t="s">
        <v>258</v>
      </c>
      <c r="Z17">
        <v>88</v>
      </c>
    </row>
    <row r="18" spans="4:26" x14ac:dyDescent="0.25">
      <c r="D18" s="10" t="s">
        <v>1357</v>
      </c>
      <c r="E18" s="10" t="s">
        <v>35</v>
      </c>
      <c r="F18" s="11"/>
      <c r="G18" s="10">
        <f t="shared" si="5"/>
        <v>7</v>
      </c>
      <c r="H18" s="10">
        <v>1</v>
      </c>
      <c r="I18" s="1" t="str">
        <f t="shared" si="0"/>
        <v>ALLBIRDS</v>
      </c>
      <c r="J18" s="1" t="str">
        <f t="shared" si="0"/>
        <v>Candy Pink</v>
      </c>
      <c r="K18" s="1" t="str">
        <f t="shared" si="0"/>
        <v>Wide Sweep</v>
      </c>
      <c r="L18" s="1">
        <f t="shared" si="3"/>
        <v>171</v>
      </c>
      <c r="M18" s="9" t="str">
        <f t="shared" si="4"/>
        <v>Eerste van de maand juli</v>
      </c>
      <c r="N18" s="9"/>
      <c r="O18" s="9"/>
      <c r="P18" s="9"/>
      <c r="Q18" s="9"/>
      <c r="S18" s="1"/>
      <c r="U18" s="2" t="s">
        <v>1372</v>
      </c>
      <c r="V18" s="3" t="s">
        <v>1522</v>
      </c>
      <c r="W18" s="3" t="s">
        <v>45</v>
      </c>
      <c r="X18" s="3" t="s">
        <v>161</v>
      </c>
      <c r="Y18" s="3" t="s">
        <v>1413</v>
      </c>
      <c r="Z18">
        <v>88</v>
      </c>
    </row>
    <row r="19" spans="4:26" x14ac:dyDescent="0.25">
      <c r="D19" s="10" t="s">
        <v>1357</v>
      </c>
      <c r="E19" s="10" t="s">
        <v>36</v>
      </c>
      <c r="F19" s="11"/>
      <c r="G19" s="10">
        <f t="shared" si="5"/>
        <v>8</v>
      </c>
      <c r="H19" s="10">
        <v>1</v>
      </c>
      <c r="I19" s="1" t="str">
        <f t="shared" si="0"/>
        <v>ALLBIRDS</v>
      </c>
      <c r="J19" s="1" t="str">
        <f t="shared" si="0"/>
        <v>Candy Pink</v>
      </c>
      <c r="K19" s="1" t="str">
        <f t="shared" si="0"/>
        <v>Wide Sweep</v>
      </c>
      <c r="L19" s="1">
        <f t="shared" si="3"/>
        <v>231</v>
      </c>
      <c r="M19" s="9" t="str">
        <f t="shared" si="4"/>
        <v>Eerste van de maand augustus</v>
      </c>
      <c r="N19" s="9"/>
      <c r="O19" s="9"/>
      <c r="P19" s="9"/>
      <c r="Q19" s="9"/>
      <c r="S19" s="1"/>
      <c r="U19" s="2" t="s">
        <v>110</v>
      </c>
      <c r="V19" s="3" t="s">
        <v>110</v>
      </c>
      <c r="W19" s="3" t="s">
        <v>58</v>
      </c>
      <c r="X19" s="3" t="s">
        <v>149</v>
      </c>
      <c r="Y19" s="3" t="s">
        <v>1411</v>
      </c>
      <c r="Z19">
        <v>88</v>
      </c>
    </row>
    <row r="20" spans="4:26" x14ac:dyDescent="0.25">
      <c r="D20" s="10" t="s">
        <v>1357</v>
      </c>
      <c r="E20" s="10" t="s">
        <v>37</v>
      </c>
      <c r="F20" s="11"/>
      <c r="G20" s="10">
        <f t="shared" si="5"/>
        <v>9</v>
      </c>
      <c r="H20" s="10">
        <v>1</v>
      </c>
      <c r="I20" s="1" t="str">
        <f t="shared" si="0"/>
        <v>ALLBIRDS</v>
      </c>
      <c r="J20" s="1" t="str">
        <f t="shared" si="0"/>
        <v>Candy Pink</v>
      </c>
      <c r="K20" s="1" t="str">
        <f t="shared" si="0"/>
        <v>Wide Sweep</v>
      </c>
      <c r="L20" s="1">
        <f t="shared" si="3"/>
        <v>282</v>
      </c>
      <c r="M20" s="9" t="str">
        <f t="shared" si="4"/>
        <v>Eerste van de maand september</v>
      </c>
      <c r="N20" s="9"/>
      <c r="O20" s="9"/>
      <c r="P20" s="9"/>
      <c r="Q20" s="9"/>
      <c r="S20" s="1"/>
      <c r="U20" s="2"/>
      <c r="V20" s="3"/>
      <c r="W20" s="3" t="s">
        <v>58</v>
      </c>
      <c r="X20" s="3" t="s">
        <v>149</v>
      </c>
      <c r="Y20" s="3" t="s">
        <v>1411</v>
      </c>
      <c r="Z20">
        <v>88</v>
      </c>
    </row>
    <row r="21" spans="4:26" x14ac:dyDescent="0.25">
      <c r="D21" s="10" t="s">
        <v>1357</v>
      </c>
      <c r="E21" s="10" t="s">
        <v>38</v>
      </c>
      <c r="F21" s="11"/>
      <c r="G21" s="10">
        <f t="shared" si="5"/>
        <v>10</v>
      </c>
      <c r="H21" s="10">
        <v>1</v>
      </c>
      <c r="I21" s="1" t="str">
        <f t="shared" si="0"/>
        <v>ALLBIRDS</v>
      </c>
      <c r="J21" s="1" t="str">
        <f t="shared" si="0"/>
        <v>Candy Pink</v>
      </c>
      <c r="K21" s="1" t="str">
        <f t="shared" si="0"/>
        <v>Wide Sweep</v>
      </c>
      <c r="L21" s="1">
        <f t="shared" si="3"/>
        <v>277</v>
      </c>
      <c r="M21" s="9" t="str">
        <f t="shared" si="4"/>
        <v>Eerste van de maand oktober</v>
      </c>
      <c r="N21" s="9"/>
      <c r="O21" s="9"/>
      <c r="P21" s="9"/>
      <c r="Q21" s="9"/>
      <c r="S21" s="1"/>
      <c r="U21" s="2"/>
      <c r="V21" s="3"/>
      <c r="W21" s="3" t="s">
        <v>58</v>
      </c>
      <c r="X21" s="3" t="s">
        <v>149</v>
      </c>
      <c r="Y21" s="3" t="s">
        <v>1411</v>
      </c>
      <c r="Z21">
        <v>88</v>
      </c>
    </row>
    <row r="22" spans="4:26" x14ac:dyDescent="0.25">
      <c r="D22" s="10" t="s">
        <v>1357</v>
      </c>
      <c r="E22" s="10" t="s">
        <v>39</v>
      </c>
      <c r="F22" s="11"/>
      <c r="G22" s="10">
        <f t="shared" si="5"/>
        <v>11</v>
      </c>
      <c r="H22" s="10">
        <v>1</v>
      </c>
      <c r="I22" s="1" t="str">
        <f t="shared" si="0"/>
        <v>ALLBIRDS</v>
      </c>
      <c r="J22" s="1" t="str">
        <f t="shared" si="0"/>
        <v>Candy Pink</v>
      </c>
      <c r="K22" s="1" t="str">
        <f t="shared" si="0"/>
        <v>Wide Sweep</v>
      </c>
      <c r="L22" s="1">
        <f t="shared" si="3"/>
        <v>221</v>
      </c>
      <c r="M22" s="9" t="str">
        <f t="shared" si="4"/>
        <v>Eerste van de maand november</v>
      </c>
      <c r="N22" s="9"/>
      <c r="O22" s="9"/>
      <c r="P22" s="9"/>
      <c r="Q22" s="9"/>
      <c r="S22" s="1"/>
      <c r="U22" s="2"/>
      <c r="V22" s="3"/>
      <c r="W22" s="3" t="s">
        <v>58</v>
      </c>
      <c r="X22" s="3" t="s">
        <v>149</v>
      </c>
      <c r="Y22" s="3" t="s">
        <v>1411</v>
      </c>
      <c r="Z22">
        <v>88</v>
      </c>
    </row>
    <row r="23" spans="4:26" x14ac:dyDescent="0.25">
      <c r="D23" s="10" t="s">
        <v>1357</v>
      </c>
      <c r="E23" s="10" t="s">
        <v>40</v>
      </c>
      <c r="F23" s="11"/>
      <c r="G23" s="10">
        <f t="shared" si="5"/>
        <v>12</v>
      </c>
      <c r="H23" s="10">
        <v>1</v>
      </c>
      <c r="I23" s="1" t="str">
        <f t="shared" si="0"/>
        <v>ALLBIRDS</v>
      </c>
      <c r="J23" s="1" t="str">
        <f t="shared" si="0"/>
        <v>Candy Pink</v>
      </c>
      <c r="K23" s="1" t="str">
        <f t="shared" si="0"/>
        <v>Wide Sweep</v>
      </c>
      <c r="L23" s="1">
        <f t="shared" si="3"/>
        <v>165</v>
      </c>
      <c r="M23" s="9" t="str">
        <f t="shared" si="4"/>
        <v>Eerste van de maand december</v>
      </c>
      <c r="N23" s="9"/>
      <c r="O23" s="9"/>
      <c r="P23" s="9"/>
      <c r="Q23" s="9"/>
      <c r="S23" s="1"/>
      <c r="U23" s="2"/>
      <c r="V23" s="3"/>
      <c r="W23" s="3" t="s">
        <v>58</v>
      </c>
      <c r="X23" s="3" t="s">
        <v>149</v>
      </c>
      <c r="Y23" s="3" t="s">
        <v>1411</v>
      </c>
      <c r="Z23">
        <v>88</v>
      </c>
    </row>
    <row r="24" spans="4:26" x14ac:dyDescent="0.25">
      <c r="D24" s="10" t="s">
        <v>1359</v>
      </c>
      <c r="E24" s="10"/>
      <c r="F24" s="11"/>
      <c r="G24" s="10">
        <v>5</v>
      </c>
      <c r="H24" s="10">
        <v>5</v>
      </c>
      <c r="I24" s="1" t="str">
        <f t="shared" si="0"/>
        <v>MUSIC</v>
      </c>
      <c r="J24" s="1" t="str">
        <f t="shared" si="0"/>
        <v>Forest Green</v>
      </c>
      <c r="K24" s="1" t="str">
        <f t="shared" si="0"/>
        <v>Rapid Sparks</v>
      </c>
      <c r="L24" s="1">
        <f t="shared" si="3"/>
        <v>64</v>
      </c>
      <c r="M24" s="9" t="str">
        <f t="shared" si="4"/>
        <v>Bevrijdingsdag</v>
      </c>
      <c r="N24" s="9"/>
      <c r="O24" s="9"/>
      <c r="P24" s="9"/>
      <c r="Q24" s="9"/>
      <c r="S24" s="1"/>
      <c r="U24" s="2"/>
      <c r="V24" s="3"/>
      <c r="W24" s="3" t="s">
        <v>58</v>
      </c>
      <c r="X24" s="3" t="s">
        <v>149</v>
      </c>
      <c r="Y24" s="3" t="s">
        <v>1411</v>
      </c>
      <c r="Z24">
        <v>88</v>
      </c>
    </row>
    <row r="25" spans="4:26" x14ac:dyDescent="0.25">
      <c r="D25" s="10" t="s">
        <v>1355</v>
      </c>
      <c r="E25" s="10"/>
      <c r="F25" s="11"/>
      <c r="G25" s="10">
        <v>12</v>
      </c>
      <c r="H25" s="10">
        <v>25</v>
      </c>
      <c r="I25" s="1" t="str">
        <f t="shared" si="0"/>
        <v>XMAS</v>
      </c>
      <c r="J25" s="1" t="str">
        <f t="shared" si="0"/>
        <v>Emerald Isle</v>
      </c>
      <c r="K25" s="1" t="str">
        <f t="shared" si="0"/>
        <v>Dancing Embers</v>
      </c>
      <c r="L25" s="1">
        <f t="shared" si="3"/>
        <v>95</v>
      </c>
      <c r="M25" s="9" t="str">
        <f t="shared" si="4"/>
        <v>Vrolijk Kerstfeest</v>
      </c>
      <c r="N25" s="9"/>
      <c r="O25" s="9"/>
      <c r="P25" s="9"/>
      <c r="Q25" s="9"/>
      <c r="S25" s="1"/>
      <c r="U25" s="2"/>
      <c r="V25" s="3"/>
      <c r="W25" s="3" t="s">
        <v>58</v>
      </c>
      <c r="X25" s="3" t="s">
        <v>149</v>
      </c>
      <c r="Y25" s="3" t="s">
        <v>1411</v>
      </c>
      <c r="Z25">
        <v>88</v>
      </c>
    </row>
    <row r="26" spans="4:26" x14ac:dyDescent="0.25">
      <c r="D26" s="10" t="s">
        <v>1356</v>
      </c>
      <c r="E26" s="10"/>
      <c r="F26" s="11"/>
      <c r="G26" s="10">
        <v>12</v>
      </c>
      <c r="H26" s="10">
        <v>26</v>
      </c>
      <c r="I26" s="1" t="str">
        <f t="shared" si="0"/>
        <v>XMAS</v>
      </c>
      <c r="J26" s="1" t="str">
        <f t="shared" si="0"/>
        <v>Rose Blossom</v>
      </c>
      <c r="K26" s="1" t="str">
        <f t="shared" si="0"/>
        <v>Calm Center</v>
      </c>
      <c r="L26" s="1">
        <f t="shared" si="3"/>
        <v>108</v>
      </c>
      <c r="M26" s="9" t="str">
        <f t="shared" si="4"/>
        <v>Tweede Kerstdag</v>
      </c>
      <c r="N26" s="9"/>
      <c r="O26" s="9"/>
      <c r="P26" s="9"/>
      <c r="Q26" s="9"/>
      <c r="S26" s="1"/>
      <c r="U26" s="2"/>
      <c r="V26" s="3"/>
      <c r="W26" s="3" t="s">
        <v>58</v>
      </c>
      <c r="X26" s="3" t="s">
        <v>149</v>
      </c>
      <c r="Y26" s="3" t="s">
        <v>1411</v>
      </c>
      <c r="Z26">
        <v>88</v>
      </c>
    </row>
    <row r="27" spans="4:26" x14ac:dyDescent="0.25">
      <c r="D27" s="10" t="s">
        <v>1360</v>
      </c>
      <c r="E27" s="10"/>
      <c r="F27" s="11"/>
      <c r="G27" s="10">
        <v>12</v>
      </c>
      <c r="H27" s="10">
        <v>5</v>
      </c>
      <c r="I27" s="1" t="str">
        <f t="shared" si="0"/>
        <v>SINT</v>
      </c>
      <c r="J27" s="1" t="str">
        <f t="shared" si="0"/>
        <v>Ruby Red</v>
      </c>
      <c r="K27" s="1" t="str">
        <f t="shared" si="0"/>
        <v>Energetic Pulse</v>
      </c>
      <c r="L27" s="1">
        <f t="shared" si="3"/>
        <v>113</v>
      </c>
      <c r="M27" s="9" t="str">
        <f t="shared" si="4"/>
        <v>Sinterklaas</v>
      </c>
      <c r="N27" s="9"/>
      <c r="O27" s="9"/>
      <c r="P27" s="9"/>
      <c r="Q27" s="9"/>
      <c r="S27" s="1"/>
      <c r="U27" s="2"/>
      <c r="V27" s="3"/>
      <c r="W27" s="3" t="s">
        <v>58</v>
      </c>
      <c r="X27" s="3" t="s">
        <v>149</v>
      </c>
      <c r="Y27" s="3" t="s">
        <v>1411</v>
      </c>
      <c r="Z27">
        <v>88</v>
      </c>
    </row>
    <row r="28" spans="4:26" x14ac:dyDescent="0.25">
      <c r="D28" s="10" t="s">
        <v>1372</v>
      </c>
      <c r="E28" s="10" t="s">
        <v>1384</v>
      </c>
      <c r="F28" s="11"/>
      <c r="G28" s="10">
        <v>3</v>
      </c>
      <c r="H28" s="10">
        <v>14</v>
      </c>
      <c r="I28" s="1" t="str">
        <f t="shared" si="0"/>
        <v>ZAPPA</v>
      </c>
      <c r="J28" s="1" t="str">
        <f t="shared" si="0"/>
        <v>Deep Space</v>
      </c>
      <c r="K28" s="1" t="str">
        <f t="shared" si="0"/>
        <v>Fireworks</v>
      </c>
      <c r="L28" s="1">
        <f t="shared" si="3"/>
        <v>95</v>
      </c>
      <c r="M28" s="9" t="str">
        <f t="shared" si="4"/>
        <v>piedag - drie komma een vier enzovoorts !en nog meer decimalen</v>
      </c>
      <c r="N28" s="9"/>
      <c r="O28" s="9"/>
      <c r="P28" s="9"/>
      <c r="Q28" s="9"/>
      <c r="S28" s="1"/>
      <c r="U28" s="2"/>
      <c r="V28" s="3"/>
      <c r="W28" s="3" t="s">
        <v>58</v>
      </c>
      <c r="X28" s="3" t="s">
        <v>149</v>
      </c>
      <c r="Y28" s="3" t="s">
        <v>1411</v>
      </c>
      <c r="Z28">
        <v>88</v>
      </c>
    </row>
    <row r="29" spans="4:26" x14ac:dyDescent="0.25">
      <c r="D29" s="10" t="s">
        <v>1370</v>
      </c>
      <c r="E29" s="10"/>
      <c r="F29" s="11"/>
      <c r="G29" s="10">
        <v>2</v>
      </c>
      <c r="H29" s="10">
        <v>14</v>
      </c>
      <c r="I29" s="1" t="str">
        <f t="shared" si="0"/>
        <v>MUSIC</v>
      </c>
      <c r="J29" s="1" t="str">
        <f t="shared" si="0"/>
        <v>Inner White Outer Red</v>
      </c>
      <c r="K29" s="1" t="str">
        <f t="shared" si="0"/>
        <v>Energetic Pulse</v>
      </c>
      <c r="L29" s="1">
        <f t="shared" si="3"/>
        <v>70</v>
      </c>
      <c r="M29" s="9" t="str">
        <f t="shared" si="4"/>
        <v>Valentijns en verlovingsdag</v>
      </c>
      <c r="N29" s="9"/>
      <c r="O29" s="9"/>
      <c r="P29" s="9"/>
      <c r="Q29" s="9"/>
      <c r="S29" s="1"/>
      <c r="U29" s="2"/>
      <c r="V29" s="3"/>
      <c r="W29" s="3" t="s">
        <v>58</v>
      </c>
      <c r="X29" s="3" t="s">
        <v>149</v>
      </c>
      <c r="Y29" s="3" t="s">
        <v>1411</v>
      </c>
      <c r="Z29">
        <v>88</v>
      </c>
    </row>
    <row r="30" spans="4:26" x14ac:dyDescent="0.25">
      <c r="D30" s="10" t="s">
        <v>1368</v>
      </c>
      <c r="E30" s="10"/>
      <c r="F30" s="11"/>
      <c r="G30" s="10">
        <v>6</v>
      </c>
      <c r="H30" s="10">
        <v>24</v>
      </c>
      <c r="I30" s="1" t="str">
        <f t="shared" si="0"/>
        <v>MUSIC</v>
      </c>
      <c r="J30" s="1" t="str">
        <f t="shared" si="0"/>
        <v>Sunny Yellow</v>
      </c>
      <c r="K30" s="1" t="str">
        <f t="shared" si="0"/>
        <v>Polar Lights</v>
      </c>
      <c r="L30" s="1">
        <f t="shared" si="3"/>
        <v>61</v>
      </c>
      <c r="M30" s="9" t="str">
        <f t="shared" si="4"/>
        <v>SintJan</v>
      </c>
      <c r="N30" s="9"/>
      <c r="O30" s="9"/>
      <c r="P30" s="9"/>
      <c r="Q30" s="9"/>
      <c r="S30" s="1"/>
      <c r="U30" s="2"/>
      <c r="V30" s="3"/>
      <c r="W30" s="3" t="s">
        <v>58</v>
      </c>
      <c r="X30" s="3" t="s">
        <v>149</v>
      </c>
      <c r="Y30" s="3" t="s">
        <v>1411</v>
      </c>
      <c r="Z30">
        <v>88</v>
      </c>
    </row>
    <row r="31" spans="4:26" x14ac:dyDescent="0.25">
      <c r="D31" s="10" t="s">
        <v>1366</v>
      </c>
      <c r="E31" s="10"/>
      <c r="F31" s="11"/>
      <c r="G31" s="10">
        <v>12</v>
      </c>
      <c r="H31" s="10">
        <v>28</v>
      </c>
      <c r="I31" s="1" t="str">
        <f t="shared" si="0"/>
        <v>GUITAR</v>
      </c>
      <c r="J31" s="1" t="str">
        <f t="shared" si="0"/>
        <v>Crimson Red</v>
      </c>
      <c r="K31" s="1" t="str">
        <f t="shared" si="0"/>
        <v>Dancing Embers</v>
      </c>
      <c r="L31" s="1">
        <f t="shared" si="3"/>
        <v>77</v>
      </c>
      <c r="M31" s="9" t="str">
        <f t="shared" si="4"/>
        <v>Onnozele Kinderen</v>
      </c>
      <c r="N31" s="9"/>
      <c r="O31" s="9"/>
      <c r="P31" s="9"/>
      <c r="Q31" s="9"/>
      <c r="S31" s="1"/>
      <c r="U31" s="1"/>
    </row>
    <row r="32" spans="4:26" x14ac:dyDescent="0.25">
      <c r="D32" s="10" t="s">
        <v>1363</v>
      </c>
      <c r="E32" s="10"/>
      <c r="F32" s="11"/>
      <c r="G32" s="10">
        <v>5</v>
      </c>
      <c r="H32" s="10">
        <v>4</v>
      </c>
      <c r="I32" s="1" t="str">
        <f t="shared" si="0"/>
        <v>SAD</v>
      </c>
      <c r="J32" s="1" t="str">
        <f>IF($D32="","",VLOOKUP($D32,$U$5:$AE$30,J$4,0))</f>
        <v>Sunrise Pink</v>
      </c>
      <c r="K32" s="1" t="str">
        <f t="shared" si="0"/>
        <v>Slow Breathing</v>
      </c>
      <c r="L32" s="1">
        <f t="shared" si="3"/>
        <v>102</v>
      </c>
      <c r="M32" s="9" t="str">
        <f t="shared" si="4"/>
        <v>Dodenherdenking</v>
      </c>
      <c r="N32" s="9"/>
      <c r="O32" s="9"/>
      <c r="P32" s="9"/>
      <c r="Q32" s="9"/>
      <c r="S32" s="1"/>
      <c r="U32" s="1"/>
    </row>
    <row r="33" spans="4:21" x14ac:dyDescent="0.25">
      <c r="D33" s="10" t="s">
        <v>110</v>
      </c>
      <c r="E33" s="10"/>
      <c r="F33" s="11"/>
      <c r="G33" s="10"/>
      <c r="H33" s="10"/>
      <c r="I33" s="1" t="str">
        <f t="shared" si="0"/>
        <v>SATIE</v>
      </c>
      <c r="J33" s="1" t="str">
        <f t="shared" si="0"/>
        <v>Cool Ocean</v>
      </c>
      <c r="K33" s="1" t="str">
        <f t="shared" si="0"/>
        <v>Dancing Embers</v>
      </c>
      <c r="L33" s="1">
        <f t="shared" si="3"/>
        <v>114</v>
      </c>
      <c r="M33" s="9" t="str">
        <f t="shared" si="4"/>
        <v xml:space="preserve"> </v>
      </c>
      <c r="N33" s="9"/>
      <c r="O33" s="9"/>
      <c r="P33" s="9"/>
      <c r="Q33" s="9"/>
      <c r="S33" s="1"/>
      <c r="U33" s="1"/>
    </row>
    <row r="34" spans="4:21" x14ac:dyDescent="0.25">
      <c r="D34" s="10" t="s">
        <v>110</v>
      </c>
      <c r="E34" s="10"/>
      <c r="F34" s="11"/>
      <c r="G34" s="10"/>
      <c r="H34" s="10"/>
      <c r="I34" s="1" t="str">
        <f t="shared" si="0"/>
        <v>SATIE</v>
      </c>
      <c r="J34" s="1" t="str">
        <f t="shared" si="0"/>
        <v>Cool Ocean</v>
      </c>
      <c r="K34" s="1" t="str">
        <f t="shared" si="0"/>
        <v>Dancing Embers</v>
      </c>
      <c r="L34" s="1">
        <f t="shared" si="3"/>
        <v>101</v>
      </c>
      <c r="M34" s="9" t="str">
        <f t="shared" si="4"/>
        <v xml:space="preserve"> </v>
      </c>
      <c r="N34" s="9"/>
      <c r="O34" s="9"/>
      <c r="P34" s="9"/>
      <c r="Q34" s="9"/>
      <c r="S34" s="1"/>
      <c r="U34" s="1"/>
    </row>
    <row r="35" spans="4:21" x14ac:dyDescent="0.25">
      <c r="D35" s="10" t="s">
        <v>110</v>
      </c>
      <c r="E35" s="10"/>
      <c r="F35" s="11"/>
      <c r="G35" s="10"/>
      <c r="H35" s="10"/>
      <c r="I35" s="1" t="str">
        <f t="shared" si="0"/>
        <v>SATIE</v>
      </c>
      <c r="J35" s="1" t="str">
        <f t="shared" si="0"/>
        <v>Cool Ocean</v>
      </c>
      <c r="K35" s="1" t="str">
        <f t="shared" si="0"/>
        <v>Dancing Embers</v>
      </c>
      <c r="L35" s="1">
        <f t="shared" si="3"/>
        <v>76</v>
      </c>
      <c r="M35" s="9" t="str">
        <f t="shared" si="4"/>
        <v xml:space="preserve"> </v>
      </c>
      <c r="N35" s="9"/>
      <c r="O35" s="9"/>
      <c r="P35" s="9"/>
      <c r="Q35" s="9"/>
      <c r="S35" s="1"/>
      <c r="U35" s="1"/>
    </row>
    <row r="143" spans="6:21" x14ac:dyDescent="0.25">
      <c r="F143" s="1"/>
      <c r="G143" s="1"/>
      <c r="H143" s="1"/>
      <c r="J143" s="1"/>
      <c r="U143" s="1"/>
    </row>
    <row r="144" spans="6:21" x14ac:dyDescent="0.25">
      <c r="F144" s="1"/>
      <c r="G144" s="1"/>
      <c r="H144" s="1"/>
      <c r="U144" s="1"/>
    </row>
    <row r="145" spans="6:21" x14ac:dyDescent="0.25">
      <c r="F145" s="1"/>
      <c r="G145" s="1"/>
      <c r="H145" s="1"/>
      <c r="U145" s="1"/>
    </row>
    <row r="146" spans="6:21" x14ac:dyDescent="0.25">
      <c r="F146" s="1"/>
      <c r="G146" s="1"/>
      <c r="H146" s="1"/>
      <c r="U146" s="1"/>
    </row>
    <row r="147" spans="6:21" x14ac:dyDescent="0.25">
      <c r="F147" s="1"/>
      <c r="G147" s="1"/>
      <c r="H147" s="1"/>
      <c r="U147" s="1"/>
    </row>
    <row r="148" spans="6:21" x14ac:dyDescent="0.25">
      <c r="F148" s="1"/>
      <c r="G148" s="1"/>
      <c r="H148" s="1"/>
      <c r="U148" s="1"/>
    </row>
    <row r="149" spans="6:21" x14ac:dyDescent="0.25">
      <c r="U149" s="1"/>
    </row>
    <row r="150" spans="6:21" x14ac:dyDescent="0.25">
      <c r="U150" s="1"/>
    </row>
    <row r="151" spans="6:21" x14ac:dyDescent="0.25">
      <c r="U151" s="1"/>
    </row>
    <row r="152" spans="6:21" x14ac:dyDescent="0.25">
      <c r="U152" s="1"/>
    </row>
    <row r="153" spans="6:21" x14ac:dyDescent="0.25">
      <c r="U153" s="1"/>
    </row>
    <row r="154" spans="6:21" x14ac:dyDescent="0.25">
      <c r="U154" s="1"/>
    </row>
    <row r="155" spans="6:21" x14ac:dyDescent="0.25">
      <c r="U155" s="1"/>
    </row>
    <row r="156" spans="6:21" x14ac:dyDescent="0.25">
      <c r="U156" s="1"/>
    </row>
    <row r="157" spans="6:21" x14ac:dyDescent="0.25">
      <c r="U157" s="1"/>
    </row>
    <row r="158" spans="6:21" x14ac:dyDescent="0.25">
      <c r="U158" s="1"/>
    </row>
    <row r="159" spans="6:21" x14ac:dyDescent="0.25">
      <c r="U159" s="1"/>
    </row>
    <row r="160" spans="6:21" x14ac:dyDescent="0.25">
      <c r="U160" s="1"/>
    </row>
  </sheetData>
  <dataValidations count="1">
    <dataValidation type="list" allowBlank="1" showInputMessage="1" showErrorMessage="1" sqref="D7:D35" xr:uid="{1815FCB1-CFC9-4E30-993C-B87CF9E04A5C}">
      <formula1>$U$5:$U$20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E29D0-1CDB-427B-9D7E-65B94F6D3819}">
          <x14:formula1>
            <xm:f>theme_boxes!$B$2:$B$71</xm:f>
          </x14:formula1>
          <xm:sqref>W5:W30</xm:sqref>
        </x14:dataValidation>
        <x14:dataValidation type="list" allowBlank="1" showInputMessage="1" showErrorMessage="1" xr:uid="{C0587C1D-B1D0-4D3E-BD63-22E1204E7B06}">
          <x14:formula1>
            <xm:f>light_patterns!$B$2:$B$60</xm:f>
          </x14:formula1>
          <xm:sqref>Y5:Y30</xm:sqref>
        </x14:dataValidation>
        <x14:dataValidation type="list" allowBlank="1" showInputMessage="1" showErrorMessage="1" xr:uid="{0A64A31B-43CB-4259-AB8E-695753596AE4}">
          <x14:formula1>
            <xm:f>light_colors!$B$2:$B$61</xm:f>
          </x14:formula1>
          <xm:sqref>X5:X30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4BF7-20D3-4F0F-899C-BCED1660A8C9}">
  <sheetPr codeName="Sheet3">
    <tabColor rgb="FFFF0000"/>
  </sheetPr>
  <dimension ref="B1:AQ478"/>
  <sheetViews>
    <sheetView topLeftCell="Y7" workbookViewId="0">
      <selection activeCell="AM21" sqref="AM21"/>
    </sheetView>
  </sheetViews>
  <sheetFormatPr defaultRowHeight="15" x14ac:dyDescent="0.25"/>
  <cols>
    <col min="2" max="4" width="5.42578125" customWidth="1"/>
    <col min="5" max="5" width="8.28515625" customWidth="1"/>
    <col min="6" max="8" width="5.42578125" customWidth="1"/>
    <col min="9" max="9" width="13.42578125" customWidth="1"/>
    <col min="10" max="11" width="9.5703125" customWidth="1"/>
    <col min="12" max="15" width="6.42578125" customWidth="1"/>
    <col min="16" max="16" width="13.140625" customWidth="1"/>
    <col min="17" max="17" width="6.85546875" customWidth="1"/>
    <col min="18" max="18" width="6.42578125" customWidth="1"/>
    <col min="19" max="19" width="24.140625" customWidth="1"/>
    <col min="21" max="21" width="10.7109375" bestFit="1" customWidth="1"/>
    <col min="35" max="35" width="5" bestFit="1" customWidth="1"/>
    <col min="36" max="36" width="7" bestFit="1" customWidth="1"/>
    <col min="37" max="37" width="4.28515625" bestFit="1" customWidth="1"/>
    <col min="38" max="38" width="9.140625" bestFit="1" customWidth="1"/>
    <col min="39" max="39" width="21.42578125" bestFit="1" customWidth="1"/>
    <col min="40" max="40" width="15.140625" bestFit="1" customWidth="1"/>
    <col min="41" max="41" width="7.85546875" style="1" bestFit="1" customWidth="1"/>
    <col min="42" max="42" width="63.42578125" bestFit="1" customWidth="1"/>
  </cols>
  <sheetData>
    <row r="1" spans="2:43" x14ac:dyDescent="0.25">
      <c r="B1" s="6" t="s">
        <v>95</v>
      </c>
      <c r="C1" s="6"/>
      <c r="D1" s="6"/>
      <c r="E1" s="6"/>
      <c r="F1" s="6"/>
      <c r="G1" s="6"/>
      <c r="H1" s="6"/>
      <c r="I1" s="6"/>
      <c r="J1" s="6"/>
      <c r="K1" s="6"/>
      <c r="L1" s="7" t="s">
        <v>94</v>
      </c>
      <c r="M1" s="7"/>
      <c r="N1" s="7"/>
      <c r="O1" s="7"/>
      <c r="P1" s="7"/>
      <c r="Q1" s="7"/>
      <c r="R1" s="7"/>
      <c r="S1" s="7"/>
      <c r="AO1"/>
    </row>
    <row r="2" spans="2:43" x14ac:dyDescent="0.25">
      <c r="B2" s="12" t="s">
        <v>60</v>
      </c>
      <c r="C2" s="12" t="s">
        <v>61</v>
      </c>
      <c r="D2" s="12" t="s">
        <v>62</v>
      </c>
      <c r="E2" s="12" t="s">
        <v>96</v>
      </c>
      <c r="F2" s="12" t="s">
        <v>108</v>
      </c>
      <c r="G2" s="12" t="s">
        <v>98</v>
      </c>
      <c r="H2" s="12" t="s">
        <v>109</v>
      </c>
      <c r="I2" s="12" t="s">
        <v>6</v>
      </c>
      <c r="J2" s="12"/>
      <c r="K2" s="12" t="s">
        <v>60</v>
      </c>
      <c r="L2" s="13" t="s">
        <v>61</v>
      </c>
      <c r="M2" s="13" t="s">
        <v>62</v>
      </c>
      <c r="N2" s="13" t="s">
        <v>96</v>
      </c>
      <c r="O2" s="13" t="s">
        <v>108</v>
      </c>
      <c r="P2" s="13" t="s">
        <v>98</v>
      </c>
      <c r="Q2" s="13" t="s">
        <v>109</v>
      </c>
      <c r="R2" s="13" t="s">
        <v>6</v>
      </c>
      <c r="S2" s="13"/>
    </row>
    <row r="3" spans="2:43" x14ac:dyDescent="0.25">
      <c r="B3" s="6">
        <f t="shared" ref="B3:I12" ca="1" si="0">OFFSET(INDIRECT($B$1),ROW(A1),COLUMN(A1))</f>
        <v>2026</v>
      </c>
      <c r="C3" s="6">
        <f t="shared" ca="1" si="0"/>
        <v>4</v>
      </c>
      <c r="D3" s="6">
        <f t="shared" ca="1" si="0"/>
        <v>5</v>
      </c>
      <c r="E3" s="6" t="str">
        <f t="shared" ca="1" si="0"/>
        <v>SATIE</v>
      </c>
      <c r="F3" s="6" t="str">
        <f t="shared" ca="1" si="0"/>
        <v>Sunny Yellow</v>
      </c>
      <c r="G3" s="6" t="str">
        <f t="shared" ca="1" si="0"/>
        <v>Gentle Waves</v>
      </c>
      <c r="H3" s="6">
        <f t="shared" ca="1" si="0"/>
        <v>90</v>
      </c>
      <c r="I3" s="6" t="str">
        <f t="shared" ca="1" si="0"/>
        <v>Vrolijk Pasen</v>
      </c>
      <c r="J3" s="6"/>
      <c r="K3" s="7">
        <v>0</v>
      </c>
      <c r="L3" s="7">
        <f t="shared" ref="L3:R3" ca="1" si="1">OFFSET(INDIRECT($L$1),ROW(B1),COLUMN(B1))</f>
        <v>10</v>
      </c>
      <c r="M3" s="7">
        <f t="shared" ca="1" si="1"/>
        <v>8</v>
      </c>
      <c r="N3" s="7" t="str">
        <f t="shared" ca="1" si="1"/>
        <v>JARIG</v>
      </c>
      <c r="O3" s="7" t="str">
        <f t="shared" ca="1" si="1"/>
        <v>Citrus Orange</v>
      </c>
      <c r="P3" s="7" t="str">
        <f t="shared" ca="1" si="1"/>
        <v>Rapid Sparks</v>
      </c>
      <c r="Q3" s="7">
        <f t="shared" ca="1" si="1"/>
        <v>105</v>
      </c>
      <c r="R3" s="7" t="str">
        <f t="shared" ca="1" si="1"/>
        <v>Hartelijk gefeliciteerd,  Jan</v>
      </c>
      <c r="S3" s="7"/>
      <c r="U3" s="5">
        <f ca="1">NOW()</f>
        <v>46093.662929050923</v>
      </c>
      <c r="V3">
        <f ca="1">YEAR(U3)</f>
        <v>2026</v>
      </c>
      <c r="W3">
        <f ca="1">MONTH(U3)</f>
        <v>3</v>
      </c>
      <c r="X3">
        <f ca="1">DAY(U3)</f>
        <v>12</v>
      </c>
      <c r="Z3" t="b">
        <f ca="1">AND(V3=B3,W3=C3,X3=D3)</f>
        <v>0</v>
      </c>
      <c r="AA3" t="b">
        <f ca="1">AND(W3=L3,X3=M3)</f>
        <v>0</v>
      </c>
      <c r="AI3" s="12" t="s">
        <v>113</v>
      </c>
      <c r="AJ3" s="12" t="s">
        <v>114</v>
      </c>
      <c r="AK3" s="12" t="s">
        <v>115</v>
      </c>
      <c r="AL3" s="12" t="s">
        <v>116</v>
      </c>
      <c r="AM3" s="12" t="s">
        <v>117</v>
      </c>
      <c r="AN3" s="12" t="s">
        <v>118</v>
      </c>
      <c r="AO3" s="25" t="s">
        <v>119</v>
      </c>
      <c r="AP3" s="12" t="s">
        <v>120</v>
      </c>
    </row>
    <row r="4" spans="2:43" x14ac:dyDescent="0.25">
      <c r="B4" s="6">
        <f t="shared" ca="1" si="0"/>
        <v>2027</v>
      </c>
      <c r="C4" s="6">
        <f t="shared" ca="1" si="0"/>
        <v>3</v>
      </c>
      <c r="D4" s="6">
        <f t="shared" ca="1" si="0"/>
        <v>28</v>
      </c>
      <c r="E4" s="6" t="str">
        <f t="shared" ca="1" si="0"/>
        <v>SATIE</v>
      </c>
      <c r="F4" s="6" t="str">
        <f t="shared" ca="1" si="0"/>
        <v>Sunny Yellow</v>
      </c>
      <c r="G4" s="6" t="str">
        <f t="shared" ref="G4:G67" ca="1" si="2">OFFSET(INDIRECT($B$1),ROW(F2),COLUMN(F2))</f>
        <v>Gentle Waves</v>
      </c>
      <c r="H4" s="6">
        <f t="shared" ref="H4:H67" ca="1" si="3">OFFSET(INDIRECT($B$1),ROW(G2),COLUMN(G2))</f>
        <v>95</v>
      </c>
      <c r="I4" s="6" t="str">
        <f t="shared" ref="I4:I67" ca="1" si="4">OFFSET(INDIRECT($B$1),ROW(H2),COLUMN(H2))</f>
        <v>Vrolijk Pasen, zoek de eitjes</v>
      </c>
      <c r="J4" s="6"/>
      <c r="K4" s="7">
        <v>0</v>
      </c>
      <c r="L4" s="7">
        <f t="shared" ref="L4:L67" ca="1" si="5">OFFSET(INDIRECT($L$1),ROW(B2),COLUMN(B2))</f>
        <v>12</v>
      </c>
      <c r="M4" s="7">
        <f t="shared" ref="M4:M67" ca="1" si="6">OFFSET(INDIRECT($L$1),ROW(C2),COLUMN(C2))</f>
        <v>13</v>
      </c>
      <c r="N4" s="7" t="str">
        <f t="shared" ref="N4:N67" ca="1" si="7">OFFSET(INDIRECT($L$1),ROW(D2),COLUMN(D2))</f>
        <v>JARIG</v>
      </c>
      <c r="O4" s="7" t="str">
        <f t="shared" ref="O4:O67" ca="1" si="8">OFFSET(INDIRECT($L$1),ROW(E2),COLUMN(E2))</f>
        <v>Citrus Orange</v>
      </c>
      <c r="P4" s="7" t="str">
        <f t="shared" ref="P4:P67" ca="1" si="9">OFFSET(INDIRECT($L$1),ROW(F2),COLUMN(F2))</f>
        <v>Rapid Sparks</v>
      </c>
      <c r="Q4" s="7">
        <f t="shared" ref="Q4:Q67" ca="1" si="10">OFFSET(INDIRECT($L$1),ROW(G2),COLUMN(G2))</f>
        <v>114</v>
      </c>
      <c r="R4" s="7" t="str">
        <f t="shared" ref="R4:R67" ca="1" si="11">OFFSET(INDIRECT($L$1),ROW(H2),COLUMN(H2))</f>
        <v>Hartelijk gefeliciteerd,  lieve Marit</v>
      </c>
      <c r="S4" s="7"/>
      <c r="U4" s="5">
        <f ca="1">U3+1</f>
        <v>46094.662929050923</v>
      </c>
      <c r="V4">
        <f t="shared" ref="V4:V67" ca="1" si="12">YEAR(U4)</f>
        <v>2026</v>
      </c>
      <c r="W4">
        <f t="shared" ref="W4:W67" ca="1" si="13">MONTH(U4)</f>
        <v>3</v>
      </c>
      <c r="X4">
        <f t="shared" ref="X4:X67" ca="1" si="14">DAY(U4)</f>
        <v>13</v>
      </c>
      <c r="Z4" t="b">
        <f t="shared" ref="Z4:Z67" ca="1" si="15">AND(V4=B4,W4=C4,X4=D4)</f>
        <v>0</v>
      </c>
      <c r="AA4" t="b">
        <f t="shared" ref="AA4:AA67" ca="1" si="16">AND(W4=M4,X4=N4)</f>
        <v>0</v>
      </c>
      <c r="AI4">
        <v>2026</v>
      </c>
      <c r="AJ4">
        <v>1</v>
      </c>
      <c r="AK4">
        <v>1</v>
      </c>
      <c r="AL4" t="s">
        <v>93</v>
      </c>
      <c r="AM4" t="s">
        <v>256</v>
      </c>
      <c r="AN4" t="s">
        <v>83</v>
      </c>
      <c r="AO4" s="1">
        <v>77</v>
      </c>
      <c r="AP4" t="s">
        <v>8</v>
      </c>
    </row>
    <row r="5" spans="2:43" x14ac:dyDescent="0.25">
      <c r="B5" s="6">
        <f t="shared" ca="1" si="0"/>
        <v>2028</v>
      </c>
      <c r="C5" s="6">
        <f t="shared" ca="1" si="0"/>
        <v>4</v>
      </c>
      <c r="D5" s="6">
        <f t="shared" ca="1" si="0"/>
        <v>16</v>
      </c>
      <c r="E5" s="6" t="str">
        <f t="shared" ca="1" si="0"/>
        <v>SATIE</v>
      </c>
      <c r="F5" s="6" t="str">
        <f t="shared" ca="1" si="0"/>
        <v>Sunny Yellow</v>
      </c>
      <c r="G5" s="6" t="str">
        <f t="shared" ca="1" si="2"/>
        <v>Gentle Waves</v>
      </c>
      <c r="H5" s="6">
        <f t="shared" ca="1" si="3"/>
        <v>86</v>
      </c>
      <c r="I5" s="6" t="str">
        <f t="shared" ca="1" si="4"/>
        <v>Vrolijk Pasen</v>
      </c>
      <c r="J5" s="6"/>
      <c r="K5" s="7">
        <v>0</v>
      </c>
      <c r="L5" s="7">
        <f t="shared" ca="1" si="5"/>
        <v>4</v>
      </c>
      <c r="M5" s="7">
        <f t="shared" ca="1" si="6"/>
        <v>30</v>
      </c>
      <c r="N5" s="7" t="str">
        <f t="shared" ca="1" si="7"/>
        <v>JARIG</v>
      </c>
      <c r="O5" s="7" t="str">
        <f t="shared" ca="1" si="8"/>
        <v>Citrus Orange</v>
      </c>
      <c r="P5" s="7" t="str">
        <f t="shared" ca="1" si="9"/>
        <v>Rapid Sparks</v>
      </c>
      <c r="Q5" s="7">
        <f t="shared" ca="1" si="10"/>
        <v>98</v>
      </c>
      <c r="R5" s="7" t="str">
        <f t="shared" ca="1" si="11"/>
        <v>Hartelijk gefeliciteerd,  Paul</v>
      </c>
      <c r="S5" s="7"/>
      <c r="U5" s="5">
        <f t="shared" ref="U5:U68" ca="1" si="17">U4+1</f>
        <v>46095.662929050923</v>
      </c>
      <c r="V5">
        <f t="shared" ca="1" si="12"/>
        <v>2026</v>
      </c>
      <c r="W5">
        <f t="shared" ca="1" si="13"/>
        <v>3</v>
      </c>
      <c r="X5">
        <f t="shared" ca="1" si="14"/>
        <v>14</v>
      </c>
      <c r="Z5" t="b">
        <f t="shared" ca="1" si="15"/>
        <v>0</v>
      </c>
      <c r="AA5" t="b">
        <f t="shared" ca="1" si="16"/>
        <v>0</v>
      </c>
      <c r="AI5">
        <v>2026</v>
      </c>
      <c r="AJ5">
        <v>2</v>
      </c>
      <c r="AK5">
        <v>1</v>
      </c>
      <c r="AL5" t="s">
        <v>91</v>
      </c>
      <c r="AM5" t="s">
        <v>164</v>
      </c>
      <c r="AN5" t="s">
        <v>85</v>
      </c>
      <c r="AO5" s="1">
        <v>249</v>
      </c>
      <c r="AP5" t="s">
        <v>1487</v>
      </c>
      <c r="AQ5" t="s">
        <v>110</v>
      </c>
    </row>
    <row r="6" spans="2:43" x14ac:dyDescent="0.25">
      <c r="B6" s="6">
        <f t="shared" ca="1" si="0"/>
        <v>2029</v>
      </c>
      <c r="C6" s="6">
        <f t="shared" ca="1" si="0"/>
        <v>4</v>
      </c>
      <c r="D6" s="6">
        <f t="shared" ca="1" si="0"/>
        <v>1</v>
      </c>
      <c r="E6" s="6" t="str">
        <f t="shared" ca="1" si="0"/>
        <v>SATIE</v>
      </c>
      <c r="F6" s="6" t="str">
        <f t="shared" ca="1" si="0"/>
        <v>Sunny Yellow</v>
      </c>
      <c r="G6" s="6" t="str">
        <f t="shared" ca="1" si="2"/>
        <v>Gentle Waves</v>
      </c>
      <c r="H6" s="6">
        <f t="shared" ca="1" si="3"/>
        <v>71</v>
      </c>
      <c r="I6" s="6" t="str">
        <f t="shared" ca="1" si="4"/>
        <v>Vrolijk Pasen</v>
      </c>
      <c r="J6" s="6"/>
      <c r="K6" s="7">
        <v>0</v>
      </c>
      <c r="L6" s="7">
        <f t="shared" ca="1" si="5"/>
        <v>3</v>
      </c>
      <c r="M6" s="7">
        <f t="shared" ca="1" si="6"/>
        <v>21</v>
      </c>
      <c r="N6" s="7" t="str">
        <f t="shared" ca="1" si="7"/>
        <v>JARIG</v>
      </c>
      <c r="O6" s="7" t="str">
        <f t="shared" ca="1" si="8"/>
        <v>Citrus Orange</v>
      </c>
      <c r="P6" s="7" t="str">
        <f t="shared" ca="1" si="9"/>
        <v>Rapid Sparks</v>
      </c>
      <c r="Q6" s="7">
        <f t="shared" ca="1" si="10"/>
        <v>73</v>
      </c>
      <c r="R6" s="7" t="str">
        <f t="shared" ca="1" si="11"/>
        <v>Hartelijk gefeliciteerd,  Thomas</v>
      </c>
      <c r="S6" s="7"/>
      <c r="U6" s="5">
        <f t="shared" ca="1" si="17"/>
        <v>46096.662929050923</v>
      </c>
      <c r="V6">
        <f t="shared" ca="1" si="12"/>
        <v>2026</v>
      </c>
      <c r="W6">
        <f t="shared" ca="1" si="13"/>
        <v>3</v>
      </c>
      <c r="X6">
        <f t="shared" ca="1" si="14"/>
        <v>15</v>
      </c>
      <c r="Z6" t="b">
        <f t="shared" ca="1" si="15"/>
        <v>0</v>
      </c>
      <c r="AA6" t="b">
        <f t="shared" ca="1" si="16"/>
        <v>0</v>
      </c>
      <c r="AI6">
        <v>2026</v>
      </c>
      <c r="AJ6">
        <v>2</v>
      </c>
      <c r="AK6">
        <v>14</v>
      </c>
      <c r="AL6" t="s">
        <v>93</v>
      </c>
      <c r="AM6" t="s">
        <v>1392</v>
      </c>
      <c r="AN6" t="s">
        <v>258</v>
      </c>
      <c r="AO6" s="1">
        <v>70</v>
      </c>
      <c r="AP6" t="s">
        <v>1371</v>
      </c>
    </row>
    <row r="7" spans="2:43" x14ac:dyDescent="0.25">
      <c r="B7" s="6">
        <f t="shared" ca="1" si="0"/>
        <v>2030</v>
      </c>
      <c r="C7" s="6">
        <f t="shared" ca="1" si="0"/>
        <v>4</v>
      </c>
      <c r="D7" s="6">
        <f t="shared" ca="1" si="0"/>
        <v>21</v>
      </c>
      <c r="E7" s="6" t="str">
        <f t="shared" ca="1" si="0"/>
        <v>SATIE</v>
      </c>
      <c r="F7" s="6" t="str">
        <f t="shared" ca="1" si="0"/>
        <v>Sunny Yellow</v>
      </c>
      <c r="G7" s="6" t="str">
        <f t="shared" ca="1" si="2"/>
        <v>Gentle Waves</v>
      </c>
      <c r="H7" s="6">
        <f t="shared" ca="1" si="3"/>
        <v>64</v>
      </c>
      <c r="I7" s="6" t="str">
        <f t="shared" ca="1" si="4"/>
        <v>Vrolijk Pasen, waar is de paashaas??</v>
      </c>
      <c r="J7" s="6"/>
      <c r="K7" s="7">
        <v>0</v>
      </c>
      <c r="L7" s="7">
        <f t="shared" ca="1" si="5"/>
        <v>1</v>
      </c>
      <c r="M7" s="7">
        <f t="shared" ca="1" si="6"/>
        <v>1</v>
      </c>
      <c r="N7" s="7" t="str">
        <f t="shared" ca="1" si="7"/>
        <v>MUSIC</v>
      </c>
      <c r="O7" s="7" t="str">
        <f t="shared" ca="1" si="8"/>
        <v>Ice White</v>
      </c>
      <c r="P7" s="7" t="str">
        <f t="shared" ca="1" si="9"/>
        <v>Slow Breathing</v>
      </c>
      <c r="Q7" s="7">
        <f t="shared" ca="1" si="10"/>
        <v>77</v>
      </c>
      <c r="R7" s="7" t="str">
        <f t="shared" ca="1" si="11"/>
        <v>Gelukkig Nieuwjaar</v>
      </c>
      <c r="S7" s="7"/>
      <c r="U7" s="5">
        <f t="shared" ca="1" si="17"/>
        <v>46097.662929050923</v>
      </c>
      <c r="V7">
        <f t="shared" ca="1" si="12"/>
        <v>2026</v>
      </c>
      <c r="W7">
        <f t="shared" ca="1" si="13"/>
        <v>3</v>
      </c>
      <c r="X7">
        <f t="shared" ca="1" si="14"/>
        <v>16</v>
      </c>
      <c r="Z7" t="b">
        <f t="shared" ca="1" si="15"/>
        <v>0</v>
      </c>
      <c r="AA7" t="b">
        <f t="shared" ca="1" si="16"/>
        <v>0</v>
      </c>
      <c r="AI7">
        <v>2026</v>
      </c>
      <c r="AJ7">
        <v>2</v>
      </c>
      <c r="AK7">
        <v>15</v>
      </c>
      <c r="AL7" t="s">
        <v>93</v>
      </c>
      <c r="AM7" t="s">
        <v>164</v>
      </c>
      <c r="AN7" t="s">
        <v>84</v>
      </c>
      <c r="AO7" s="1">
        <v>95</v>
      </c>
      <c r="AP7" t="s">
        <v>1488</v>
      </c>
    </row>
    <row r="8" spans="2:43" x14ac:dyDescent="0.25">
      <c r="B8" s="6">
        <f t="shared" ca="1" si="0"/>
        <v>2031</v>
      </c>
      <c r="C8" s="6">
        <f t="shared" ca="1" si="0"/>
        <v>4</v>
      </c>
      <c r="D8" s="6">
        <f t="shared" ca="1" si="0"/>
        <v>13</v>
      </c>
      <c r="E8" s="6" t="str">
        <f t="shared" ca="1" si="0"/>
        <v>SATIE</v>
      </c>
      <c r="F8" s="6" t="str">
        <f t="shared" ca="1" si="0"/>
        <v>Sunny Yellow</v>
      </c>
      <c r="G8" s="6" t="str">
        <f t="shared" ca="1" si="2"/>
        <v>Gentle Waves</v>
      </c>
      <c r="H8" s="6">
        <f t="shared" ca="1" si="3"/>
        <v>71</v>
      </c>
      <c r="I8" s="6" t="str">
        <f t="shared" ca="1" si="4"/>
        <v>Vrolijk Pasen</v>
      </c>
      <c r="J8" s="6"/>
      <c r="K8" s="7">
        <v>0</v>
      </c>
      <c r="L8" s="7">
        <f t="shared" ca="1" si="5"/>
        <v>5</v>
      </c>
      <c r="M8" s="7">
        <f t="shared" ca="1" si="6"/>
        <v>10</v>
      </c>
      <c r="N8" s="7" t="str">
        <f t="shared" ca="1" si="7"/>
        <v>JARIG</v>
      </c>
      <c r="O8" s="7" t="str">
        <f t="shared" ca="1" si="8"/>
        <v>Citrus Orange</v>
      </c>
      <c r="P8" s="7" t="str">
        <f t="shared" ca="1" si="9"/>
        <v>Rapid Sparks</v>
      </c>
      <c r="Q8" s="7">
        <f t="shared" ca="1" si="10"/>
        <v>73</v>
      </c>
      <c r="R8" s="7" t="str">
        <f t="shared" ca="1" si="11"/>
        <v>Hartelijk gefeliciteerd,  Gaia</v>
      </c>
      <c r="S8" s="7"/>
      <c r="U8" s="5">
        <f t="shared" ca="1" si="17"/>
        <v>46098.662929050923</v>
      </c>
      <c r="V8">
        <f t="shared" ca="1" si="12"/>
        <v>2026</v>
      </c>
      <c r="W8">
        <f t="shared" ca="1" si="13"/>
        <v>3</v>
      </c>
      <c r="X8">
        <f t="shared" ca="1" si="14"/>
        <v>17</v>
      </c>
      <c r="Z8" t="b">
        <f t="shared" ca="1" si="15"/>
        <v>0</v>
      </c>
      <c r="AA8" t="b">
        <f t="shared" ca="1" si="16"/>
        <v>0</v>
      </c>
      <c r="AI8">
        <v>2026</v>
      </c>
      <c r="AJ8">
        <v>2</v>
      </c>
      <c r="AK8">
        <v>15</v>
      </c>
      <c r="AL8" t="s">
        <v>93</v>
      </c>
      <c r="AM8" t="s">
        <v>164</v>
      </c>
      <c r="AN8" t="s">
        <v>84</v>
      </c>
      <c r="AO8" s="1">
        <v>117</v>
      </c>
      <c r="AP8" t="s">
        <v>1489</v>
      </c>
    </row>
    <row r="9" spans="2:43" x14ac:dyDescent="0.25">
      <c r="B9" s="6">
        <f t="shared" ca="1" si="0"/>
        <v>2032</v>
      </c>
      <c r="C9" s="6">
        <f t="shared" ca="1" si="0"/>
        <v>3</v>
      </c>
      <c r="D9" s="6">
        <f t="shared" ca="1" si="0"/>
        <v>28</v>
      </c>
      <c r="E9" s="6" t="str">
        <f t="shared" ca="1" si="0"/>
        <v>SATIE</v>
      </c>
      <c r="F9" s="6" t="str">
        <f t="shared" ca="1" si="0"/>
        <v>Sunny Yellow</v>
      </c>
      <c r="G9" s="6" t="str">
        <f t="shared" ca="1" si="2"/>
        <v>Gentle Waves</v>
      </c>
      <c r="H9" s="6">
        <f t="shared" ca="1" si="3"/>
        <v>86</v>
      </c>
      <c r="I9" s="6" t="str">
        <f t="shared" ca="1" si="4"/>
        <v>Vrolijk Pasen</v>
      </c>
      <c r="J9" s="6"/>
      <c r="K9" s="7">
        <v>0</v>
      </c>
      <c r="L9" s="7">
        <f t="shared" ca="1" si="5"/>
        <v>2</v>
      </c>
      <c r="M9" s="7">
        <f t="shared" ca="1" si="6"/>
        <v>1</v>
      </c>
      <c r="N9" s="7" t="str">
        <f t="shared" ca="1" si="7"/>
        <v>ALLBIRDS</v>
      </c>
      <c r="O9" s="7" t="str">
        <f t="shared" ca="1" si="8"/>
        <v>Candy Pink</v>
      </c>
      <c r="P9" s="7" t="str">
        <f t="shared" ca="1" si="9"/>
        <v>Wide Sweep</v>
      </c>
      <c r="Q9" s="7">
        <f t="shared" ca="1" si="10"/>
        <v>249</v>
      </c>
      <c r="R9" s="7" t="str">
        <f t="shared" ca="1" si="11"/>
        <v>Eerste van de maand februari</v>
      </c>
      <c r="S9" s="7"/>
      <c r="U9" s="5">
        <f t="shared" ca="1" si="17"/>
        <v>46099.662929050923</v>
      </c>
      <c r="V9">
        <f t="shared" ca="1" si="12"/>
        <v>2026</v>
      </c>
      <c r="W9">
        <f t="shared" ca="1" si="13"/>
        <v>3</v>
      </c>
      <c r="X9">
        <f t="shared" ca="1" si="14"/>
        <v>18</v>
      </c>
      <c r="Z9" t="b">
        <f t="shared" ca="1" si="15"/>
        <v>0</v>
      </c>
      <c r="AA9" t="b">
        <f t="shared" ca="1" si="16"/>
        <v>0</v>
      </c>
      <c r="AI9">
        <v>2026</v>
      </c>
      <c r="AJ9">
        <v>2</v>
      </c>
      <c r="AK9">
        <v>16</v>
      </c>
      <c r="AL9" t="s">
        <v>93</v>
      </c>
      <c r="AM9" t="s">
        <v>164</v>
      </c>
      <c r="AN9" t="s">
        <v>84</v>
      </c>
      <c r="AO9" s="1">
        <v>98</v>
      </c>
      <c r="AP9" t="s">
        <v>1490</v>
      </c>
    </row>
    <row r="10" spans="2:43" x14ac:dyDescent="0.25">
      <c r="B10" s="6">
        <f t="shared" ca="1" si="0"/>
        <v>2033</v>
      </c>
      <c r="C10" s="6">
        <f t="shared" ca="1" si="0"/>
        <v>4</v>
      </c>
      <c r="D10" s="6">
        <f t="shared" ca="1" si="0"/>
        <v>17</v>
      </c>
      <c r="E10" s="6" t="str">
        <f t="shared" ca="1" si="0"/>
        <v>SATIE</v>
      </c>
      <c r="F10" s="6" t="str">
        <f t="shared" ca="1" si="0"/>
        <v>Sunny Yellow</v>
      </c>
      <c r="G10" s="6" t="str">
        <f t="shared" ca="1" si="2"/>
        <v>Gentle Waves</v>
      </c>
      <c r="H10" s="6">
        <f t="shared" ca="1" si="3"/>
        <v>95</v>
      </c>
      <c r="I10" s="6" t="str">
        <f t="shared" ca="1" si="4"/>
        <v>Vrolijk Pasen</v>
      </c>
      <c r="J10" s="6"/>
      <c r="K10" s="7">
        <v>0</v>
      </c>
      <c r="L10" s="7">
        <f t="shared" ca="1" si="5"/>
        <v>3</v>
      </c>
      <c r="M10" s="7">
        <f t="shared" ca="1" si="6"/>
        <v>1</v>
      </c>
      <c r="N10" s="7" t="str">
        <f t="shared" ca="1" si="7"/>
        <v>ALLBIRDS</v>
      </c>
      <c r="O10" s="7" t="str">
        <f t="shared" ca="1" si="8"/>
        <v>Candy Pink</v>
      </c>
      <c r="P10" s="7" t="str">
        <f t="shared" ca="1" si="9"/>
        <v>Wide Sweep</v>
      </c>
      <c r="Q10" s="7">
        <f t="shared" ca="1" si="10"/>
        <v>287</v>
      </c>
      <c r="R10" s="7" t="str">
        <f t="shared" ca="1" si="11"/>
        <v>Eerste van de maand maart</v>
      </c>
      <c r="S10" s="7"/>
      <c r="U10" s="5">
        <f t="shared" ca="1" si="17"/>
        <v>46100.662929050923</v>
      </c>
      <c r="V10">
        <f t="shared" ca="1" si="12"/>
        <v>2026</v>
      </c>
      <c r="W10">
        <f t="shared" ca="1" si="13"/>
        <v>3</v>
      </c>
      <c r="X10">
        <f t="shared" ca="1" si="14"/>
        <v>19</v>
      </c>
      <c r="Z10" t="b">
        <f t="shared" ca="1" si="15"/>
        <v>0</v>
      </c>
      <c r="AA10" t="b">
        <f t="shared" ca="1" si="16"/>
        <v>0</v>
      </c>
      <c r="AI10">
        <v>2026</v>
      </c>
      <c r="AJ10">
        <v>2</v>
      </c>
      <c r="AK10">
        <v>18</v>
      </c>
      <c r="AL10" t="s">
        <v>89</v>
      </c>
      <c r="AM10" t="s">
        <v>204</v>
      </c>
      <c r="AN10" t="s">
        <v>86</v>
      </c>
      <c r="AO10" s="1">
        <v>262</v>
      </c>
      <c r="AP10" t="s">
        <v>121</v>
      </c>
    </row>
    <row r="11" spans="2:43" x14ac:dyDescent="0.25">
      <c r="B11" s="6">
        <f t="shared" ca="1" si="0"/>
        <v>2034</v>
      </c>
      <c r="C11" s="6">
        <f t="shared" ca="1" si="0"/>
        <v>4</v>
      </c>
      <c r="D11" s="6">
        <f t="shared" ca="1" si="0"/>
        <v>9</v>
      </c>
      <c r="E11" s="6" t="str">
        <f t="shared" ca="1" si="0"/>
        <v>SATIE</v>
      </c>
      <c r="F11" s="6" t="str">
        <f t="shared" ca="1" si="0"/>
        <v>Sunny Yellow</v>
      </c>
      <c r="G11" s="6" t="str">
        <f t="shared" ca="1" si="2"/>
        <v>Gentle Waves</v>
      </c>
      <c r="H11" s="6">
        <f t="shared" ca="1" si="3"/>
        <v>90</v>
      </c>
      <c r="I11" s="6" t="str">
        <f t="shared" ca="1" si="4"/>
        <v>Vrolijk Pasen</v>
      </c>
      <c r="J11" s="6"/>
      <c r="K11" s="7">
        <v>0</v>
      </c>
      <c r="L11" s="7">
        <f t="shared" ca="1" si="5"/>
        <v>4</v>
      </c>
      <c r="M11" s="7">
        <f t="shared" ca="1" si="6"/>
        <v>1</v>
      </c>
      <c r="N11" s="7" t="str">
        <f t="shared" ca="1" si="7"/>
        <v>ALLBIRDS</v>
      </c>
      <c r="O11" s="7" t="str">
        <f t="shared" ca="1" si="8"/>
        <v>Candy Pink</v>
      </c>
      <c r="P11" s="7" t="str">
        <f t="shared" ca="1" si="9"/>
        <v>Wide Sweep</v>
      </c>
      <c r="Q11" s="7">
        <f t="shared" ca="1" si="10"/>
        <v>265</v>
      </c>
      <c r="R11" s="7" t="str">
        <f t="shared" ca="1" si="11"/>
        <v>Eerste van de maand april, een april, kikker in je bil!</v>
      </c>
      <c r="S11" s="7"/>
      <c r="U11" s="5">
        <f t="shared" ca="1" si="17"/>
        <v>46101.662929050923</v>
      </c>
      <c r="V11">
        <f t="shared" ca="1" si="12"/>
        <v>2026</v>
      </c>
      <c r="W11">
        <f t="shared" ca="1" si="13"/>
        <v>3</v>
      </c>
      <c r="X11">
        <f t="shared" ca="1" si="14"/>
        <v>20</v>
      </c>
      <c r="Z11" t="b">
        <f t="shared" ca="1" si="15"/>
        <v>0</v>
      </c>
      <c r="AA11" t="b">
        <f t="shared" ca="1" si="16"/>
        <v>0</v>
      </c>
      <c r="AI11">
        <v>2026</v>
      </c>
      <c r="AJ11">
        <v>3</v>
      </c>
      <c r="AK11">
        <v>1</v>
      </c>
      <c r="AL11" t="s">
        <v>91</v>
      </c>
      <c r="AM11" t="s">
        <v>164</v>
      </c>
      <c r="AN11" t="s">
        <v>85</v>
      </c>
      <c r="AO11" s="1">
        <v>287</v>
      </c>
      <c r="AP11" t="s">
        <v>122</v>
      </c>
    </row>
    <row r="12" spans="2:43" x14ac:dyDescent="0.25">
      <c r="B12" s="6">
        <f t="shared" ca="1" si="0"/>
        <v>2035</v>
      </c>
      <c r="C12" s="6">
        <f t="shared" ca="1" si="0"/>
        <v>3</v>
      </c>
      <c r="D12" s="6">
        <f t="shared" ca="1" si="0"/>
        <v>25</v>
      </c>
      <c r="E12" s="6" t="str">
        <f t="shared" ca="1" si="0"/>
        <v>SATIE</v>
      </c>
      <c r="F12" s="6" t="str">
        <f t="shared" ca="1" si="0"/>
        <v>Sunny Yellow</v>
      </c>
      <c r="G12" s="6" t="str">
        <f t="shared" ca="1" si="2"/>
        <v>Gentle Waves</v>
      </c>
      <c r="H12" s="6">
        <f t="shared" ca="1" si="3"/>
        <v>75</v>
      </c>
      <c r="I12" s="6" t="str">
        <f t="shared" ca="1" si="4"/>
        <v>Vrolijk Pasen</v>
      </c>
      <c r="J12" s="6"/>
      <c r="K12" s="7">
        <v>0</v>
      </c>
      <c r="L12" s="7">
        <f t="shared" ca="1" si="5"/>
        <v>5</v>
      </c>
      <c r="M12" s="7">
        <f t="shared" ca="1" si="6"/>
        <v>1</v>
      </c>
      <c r="N12" s="7" t="str">
        <f t="shared" ca="1" si="7"/>
        <v>ALLBIRDS</v>
      </c>
      <c r="O12" s="7" t="str">
        <f t="shared" ca="1" si="8"/>
        <v>Candy Pink</v>
      </c>
      <c r="P12" s="7" t="str">
        <f t="shared" ca="1" si="9"/>
        <v>Wide Sweep</v>
      </c>
      <c r="Q12" s="7">
        <f t="shared" ca="1" si="10"/>
        <v>202</v>
      </c>
      <c r="R12" s="7" t="str">
        <f t="shared" ca="1" si="11"/>
        <v>Eerste van de maand mei- leggen alle vogeltjes een ei</v>
      </c>
      <c r="S12" s="7"/>
      <c r="U12" s="5">
        <f t="shared" ca="1" si="17"/>
        <v>46102.662929050923</v>
      </c>
      <c r="V12">
        <f t="shared" ca="1" si="12"/>
        <v>2026</v>
      </c>
      <c r="W12">
        <f t="shared" ca="1" si="13"/>
        <v>3</v>
      </c>
      <c r="X12">
        <f t="shared" ca="1" si="14"/>
        <v>21</v>
      </c>
      <c r="Z12" t="b">
        <f t="shared" ca="1" si="15"/>
        <v>0</v>
      </c>
      <c r="AA12" t="b">
        <f t="shared" ca="1" si="16"/>
        <v>0</v>
      </c>
      <c r="AI12">
        <v>2026</v>
      </c>
      <c r="AJ12">
        <v>3</v>
      </c>
      <c r="AK12">
        <v>14</v>
      </c>
      <c r="AL12" t="s">
        <v>45</v>
      </c>
      <c r="AM12" t="s">
        <v>161</v>
      </c>
      <c r="AN12" t="s">
        <v>1413</v>
      </c>
      <c r="AO12" s="1">
        <v>95</v>
      </c>
      <c r="AP12" t="s">
        <v>1524</v>
      </c>
    </row>
    <row r="13" spans="2:43" x14ac:dyDescent="0.25">
      <c r="B13" s="6">
        <f t="shared" ref="B13:F22" ca="1" si="18">OFFSET(INDIRECT($B$1),ROW(A11),COLUMN(A11))</f>
        <v>2036</v>
      </c>
      <c r="C13" s="6">
        <f t="shared" ca="1" si="18"/>
        <v>4</v>
      </c>
      <c r="D13" s="6">
        <f t="shared" ca="1" si="18"/>
        <v>13</v>
      </c>
      <c r="E13" s="6" t="str">
        <f t="shared" ca="1" si="18"/>
        <v>SATIE</v>
      </c>
      <c r="F13" s="6" t="str">
        <f t="shared" ca="1" si="18"/>
        <v>Sunny Yellow</v>
      </c>
      <c r="G13" s="6" t="str">
        <f t="shared" ca="1" si="2"/>
        <v>Gentle Waves</v>
      </c>
      <c r="H13" s="6">
        <f t="shared" ca="1" si="3"/>
        <v>64</v>
      </c>
      <c r="I13" s="6" t="str">
        <f t="shared" ca="1" si="4"/>
        <v>Vrolijk Pasen</v>
      </c>
      <c r="J13" s="6"/>
      <c r="K13" s="7">
        <v>0</v>
      </c>
      <c r="L13" s="7">
        <f t="shared" ca="1" si="5"/>
        <v>6</v>
      </c>
      <c r="M13" s="7">
        <f t="shared" ca="1" si="6"/>
        <v>1</v>
      </c>
      <c r="N13" s="7" t="str">
        <f t="shared" ca="1" si="7"/>
        <v>ALLBIRDS</v>
      </c>
      <c r="O13" s="7" t="str">
        <f t="shared" ca="1" si="8"/>
        <v>Candy Pink</v>
      </c>
      <c r="P13" s="7" t="str">
        <f t="shared" ca="1" si="9"/>
        <v>Wide Sweep</v>
      </c>
      <c r="Q13" s="7">
        <f t="shared" ca="1" si="10"/>
        <v>157</v>
      </c>
      <c r="R13" s="7" t="str">
        <f t="shared" ca="1" si="11"/>
        <v>Eerste van de maand juni</v>
      </c>
      <c r="S13" s="7"/>
      <c r="U13" s="5">
        <f t="shared" ca="1" si="17"/>
        <v>46103.662929050923</v>
      </c>
      <c r="V13">
        <f t="shared" ca="1" si="12"/>
        <v>2026</v>
      </c>
      <c r="W13">
        <f t="shared" ca="1" si="13"/>
        <v>3</v>
      </c>
      <c r="X13">
        <f t="shared" ca="1" si="14"/>
        <v>22</v>
      </c>
      <c r="Z13" t="b">
        <f t="shared" ca="1" si="15"/>
        <v>0</v>
      </c>
      <c r="AA13" t="b">
        <f t="shared" ca="1" si="16"/>
        <v>0</v>
      </c>
      <c r="AI13">
        <v>2026</v>
      </c>
      <c r="AJ13">
        <v>3</v>
      </c>
      <c r="AK13">
        <v>19</v>
      </c>
      <c r="AL13" t="s">
        <v>52</v>
      </c>
      <c r="AM13" t="s">
        <v>79</v>
      </c>
      <c r="AN13" t="s">
        <v>259</v>
      </c>
      <c r="AO13" s="1">
        <v>171</v>
      </c>
      <c r="AP13" t="s">
        <v>1388</v>
      </c>
    </row>
    <row r="14" spans="2:43" x14ac:dyDescent="0.25">
      <c r="B14" s="6">
        <f t="shared" ca="1" si="18"/>
        <v>2037</v>
      </c>
      <c r="C14" s="6">
        <f t="shared" ca="1" si="18"/>
        <v>4</v>
      </c>
      <c r="D14" s="6">
        <f t="shared" ca="1" si="18"/>
        <v>5</v>
      </c>
      <c r="E14" s="6" t="str">
        <f t="shared" ca="1" si="18"/>
        <v>SATIE</v>
      </c>
      <c r="F14" s="6" t="str">
        <f t="shared" ca="1" si="18"/>
        <v>Sunny Yellow</v>
      </c>
      <c r="G14" s="6" t="str">
        <f t="shared" ca="1" si="2"/>
        <v>Gentle Waves</v>
      </c>
      <c r="H14" s="6">
        <f t="shared" ca="1" si="3"/>
        <v>67</v>
      </c>
      <c r="I14" s="6" t="str">
        <f t="shared" ca="1" si="4"/>
        <v>Vrolijk Pasen</v>
      </c>
      <c r="J14" s="6"/>
      <c r="K14" s="7">
        <v>0</v>
      </c>
      <c r="L14" s="7">
        <f t="shared" ca="1" si="5"/>
        <v>7</v>
      </c>
      <c r="M14" s="7">
        <f t="shared" ca="1" si="6"/>
        <v>1</v>
      </c>
      <c r="N14" s="7" t="str">
        <f t="shared" ca="1" si="7"/>
        <v>ALLBIRDS</v>
      </c>
      <c r="O14" s="7" t="str">
        <f t="shared" ca="1" si="8"/>
        <v>Candy Pink</v>
      </c>
      <c r="P14" s="7" t="str">
        <f t="shared" ca="1" si="9"/>
        <v>Wide Sweep</v>
      </c>
      <c r="Q14" s="7">
        <f t="shared" ca="1" si="10"/>
        <v>171</v>
      </c>
      <c r="R14" s="7" t="str">
        <f t="shared" ca="1" si="11"/>
        <v>Eerste van de maand juli</v>
      </c>
      <c r="S14" s="7"/>
      <c r="U14" s="5">
        <f t="shared" ca="1" si="17"/>
        <v>46104.662929050923</v>
      </c>
      <c r="V14">
        <f t="shared" ca="1" si="12"/>
        <v>2026</v>
      </c>
      <c r="W14">
        <f t="shared" ca="1" si="13"/>
        <v>3</v>
      </c>
      <c r="X14">
        <f t="shared" ca="1" si="14"/>
        <v>23</v>
      </c>
      <c r="Z14" t="b">
        <f t="shared" ca="1" si="15"/>
        <v>0</v>
      </c>
      <c r="AA14" t="b">
        <f t="shared" ca="1" si="16"/>
        <v>0</v>
      </c>
      <c r="AI14">
        <v>2026</v>
      </c>
      <c r="AJ14">
        <v>3</v>
      </c>
      <c r="AK14">
        <v>21</v>
      </c>
      <c r="AL14" t="s">
        <v>56</v>
      </c>
      <c r="AM14" t="s">
        <v>184</v>
      </c>
      <c r="AN14" t="s">
        <v>84</v>
      </c>
      <c r="AO14" s="1">
        <v>73</v>
      </c>
      <c r="AP14" t="s">
        <v>123</v>
      </c>
    </row>
    <row r="15" spans="2:43" x14ac:dyDescent="0.25">
      <c r="B15" s="6">
        <f t="shared" ca="1" si="18"/>
        <v>2038</v>
      </c>
      <c r="C15" s="6">
        <f t="shared" ca="1" si="18"/>
        <v>4</v>
      </c>
      <c r="D15" s="6">
        <f t="shared" ca="1" si="18"/>
        <v>25</v>
      </c>
      <c r="E15" s="6" t="str">
        <f t="shared" ca="1" si="18"/>
        <v>SATIE</v>
      </c>
      <c r="F15" s="6" t="str">
        <f t="shared" ca="1" si="18"/>
        <v>Sunny Yellow</v>
      </c>
      <c r="G15" s="6" t="str">
        <f t="shared" ca="1" si="2"/>
        <v>Gentle Waves</v>
      </c>
      <c r="H15" s="6">
        <f t="shared" ca="1" si="3"/>
        <v>82</v>
      </c>
      <c r="I15" s="6" t="str">
        <f t="shared" ca="1" si="4"/>
        <v>Vrolijk Pasen</v>
      </c>
      <c r="J15" s="6"/>
      <c r="K15" s="7">
        <v>0</v>
      </c>
      <c r="L15" s="7">
        <f t="shared" ca="1" si="5"/>
        <v>8</v>
      </c>
      <c r="M15" s="7">
        <f t="shared" ca="1" si="6"/>
        <v>1</v>
      </c>
      <c r="N15" s="7" t="str">
        <f t="shared" ca="1" si="7"/>
        <v>ALLBIRDS</v>
      </c>
      <c r="O15" s="7" t="str">
        <f t="shared" ca="1" si="8"/>
        <v>Candy Pink</v>
      </c>
      <c r="P15" s="7" t="str">
        <f t="shared" ca="1" si="9"/>
        <v>Wide Sweep</v>
      </c>
      <c r="Q15" s="7">
        <f t="shared" ca="1" si="10"/>
        <v>231</v>
      </c>
      <c r="R15" s="7" t="str">
        <f t="shared" ca="1" si="11"/>
        <v>Eerste van de maand augustus</v>
      </c>
      <c r="S15" s="7"/>
      <c r="U15" s="5">
        <f t="shared" ca="1" si="17"/>
        <v>46105.662929050923</v>
      </c>
      <c r="V15">
        <f t="shared" ca="1" si="12"/>
        <v>2026</v>
      </c>
      <c r="W15">
        <f t="shared" ca="1" si="13"/>
        <v>3</v>
      </c>
      <c r="X15">
        <f t="shared" ca="1" si="14"/>
        <v>24</v>
      </c>
      <c r="Z15" t="b">
        <f t="shared" ca="1" si="15"/>
        <v>0</v>
      </c>
      <c r="AA15" t="b">
        <f t="shared" ca="1" si="16"/>
        <v>0</v>
      </c>
      <c r="AI15">
        <v>2026</v>
      </c>
      <c r="AJ15">
        <v>4</v>
      </c>
      <c r="AK15">
        <v>1</v>
      </c>
      <c r="AL15" t="s">
        <v>91</v>
      </c>
      <c r="AM15" t="s">
        <v>164</v>
      </c>
      <c r="AN15" t="s">
        <v>85</v>
      </c>
      <c r="AO15" s="1">
        <v>265</v>
      </c>
      <c r="AP15" t="s">
        <v>124</v>
      </c>
    </row>
    <row r="16" spans="2:43" x14ac:dyDescent="0.25">
      <c r="B16" s="6">
        <f t="shared" ca="1" si="18"/>
        <v>2026</v>
      </c>
      <c r="C16" s="6">
        <f t="shared" ca="1" si="18"/>
        <v>2</v>
      </c>
      <c r="D16" s="6">
        <f t="shared" ca="1" si="18"/>
        <v>15</v>
      </c>
      <c r="E16" s="6" t="str">
        <f t="shared" ca="1" si="18"/>
        <v>MUSIC</v>
      </c>
      <c r="F16" s="6" t="str">
        <f t="shared" ca="1" si="18"/>
        <v>Candy Pink</v>
      </c>
      <c r="G16" s="6" t="str">
        <f t="shared" ca="1" si="2"/>
        <v>Rapid Sparks</v>
      </c>
      <c r="H16" s="6">
        <f t="shared" ca="1" si="3"/>
        <v>117</v>
      </c>
      <c r="I16" s="6" t="str">
        <f t="shared" ca="1" si="4"/>
        <v>Carnaval, Alaaf!!</v>
      </c>
      <c r="J16" s="6"/>
      <c r="K16" s="7">
        <v>0</v>
      </c>
      <c r="L16" s="7">
        <f t="shared" ca="1" si="5"/>
        <v>9</v>
      </c>
      <c r="M16" s="7">
        <f t="shared" ca="1" si="6"/>
        <v>1</v>
      </c>
      <c r="N16" s="7" t="str">
        <f t="shared" ca="1" si="7"/>
        <v>ALLBIRDS</v>
      </c>
      <c r="O16" s="7" t="str">
        <f t="shared" ca="1" si="8"/>
        <v>Candy Pink</v>
      </c>
      <c r="P16" s="7" t="str">
        <f t="shared" ca="1" si="9"/>
        <v>Wide Sweep</v>
      </c>
      <c r="Q16" s="7">
        <f t="shared" ca="1" si="10"/>
        <v>282</v>
      </c>
      <c r="R16" s="7" t="str">
        <f t="shared" ca="1" si="11"/>
        <v>Eerste van de maand september</v>
      </c>
      <c r="S16" s="7"/>
      <c r="U16" s="5">
        <f t="shared" ca="1" si="17"/>
        <v>46106.662929050923</v>
      </c>
      <c r="V16">
        <f t="shared" ca="1" si="12"/>
        <v>2026</v>
      </c>
      <c r="W16">
        <f t="shared" ca="1" si="13"/>
        <v>3</v>
      </c>
      <c r="X16">
        <f t="shared" ca="1" si="14"/>
        <v>25</v>
      </c>
      <c r="Z16" t="b">
        <f t="shared" ca="1" si="15"/>
        <v>0</v>
      </c>
      <c r="AA16" t="b">
        <f t="shared" ca="1" si="16"/>
        <v>0</v>
      </c>
      <c r="AI16">
        <v>2026</v>
      </c>
      <c r="AJ16">
        <v>4</v>
      </c>
      <c r="AK16">
        <v>3</v>
      </c>
      <c r="AL16" t="s">
        <v>54</v>
      </c>
      <c r="AM16" t="s">
        <v>181</v>
      </c>
      <c r="AN16" t="s">
        <v>83</v>
      </c>
      <c r="AO16" s="1">
        <v>245</v>
      </c>
      <c r="AP16" t="s">
        <v>125</v>
      </c>
    </row>
    <row r="17" spans="2:42" x14ac:dyDescent="0.25">
      <c r="B17" s="6">
        <f t="shared" ca="1" si="18"/>
        <v>2027</v>
      </c>
      <c r="C17" s="6">
        <f t="shared" ca="1" si="18"/>
        <v>2</v>
      </c>
      <c r="D17" s="6">
        <f t="shared" ca="1" si="18"/>
        <v>7</v>
      </c>
      <c r="E17" s="6" t="str">
        <f t="shared" ca="1" si="18"/>
        <v>MUSIC</v>
      </c>
      <c r="F17" s="6" t="str">
        <f t="shared" ca="1" si="18"/>
        <v>Candy Pink</v>
      </c>
      <c r="G17" s="6" t="str">
        <f t="shared" ca="1" si="2"/>
        <v>Rapid Sparks</v>
      </c>
      <c r="H17" s="6">
        <f t="shared" ca="1" si="3"/>
        <v>115</v>
      </c>
      <c r="I17" s="6" t="str">
        <f t="shared" ca="1" si="4"/>
        <v>Carnaval, Keiebijters!!</v>
      </c>
      <c r="J17" s="6"/>
      <c r="K17" s="7">
        <v>0</v>
      </c>
      <c r="L17" s="7">
        <f t="shared" ca="1" si="5"/>
        <v>10</v>
      </c>
      <c r="M17" s="7">
        <f t="shared" ca="1" si="6"/>
        <v>1</v>
      </c>
      <c r="N17" s="7" t="str">
        <f t="shared" ca="1" si="7"/>
        <v>ALLBIRDS</v>
      </c>
      <c r="O17" s="7" t="str">
        <f t="shared" ca="1" si="8"/>
        <v>Candy Pink</v>
      </c>
      <c r="P17" s="7" t="str">
        <f t="shared" ca="1" si="9"/>
        <v>Wide Sweep</v>
      </c>
      <c r="Q17" s="7">
        <f t="shared" ca="1" si="10"/>
        <v>277</v>
      </c>
      <c r="R17" s="7" t="str">
        <f t="shared" ca="1" si="11"/>
        <v>Eerste van de maand oktober</v>
      </c>
      <c r="S17" s="7"/>
      <c r="U17" s="5">
        <f t="shared" ca="1" si="17"/>
        <v>46107.662929050923</v>
      </c>
      <c r="V17">
        <f t="shared" ca="1" si="12"/>
        <v>2026</v>
      </c>
      <c r="W17">
        <f t="shared" ca="1" si="13"/>
        <v>3</v>
      </c>
      <c r="X17">
        <f t="shared" ca="1" si="14"/>
        <v>26</v>
      </c>
      <c r="Z17" t="b">
        <f t="shared" ca="1" si="15"/>
        <v>0</v>
      </c>
      <c r="AA17" t="b">
        <f t="shared" ca="1" si="16"/>
        <v>0</v>
      </c>
      <c r="AI17">
        <v>2026</v>
      </c>
      <c r="AJ17">
        <v>4</v>
      </c>
      <c r="AK17">
        <v>5</v>
      </c>
      <c r="AL17" t="s">
        <v>58</v>
      </c>
      <c r="AM17" t="s">
        <v>158</v>
      </c>
      <c r="AN17" t="s">
        <v>261</v>
      </c>
      <c r="AO17" s="1">
        <v>90</v>
      </c>
      <c r="AP17" t="s">
        <v>12</v>
      </c>
    </row>
    <row r="18" spans="2:42" x14ac:dyDescent="0.25">
      <c r="B18" s="6">
        <f t="shared" ca="1" si="18"/>
        <v>2028</v>
      </c>
      <c r="C18" s="6">
        <f t="shared" ca="1" si="18"/>
        <v>2</v>
      </c>
      <c r="D18" s="6">
        <f t="shared" ca="1" si="18"/>
        <v>27</v>
      </c>
      <c r="E18" s="6" t="str">
        <f t="shared" ca="1" si="18"/>
        <v>MUSIC</v>
      </c>
      <c r="F18" s="6" t="str">
        <f t="shared" ca="1" si="18"/>
        <v>Candy Pink</v>
      </c>
      <c r="G18" s="6" t="str">
        <f t="shared" ca="1" si="2"/>
        <v>Rapid Sparks</v>
      </c>
      <c r="H18" s="6">
        <f t="shared" ca="1" si="3"/>
        <v>98</v>
      </c>
      <c r="I18" s="6" t="str">
        <f t="shared" ca="1" si="4"/>
        <v>Carnaval, En deh hittie naw gedonn umdettie Hellemonder is</v>
      </c>
      <c r="J18" s="6"/>
      <c r="K18" s="7">
        <v>0</v>
      </c>
      <c r="L18" s="7">
        <f t="shared" ca="1" si="5"/>
        <v>11</v>
      </c>
      <c r="M18" s="7">
        <f t="shared" ca="1" si="6"/>
        <v>1</v>
      </c>
      <c r="N18" s="7" t="str">
        <f t="shared" ca="1" si="7"/>
        <v>ALLBIRDS</v>
      </c>
      <c r="O18" s="7" t="str">
        <f t="shared" ca="1" si="8"/>
        <v>Candy Pink</v>
      </c>
      <c r="P18" s="7" t="str">
        <f t="shared" ca="1" si="9"/>
        <v>Wide Sweep</v>
      </c>
      <c r="Q18" s="7">
        <f t="shared" ca="1" si="10"/>
        <v>221</v>
      </c>
      <c r="R18" s="7" t="str">
        <f t="shared" ca="1" si="11"/>
        <v>Eerste van de maand november</v>
      </c>
      <c r="S18" s="7"/>
      <c r="U18" s="5">
        <f t="shared" ca="1" si="17"/>
        <v>46108.662929050923</v>
      </c>
      <c r="V18">
        <f t="shared" ca="1" si="12"/>
        <v>2026</v>
      </c>
      <c r="W18">
        <f t="shared" ca="1" si="13"/>
        <v>3</v>
      </c>
      <c r="X18">
        <f t="shared" ca="1" si="14"/>
        <v>27</v>
      </c>
      <c r="Z18" t="b">
        <f t="shared" ca="1" si="15"/>
        <v>0</v>
      </c>
      <c r="AA18" t="b">
        <f t="shared" ca="1" si="16"/>
        <v>0</v>
      </c>
      <c r="AI18">
        <v>2026</v>
      </c>
      <c r="AJ18">
        <v>4</v>
      </c>
      <c r="AK18">
        <v>6</v>
      </c>
      <c r="AL18" t="s">
        <v>58</v>
      </c>
      <c r="AM18" t="s">
        <v>198</v>
      </c>
      <c r="AN18" t="s">
        <v>265</v>
      </c>
      <c r="AO18" s="1">
        <v>249</v>
      </c>
      <c r="AP18" t="s">
        <v>1375</v>
      </c>
    </row>
    <row r="19" spans="2:42" x14ac:dyDescent="0.25">
      <c r="B19" s="6">
        <f t="shared" ca="1" si="18"/>
        <v>2029</v>
      </c>
      <c r="C19" s="6">
        <f t="shared" ca="1" si="18"/>
        <v>2</v>
      </c>
      <c r="D19" s="6">
        <f t="shared" ca="1" si="18"/>
        <v>11</v>
      </c>
      <c r="E19" s="6" t="str">
        <f t="shared" ca="1" si="18"/>
        <v>MUSIC</v>
      </c>
      <c r="F19" s="6" t="str">
        <f t="shared" ca="1" si="18"/>
        <v>Candy Pink</v>
      </c>
      <c r="G19" s="6" t="str">
        <f t="shared" ca="1" si="2"/>
        <v>Rapid Sparks</v>
      </c>
      <c r="H19" s="6">
        <f t="shared" ca="1" si="3"/>
        <v>82</v>
      </c>
      <c r="I19" s="6" t="str">
        <f t="shared" ca="1" si="4"/>
        <v>Carnaval, Agge mar leut heht</v>
      </c>
      <c r="J19" s="6"/>
      <c r="K19" s="7">
        <v>0</v>
      </c>
      <c r="L19" s="7">
        <f t="shared" ca="1" si="5"/>
        <v>12</v>
      </c>
      <c r="M19" s="7">
        <f t="shared" ca="1" si="6"/>
        <v>1</v>
      </c>
      <c r="N19" s="7" t="str">
        <f t="shared" ca="1" si="7"/>
        <v>ALLBIRDS</v>
      </c>
      <c r="O19" s="7" t="str">
        <f t="shared" ca="1" si="8"/>
        <v>Candy Pink</v>
      </c>
      <c r="P19" s="7" t="str">
        <f t="shared" ca="1" si="9"/>
        <v>Wide Sweep</v>
      </c>
      <c r="Q19" s="7">
        <f t="shared" ca="1" si="10"/>
        <v>165</v>
      </c>
      <c r="R19" s="7" t="str">
        <f t="shared" ca="1" si="11"/>
        <v>Eerste van de maand december</v>
      </c>
      <c r="S19" s="7"/>
      <c r="U19" s="5">
        <f t="shared" ca="1" si="17"/>
        <v>46109.662929050923</v>
      </c>
      <c r="V19">
        <f t="shared" ca="1" si="12"/>
        <v>2026</v>
      </c>
      <c r="W19">
        <f t="shared" ca="1" si="13"/>
        <v>3</v>
      </c>
      <c r="X19">
        <f t="shared" ca="1" si="14"/>
        <v>28</v>
      </c>
      <c r="Z19" t="b">
        <f t="shared" ca="1" si="15"/>
        <v>0</v>
      </c>
      <c r="AA19" t="b">
        <f t="shared" ca="1" si="16"/>
        <v>0</v>
      </c>
      <c r="AI19">
        <v>2026</v>
      </c>
      <c r="AJ19">
        <v>4</v>
      </c>
      <c r="AK19">
        <v>30</v>
      </c>
      <c r="AL19" t="s">
        <v>56</v>
      </c>
      <c r="AM19" t="s">
        <v>184</v>
      </c>
      <c r="AN19" t="s">
        <v>84</v>
      </c>
      <c r="AO19" s="1">
        <v>98</v>
      </c>
      <c r="AP19" t="s">
        <v>126</v>
      </c>
    </row>
    <row r="20" spans="2:42" x14ac:dyDescent="0.25">
      <c r="B20" s="6">
        <f t="shared" ca="1" si="18"/>
        <v>2030</v>
      </c>
      <c r="C20" s="6">
        <f t="shared" ca="1" si="18"/>
        <v>3</v>
      </c>
      <c r="D20" s="6">
        <f t="shared" ca="1" si="18"/>
        <v>3</v>
      </c>
      <c r="E20" s="6" t="str">
        <f t="shared" ca="1" si="18"/>
        <v>MUSIC</v>
      </c>
      <c r="F20" s="6" t="str">
        <f t="shared" ca="1" si="18"/>
        <v>Candy Pink</v>
      </c>
      <c r="G20" s="6" t="str">
        <f t="shared" ca="1" si="2"/>
        <v>Rapid Sparks</v>
      </c>
      <c r="H20" s="6">
        <f t="shared" ca="1" si="3"/>
        <v>81</v>
      </c>
      <c r="I20" s="6" t="str">
        <f t="shared" ca="1" si="4"/>
        <v>Carnaval, Alaaf!!</v>
      </c>
      <c r="J20" s="6"/>
      <c r="K20" s="7">
        <v>0</v>
      </c>
      <c r="L20" s="7">
        <f t="shared" ca="1" si="5"/>
        <v>5</v>
      </c>
      <c r="M20" s="7">
        <f t="shared" ca="1" si="6"/>
        <v>5</v>
      </c>
      <c r="N20" s="7" t="str">
        <f t="shared" ca="1" si="7"/>
        <v>MUSIC</v>
      </c>
      <c r="O20" s="7" t="str">
        <f t="shared" ca="1" si="8"/>
        <v>Forest Green</v>
      </c>
      <c r="P20" s="7" t="str">
        <f t="shared" ca="1" si="9"/>
        <v>Rapid Sparks</v>
      </c>
      <c r="Q20" s="7">
        <f t="shared" ca="1" si="10"/>
        <v>64</v>
      </c>
      <c r="R20" s="7" t="str">
        <f t="shared" ca="1" si="11"/>
        <v>Bevrijdingsdag</v>
      </c>
      <c r="S20" s="7"/>
      <c r="U20" s="5">
        <f t="shared" ca="1" si="17"/>
        <v>46110.662929050923</v>
      </c>
      <c r="V20">
        <f t="shared" ca="1" si="12"/>
        <v>2026</v>
      </c>
      <c r="W20">
        <f t="shared" ca="1" si="13"/>
        <v>3</v>
      </c>
      <c r="X20">
        <f t="shared" ca="1" si="14"/>
        <v>29</v>
      </c>
      <c r="Z20" t="b">
        <f t="shared" ca="1" si="15"/>
        <v>0</v>
      </c>
      <c r="AA20" t="b">
        <f t="shared" ca="1" si="16"/>
        <v>0</v>
      </c>
      <c r="AI20">
        <v>2026</v>
      </c>
      <c r="AJ20">
        <v>5</v>
      </c>
      <c r="AK20">
        <v>1</v>
      </c>
      <c r="AL20" t="s">
        <v>91</v>
      </c>
      <c r="AM20" t="s">
        <v>164</v>
      </c>
      <c r="AN20" t="s">
        <v>85</v>
      </c>
      <c r="AO20" s="1">
        <v>202</v>
      </c>
      <c r="AP20" t="s">
        <v>127</v>
      </c>
    </row>
    <row r="21" spans="2:42" x14ac:dyDescent="0.25">
      <c r="B21" s="6">
        <f t="shared" ca="1" si="18"/>
        <v>2031</v>
      </c>
      <c r="C21" s="6">
        <f t="shared" ca="1" si="18"/>
        <v>2</v>
      </c>
      <c r="D21" s="6">
        <f t="shared" ca="1" si="18"/>
        <v>23</v>
      </c>
      <c r="E21" s="6" t="str">
        <f t="shared" ca="1" si="18"/>
        <v>MUSIC</v>
      </c>
      <c r="F21" s="6" t="str">
        <f t="shared" ca="1" si="18"/>
        <v>Candy Pink</v>
      </c>
      <c r="G21" s="6" t="str">
        <f t="shared" ca="1" si="2"/>
        <v>Rapid Sparks</v>
      </c>
      <c r="H21" s="6">
        <f t="shared" ca="1" si="3"/>
        <v>96</v>
      </c>
      <c r="I21" s="6" t="str">
        <f t="shared" ca="1" si="4"/>
        <v>Carnaval, Keiebijters!!</v>
      </c>
      <c r="J21" s="6"/>
      <c r="K21" s="7">
        <v>0</v>
      </c>
      <c r="L21" s="7">
        <f t="shared" ca="1" si="5"/>
        <v>12</v>
      </c>
      <c r="M21" s="7">
        <f t="shared" ca="1" si="6"/>
        <v>25</v>
      </c>
      <c r="N21" s="7" t="str">
        <f t="shared" ca="1" si="7"/>
        <v>XMAS</v>
      </c>
      <c r="O21" s="7" t="str">
        <f t="shared" ca="1" si="8"/>
        <v>Emerald Isle</v>
      </c>
      <c r="P21" s="7" t="str">
        <f t="shared" ca="1" si="9"/>
        <v>Dancing Embers</v>
      </c>
      <c r="Q21" s="7">
        <f t="shared" ca="1" si="10"/>
        <v>95</v>
      </c>
      <c r="R21" s="7" t="str">
        <f t="shared" ca="1" si="11"/>
        <v>Vrolijk Kerstfeest</v>
      </c>
      <c r="S21" s="7"/>
      <c r="U21" s="5">
        <f t="shared" ca="1" si="17"/>
        <v>46111.662929050923</v>
      </c>
      <c r="V21">
        <f t="shared" ca="1" si="12"/>
        <v>2026</v>
      </c>
      <c r="W21">
        <f t="shared" ca="1" si="13"/>
        <v>3</v>
      </c>
      <c r="X21">
        <f t="shared" ca="1" si="14"/>
        <v>30</v>
      </c>
      <c r="Z21" t="b">
        <f t="shared" ca="1" si="15"/>
        <v>0</v>
      </c>
      <c r="AA21" t="b">
        <f t="shared" ca="1" si="16"/>
        <v>0</v>
      </c>
      <c r="AI21">
        <v>2026</v>
      </c>
      <c r="AJ21">
        <v>5</v>
      </c>
      <c r="AK21">
        <v>4</v>
      </c>
      <c r="AL21" t="s">
        <v>89</v>
      </c>
      <c r="AM21" t="s">
        <v>233</v>
      </c>
      <c r="AN21" t="s">
        <v>83</v>
      </c>
      <c r="AO21" s="1">
        <v>102</v>
      </c>
      <c r="AP21" t="s">
        <v>1364</v>
      </c>
    </row>
    <row r="22" spans="2:42" x14ac:dyDescent="0.25">
      <c r="B22" s="6">
        <f t="shared" ca="1" si="18"/>
        <v>2032</v>
      </c>
      <c r="C22" s="6">
        <f t="shared" ca="1" si="18"/>
        <v>2</v>
      </c>
      <c r="D22" s="6">
        <f t="shared" ca="1" si="18"/>
        <v>8</v>
      </c>
      <c r="E22" s="6" t="str">
        <f t="shared" ca="1" si="18"/>
        <v>MUSIC</v>
      </c>
      <c r="F22" s="6" t="str">
        <f t="shared" ca="1" si="18"/>
        <v>Candy Pink</v>
      </c>
      <c r="G22" s="6" t="str">
        <f t="shared" ca="1" si="2"/>
        <v>Rapid Sparks</v>
      </c>
      <c r="H22" s="6">
        <f t="shared" ca="1" si="3"/>
        <v>114</v>
      </c>
      <c r="I22" s="6" t="str">
        <f t="shared" ca="1" si="4"/>
        <v>Carnaval, En deh hittie naw gedonn umdettie Hellemonder is</v>
      </c>
      <c r="J22" s="6"/>
      <c r="K22" s="7">
        <v>0</v>
      </c>
      <c r="L22" s="7">
        <f t="shared" ca="1" si="5"/>
        <v>12</v>
      </c>
      <c r="M22" s="7">
        <f t="shared" ca="1" si="6"/>
        <v>26</v>
      </c>
      <c r="N22" s="7" t="str">
        <f t="shared" ca="1" si="7"/>
        <v>XMAS</v>
      </c>
      <c r="O22" s="7" t="str">
        <f t="shared" ca="1" si="8"/>
        <v>Rose Blossom</v>
      </c>
      <c r="P22" s="7" t="str">
        <f t="shared" ca="1" si="9"/>
        <v>Calm Center</v>
      </c>
      <c r="Q22" s="7">
        <f t="shared" ca="1" si="10"/>
        <v>108</v>
      </c>
      <c r="R22" s="7" t="str">
        <f t="shared" ca="1" si="11"/>
        <v>Tweede Kerstdag</v>
      </c>
      <c r="S22" s="7"/>
      <c r="U22" s="5">
        <f t="shared" ca="1" si="17"/>
        <v>46112.662929050923</v>
      </c>
      <c r="V22">
        <f t="shared" ca="1" si="12"/>
        <v>2026</v>
      </c>
      <c r="W22">
        <f t="shared" ca="1" si="13"/>
        <v>3</v>
      </c>
      <c r="X22">
        <f t="shared" ca="1" si="14"/>
        <v>31</v>
      </c>
      <c r="Z22" t="b">
        <f t="shared" ca="1" si="15"/>
        <v>0</v>
      </c>
      <c r="AA22" t="b">
        <f t="shared" ca="1" si="16"/>
        <v>0</v>
      </c>
      <c r="AI22">
        <v>2026</v>
      </c>
      <c r="AJ22">
        <v>5</v>
      </c>
      <c r="AK22">
        <v>5</v>
      </c>
      <c r="AL22" t="s">
        <v>93</v>
      </c>
      <c r="AM22" t="s">
        <v>152</v>
      </c>
      <c r="AN22" t="s">
        <v>84</v>
      </c>
      <c r="AO22" s="1">
        <v>64</v>
      </c>
      <c r="AP22" t="s">
        <v>107</v>
      </c>
    </row>
    <row r="23" spans="2:42" x14ac:dyDescent="0.25">
      <c r="B23" s="6">
        <f t="shared" ref="B23:F32" ca="1" si="19">OFFSET(INDIRECT($B$1),ROW(A21),COLUMN(A21))</f>
        <v>2033</v>
      </c>
      <c r="C23" s="6">
        <f t="shared" ca="1" si="19"/>
        <v>2</v>
      </c>
      <c r="D23" s="6">
        <f t="shared" ca="1" si="19"/>
        <v>27</v>
      </c>
      <c r="E23" s="6" t="str">
        <f t="shared" ca="1" si="19"/>
        <v>MUSIC</v>
      </c>
      <c r="F23" s="6" t="str">
        <f t="shared" ca="1" si="19"/>
        <v>Candy Pink</v>
      </c>
      <c r="G23" s="6" t="str">
        <f t="shared" ca="1" si="2"/>
        <v>Rapid Sparks</v>
      </c>
      <c r="H23" s="6">
        <f t="shared" ca="1" si="3"/>
        <v>117</v>
      </c>
      <c r="I23" s="6" t="str">
        <f t="shared" ca="1" si="4"/>
        <v>Carnaval, Agge mar leut heht</v>
      </c>
      <c r="J23" s="6"/>
      <c r="K23" s="7">
        <v>0</v>
      </c>
      <c r="L23" s="7">
        <f t="shared" ca="1" si="5"/>
        <v>12</v>
      </c>
      <c r="M23" s="7">
        <f t="shared" ca="1" si="6"/>
        <v>5</v>
      </c>
      <c r="N23" s="7" t="str">
        <f t="shared" ca="1" si="7"/>
        <v>SINT</v>
      </c>
      <c r="O23" s="7" t="str">
        <f t="shared" ca="1" si="8"/>
        <v>Ruby Red</v>
      </c>
      <c r="P23" s="7" t="str">
        <f t="shared" ca="1" si="9"/>
        <v>Energetic Pulse</v>
      </c>
      <c r="Q23" s="7">
        <f t="shared" ca="1" si="10"/>
        <v>113</v>
      </c>
      <c r="R23" s="7" t="str">
        <f t="shared" ca="1" si="11"/>
        <v>Sinterklaas</v>
      </c>
      <c r="S23" s="7"/>
      <c r="U23" s="5">
        <f t="shared" ca="1" si="17"/>
        <v>46113.662929050923</v>
      </c>
      <c r="V23">
        <f t="shared" ca="1" si="12"/>
        <v>2026</v>
      </c>
      <c r="W23">
        <f t="shared" ca="1" si="13"/>
        <v>4</v>
      </c>
      <c r="X23">
        <f t="shared" ca="1" si="14"/>
        <v>1</v>
      </c>
      <c r="Z23" t="b">
        <f t="shared" ca="1" si="15"/>
        <v>0</v>
      </c>
      <c r="AA23" t="b">
        <f t="shared" ca="1" si="16"/>
        <v>0</v>
      </c>
      <c r="AI23">
        <v>2026</v>
      </c>
      <c r="AJ23">
        <v>5</v>
      </c>
      <c r="AK23">
        <v>10</v>
      </c>
      <c r="AL23" t="s">
        <v>56</v>
      </c>
      <c r="AM23" t="s">
        <v>184</v>
      </c>
      <c r="AN23" t="s">
        <v>84</v>
      </c>
      <c r="AO23" s="1">
        <v>73</v>
      </c>
      <c r="AP23" t="s">
        <v>128</v>
      </c>
    </row>
    <row r="24" spans="2:42" x14ac:dyDescent="0.25">
      <c r="B24" s="6">
        <f t="shared" ca="1" si="19"/>
        <v>2034</v>
      </c>
      <c r="C24" s="6">
        <f t="shared" ca="1" si="19"/>
        <v>2</v>
      </c>
      <c r="D24" s="6">
        <f t="shared" ca="1" si="19"/>
        <v>19</v>
      </c>
      <c r="E24" s="6" t="str">
        <f t="shared" ca="1" si="19"/>
        <v>MUSIC</v>
      </c>
      <c r="F24" s="6" t="str">
        <f t="shared" ca="1" si="19"/>
        <v>Candy Pink</v>
      </c>
      <c r="G24" s="6" t="str">
        <f t="shared" ca="1" si="2"/>
        <v>Rapid Sparks</v>
      </c>
      <c r="H24" s="6">
        <f t="shared" ca="1" si="3"/>
        <v>104</v>
      </c>
      <c r="I24" s="6" t="str">
        <f t="shared" ca="1" si="4"/>
        <v>Carnaval, Alaaf!!</v>
      </c>
      <c r="J24" s="6"/>
      <c r="K24" s="7">
        <v>0</v>
      </c>
      <c r="L24" s="7">
        <f t="shared" ca="1" si="5"/>
        <v>3</v>
      </c>
      <c r="M24" s="7">
        <f t="shared" ca="1" si="6"/>
        <v>14</v>
      </c>
      <c r="N24" s="7" t="str">
        <f t="shared" ca="1" si="7"/>
        <v>ZAPPA</v>
      </c>
      <c r="O24" s="7" t="str">
        <f t="shared" ca="1" si="8"/>
        <v>Deep Space</v>
      </c>
      <c r="P24" s="7" t="str">
        <f t="shared" ca="1" si="9"/>
        <v>Fireworks</v>
      </c>
      <c r="Q24" s="7">
        <f t="shared" ca="1" si="10"/>
        <v>95</v>
      </c>
      <c r="R24" s="7" t="str">
        <f t="shared" ca="1" si="11"/>
        <v>piedag - drie komma een vier enzovoorts !en nog meer decimalen</v>
      </c>
      <c r="S24" s="7"/>
      <c r="U24" s="5">
        <f t="shared" ca="1" si="17"/>
        <v>46114.662929050923</v>
      </c>
      <c r="V24">
        <f t="shared" ca="1" si="12"/>
        <v>2026</v>
      </c>
      <c r="W24">
        <f t="shared" ca="1" si="13"/>
        <v>4</v>
      </c>
      <c r="X24">
        <f t="shared" ca="1" si="14"/>
        <v>2</v>
      </c>
      <c r="Z24" t="b">
        <f t="shared" ca="1" si="15"/>
        <v>0</v>
      </c>
      <c r="AA24" t="b">
        <f t="shared" ca="1" si="16"/>
        <v>0</v>
      </c>
      <c r="AI24">
        <v>2026</v>
      </c>
      <c r="AJ24">
        <v>5</v>
      </c>
      <c r="AK24">
        <v>14</v>
      </c>
      <c r="AL24" t="s">
        <v>44</v>
      </c>
      <c r="AM24" t="s">
        <v>227</v>
      </c>
      <c r="AN24" t="s">
        <v>83</v>
      </c>
      <c r="AO24" s="1">
        <v>133</v>
      </c>
      <c r="AP24" t="s">
        <v>14</v>
      </c>
    </row>
    <row r="25" spans="2:42" x14ac:dyDescent="0.25">
      <c r="B25" s="6">
        <f t="shared" ca="1" si="19"/>
        <v>2035</v>
      </c>
      <c r="C25" s="6">
        <f t="shared" ca="1" si="19"/>
        <v>2</v>
      </c>
      <c r="D25" s="6">
        <f t="shared" ca="1" si="19"/>
        <v>4</v>
      </c>
      <c r="E25" s="6" t="str">
        <f t="shared" ca="1" si="19"/>
        <v>MUSIC</v>
      </c>
      <c r="F25" s="6" t="str">
        <f t="shared" ca="1" si="19"/>
        <v>Candy Pink</v>
      </c>
      <c r="G25" s="6" t="str">
        <f t="shared" ca="1" si="2"/>
        <v>Rapid Sparks</v>
      </c>
      <c r="H25" s="6">
        <f t="shared" ca="1" si="3"/>
        <v>85</v>
      </c>
      <c r="I25" s="6" t="str">
        <f t="shared" ca="1" si="4"/>
        <v>Carnaval, Keiebijters!!</v>
      </c>
      <c r="J25" s="6"/>
      <c r="K25" s="7">
        <v>0</v>
      </c>
      <c r="L25" s="7">
        <f t="shared" ca="1" si="5"/>
        <v>2</v>
      </c>
      <c r="M25" s="7">
        <f t="shared" ca="1" si="6"/>
        <v>14</v>
      </c>
      <c r="N25" s="7" t="str">
        <f t="shared" ca="1" si="7"/>
        <v>MUSIC</v>
      </c>
      <c r="O25" s="7" t="str">
        <f t="shared" ca="1" si="8"/>
        <v>Inner White Outer Red</v>
      </c>
      <c r="P25" s="7" t="str">
        <f t="shared" ca="1" si="9"/>
        <v>Energetic Pulse</v>
      </c>
      <c r="Q25" s="7">
        <f t="shared" ca="1" si="10"/>
        <v>70</v>
      </c>
      <c r="R25" s="7" t="str">
        <f t="shared" ca="1" si="11"/>
        <v>Valentijns en verlovingsdag</v>
      </c>
      <c r="S25" s="7"/>
      <c r="U25" s="5">
        <f t="shared" ca="1" si="17"/>
        <v>46115.662929050923</v>
      </c>
      <c r="V25">
        <f t="shared" ca="1" si="12"/>
        <v>2026</v>
      </c>
      <c r="W25">
        <f t="shared" ca="1" si="13"/>
        <v>4</v>
      </c>
      <c r="X25">
        <f t="shared" ca="1" si="14"/>
        <v>3</v>
      </c>
      <c r="Z25" t="b">
        <f t="shared" ca="1" si="15"/>
        <v>0</v>
      </c>
      <c r="AA25" t="b">
        <f t="shared" ca="1" si="16"/>
        <v>0</v>
      </c>
      <c r="AI25">
        <v>2026</v>
      </c>
      <c r="AJ25">
        <v>5</v>
      </c>
      <c r="AK25">
        <v>24</v>
      </c>
      <c r="AL25" t="s">
        <v>49</v>
      </c>
      <c r="AM25" t="s">
        <v>167</v>
      </c>
      <c r="AN25" t="s">
        <v>85</v>
      </c>
      <c r="AO25" s="1">
        <v>164</v>
      </c>
      <c r="AP25" t="s">
        <v>129</v>
      </c>
    </row>
    <row r="26" spans="2:42" x14ac:dyDescent="0.25">
      <c r="B26" s="6">
        <f t="shared" ca="1" si="19"/>
        <v>2036</v>
      </c>
      <c r="C26" s="6">
        <f t="shared" ca="1" si="19"/>
        <v>2</v>
      </c>
      <c r="D26" s="6">
        <f t="shared" ca="1" si="19"/>
        <v>24</v>
      </c>
      <c r="E26" s="6" t="str">
        <f t="shared" ca="1" si="19"/>
        <v>MUSIC</v>
      </c>
      <c r="F26" s="6" t="str">
        <f t="shared" ca="1" si="19"/>
        <v>Candy Pink</v>
      </c>
      <c r="G26" s="6" t="str">
        <f t="shared" ca="1" si="2"/>
        <v>Rapid Sparks</v>
      </c>
      <c r="H26" s="6">
        <f t="shared" ca="1" si="3"/>
        <v>79</v>
      </c>
      <c r="I26" s="6" t="str">
        <f t="shared" ca="1" si="4"/>
        <v>Carnaval, En deh hittie naw gedonn umdettie Hellemonder is</v>
      </c>
      <c r="J26" s="6"/>
      <c r="K26" s="7">
        <v>0</v>
      </c>
      <c r="L26" s="7">
        <f t="shared" ca="1" si="5"/>
        <v>6</v>
      </c>
      <c r="M26" s="7">
        <f t="shared" ca="1" si="6"/>
        <v>24</v>
      </c>
      <c r="N26" s="7" t="str">
        <f t="shared" ca="1" si="7"/>
        <v>MUSIC</v>
      </c>
      <c r="O26" s="7" t="str">
        <f t="shared" ca="1" si="8"/>
        <v>Sunny Yellow</v>
      </c>
      <c r="P26" s="7" t="str">
        <f t="shared" ca="1" si="9"/>
        <v>Polar Lights</v>
      </c>
      <c r="Q26" s="7">
        <f t="shared" ca="1" si="10"/>
        <v>61</v>
      </c>
      <c r="R26" s="7" t="str">
        <f t="shared" ca="1" si="11"/>
        <v>SintJan</v>
      </c>
      <c r="S26" s="7"/>
      <c r="U26" s="5">
        <f t="shared" ca="1" si="17"/>
        <v>46116.662929050923</v>
      </c>
      <c r="V26">
        <f t="shared" ca="1" si="12"/>
        <v>2026</v>
      </c>
      <c r="W26">
        <f t="shared" ca="1" si="13"/>
        <v>4</v>
      </c>
      <c r="X26">
        <f t="shared" ca="1" si="14"/>
        <v>4</v>
      </c>
      <c r="Z26" t="b">
        <f t="shared" ca="1" si="15"/>
        <v>0</v>
      </c>
      <c r="AA26" t="b">
        <f t="shared" ca="1" si="16"/>
        <v>0</v>
      </c>
      <c r="AI26">
        <v>2026</v>
      </c>
      <c r="AJ26">
        <v>5</v>
      </c>
      <c r="AK26">
        <v>25</v>
      </c>
      <c r="AL26" t="s">
        <v>49</v>
      </c>
      <c r="AM26" t="s">
        <v>167</v>
      </c>
      <c r="AN26" t="s">
        <v>85</v>
      </c>
      <c r="AO26" s="1">
        <v>174</v>
      </c>
      <c r="AP26" t="s">
        <v>1491</v>
      </c>
    </row>
    <row r="27" spans="2:42" x14ac:dyDescent="0.25">
      <c r="B27" s="6">
        <f t="shared" ca="1" si="19"/>
        <v>2037</v>
      </c>
      <c r="C27" s="6">
        <f t="shared" ca="1" si="19"/>
        <v>2</v>
      </c>
      <c r="D27" s="6">
        <f t="shared" ca="1" si="19"/>
        <v>15</v>
      </c>
      <c r="E27" s="6" t="str">
        <f t="shared" ca="1" si="19"/>
        <v>MUSIC</v>
      </c>
      <c r="F27" s="6" t="str">
        <f t="shared" ca="1" si="19"/>
        <v>Candy Pink</v>
      </c>
      <c r="G27" s="6" t="str">
        <f t="shared" ca="1" si="2"/>
        <v>Rapid Sparks</v>
      </c>
      <c r="H27" s="6">
        <f t="shared" ca="1" si="3"/>
        <v>91</v>
      </c>
      <c r="I27" s="6" t="str">
        <f t="shared" ca="1" si="4"/>
        <v>Carnaval, Agge mar leut heht</v>
      </c>
      <c r="J27" s="6"/>
      <c r="K27" s="7">
        <v>0</v>
      </c>
      <c r="L27" s="7">
        <f t="shared" ca="1" si="5"/>
        <v>12</v>
      </c>
      <c r="M27" s="7">
        <f t="shared" ca="1" si="6"/>
        <v>28</v>
      </c>
      <c r="N27" s="7" t="str">
        <f t="shared" ca="1" si="7"/>
        <v>GUITAR</v>
      </c>
      <c r="O27" s="7" t="str">
        <f t="shared" ca="1" si="8"/>
        <v>Crimson Red</v>
      </c>
      <c r="P27" s="7" t="str">
        <f t="shared" ca="1" si="9"/>
        <v>Dancing Embers</v>
      </c>
      <c r="Q27" s="7">
        <f t="shared" ca="1" si="10"/>
        <v>77</v>
      </c>
      <c r="R27" s="7" t="str">
        <f t="shared" ca="1" si="11"/>
        <v>Onnozele Kinderen</v>
      </c>
      <c r="S27" s="7"/>
      <c r="U27" s="5">
        <f t="shared" ca="1" si="17"/>
        <v>46117.662929050923</v>
      </c>
      <c r="V27">
        <f t="shared" ca="1" si="12"/>
        <v>2026</v>
      </c>
      <c r="W27">
        <f t="shared" ca="1" si="13"/>
        <v>4</v>
      </c>
      <c r="X27">
        <f t="shared" ca="1" si="14"/>
        <v>5</v>
      </c>
      <c r="Z27" t="b">
        <f t="shared" ca="1" si="15"/>
        <v>0</v>
      </c>
      <c r="AA27" t="b">
        <f t="shared" ca="1" si="16"/>
        <v>0</v>
      </c>
      <c r="AI27">
        <v>2026</v>
      </c>
      <c r="AJ27">
        <v>6</v>
      </c>
      <c r="AK27">
        <v>1</v>
      </c>
      <c r="AL27" t="s">
        <v>91</v>
      </c>
      <c r="AM27" t="s">
        <v>164</v>
      </c>
      <c r="AN27" t="s">
        <v>85</v>
      </c>
      <c r="AO27" s="1">
        <v>157</v>
      </c>
      <c r="AP27" t="s">
        <v>130</v>
      </c>
    </row>
    <row r="28" spans="2:42" x14ac:dyDescent="0.25">
      <c r="B28" s="6">
        <f t="shared" ca="1" si="19"/>
        <v>2038</v>
      </c>
      <c r="C28" s="6">
        <f t="shared" ca="1" si="19"/>
        <v>3</v>
      </c>
      <c r="D28" s="6">
        <f t="shared" ca="1" si="19"/>
        <v>7</v>
      </c>
      <c r="E28" s="6" t="str">
        <f t="shared" ca="1" si="19"/>
        <v>MUSIC</v>
      </c>
      <c r="F28" s="6" t="str">
        <f t="shared" ca="1" si="19"/>
        <v>Candy Pink</v>
      </c>
      <c r="G28" s="6" t="str">
        <f t="shared" ca="1" si="2"/>
        <v>Rapid Sparks</v>
      </c>
      <c r="H28" s="6">
        <f t="shared" ca="1" si="3"/>
        <v>109</v>
      </c>
      <c r="I28" s="6" t="str">
        <f t="shared" ca="1" si="4"/>
        <v>Carnaval, Tadaaaaah - tadaaaah</v>
      </c>
      <c r="J28" s="6"/>
      <c r="K28" s="7">
        <v>0</v>
      </c>
      <c r="L28" s="7">
        <f t="shared" ca="1" si="5"/>
        <v>5</v>
      </c>
      <c r="M28" s="7">
        <f t="shared" ca="1" si="6"/>
        <v>4</v>
      </c>
      <c r="N28" s="7" t="str">
        <f t="shared" ca="1" si="7"/>
        <v>SAD</v>
      </c>
      <c r="O28" s="7" t="str">
        <f t="shared" ca="1" si="8"/>
        <v>Sunrise Pink</v>
      </c>
      <c r="P28" s="7" t="str">
        <f t="shared" ca="1" si="9"/>
        <v>Slow Breathing</v>
      </c>
      <c r="Q28" s="7">
        <f t="shared" ca="1" si="10"/>
        <v>102</v>
      </c>
      <c r="R28" s="7" t="str">
        <f t="shared" ca="1" si="11"/>
        <v>Dodenherdenking</v>
      </c>
      <c r="S28" s="7"/>
      <c r="U28" s="5">
        <f t="shared" ca="1" si="17"/>
        <v>46118.662929050923</v>
      </c>
      <c r="V28">
        <f t="shared" ca="1" si="12"/>
        <v>2026</v>
      </c>
      <c r="W28">
        <f t="shared" ca="1" si="13"/>
        <v>4</v>
      </c>
      <c r="X28">
        <f t="shared" ca="1" si="14"/>
        <v>6</v>
      </c>
      <c r="Z28" t="b">
        <f t="shared" ca="1" si="15"/>
        <v>0</v>
      </c>
      <c r="AA28" t="b">
        <f t="shared" ca="1" si="16"/>
        <v>0</v>
      </c>
      <c r="AI28">
        <v>2026</v>
      </c>
      <c r="AJ28">
        <v>6</v>
      </c>
      <c r="AK28">
        <v>24</v>
      </c>
      <c r="AL28" t="s">
        <v>93</v>
      </c>
      <c r="AM28" t="s">
        <v>158</v>
      </c>
      <c r="AN28" t="s">
        <v>1412</v>
      </c>
      <c r="AO28" s="1">
        <v>61</v>
      </c>
      <c r="AP28" t="s">
        <v>1369</v>
      </c>
    </row>
    <row r="29" spans="2:42" x14ac:dyDescent="0.25">
      <c r="B29" s="6">
        <f t="shared" ca="1" si="19"/>
        <v>2026</v>
      </c>
      <c r="C29" s="6">
        <f t="shared" ca="1" si="19"/>
        <v>5</v>
      </c>
      <c r="D29" s="6">
        <f t="shared" ca="1" si="19"/>
        <v>14</v>
      </c>
      <c r="E29" s="6" t="str">
        <f t="shared" ca="1" si="19"/>
        <v>BLUES</v>
      </c>
      <c r="F29" s="6" t="str">
        <f t="shared" ca="1" si="19"/>
        <v>Cobalt Blue</v>
      </c>
      <c r="G29" s="6" t="str">
        <f t="shared" ca="1" si="2"/>
        <v>Slow Breathing</v>
      </c>
      <c r="H29" s="6">
        <f t="shared" ca="1" si="3"/>
        <v>133</v>
      </c>
      <c r="I29" s="6" t="str">
        <f t="shared" ca="1" si="4"/>
        <v>Hemelvaart</v>
      </c>
      <c r="J29" s="6"/>
      <c r="K29" s="7">
        <v>0</v>
      </c>
      <c r="L29" s="7">
        <f t="shared" ca="1" si="5"/>
        <v>0</v>
      </c>
      <c r="M29" s="7">
        <f t="shared" ca="1" si="6"/>
        <v>0</v>
      </c>
      <c r="N29" s="7" t="str">
        <f t="shared" ca="1" si="7"/>
        <v>SATIE</v>
      </c>
      <c r="O29" s="7" t="str">
        <f t="shared" ca="1" si="8"/>
        <v>Cool Ocean</v>
      </c>
      <c r="P29" s="7" t="str">
        <f t="shared" ca="1" si="9"/>
        <v>Dancing Embers</v>
      </c>
      <c r="Q29" s="7">
        <f t="shared" ca="1" si="10"/>
        <v>114</v>
      </c>
      <c r="R29" s="7" t="str">
        <f t="shared" ca="1" si="11"/>
        <v xml:space="preserve"> </v>
      </c>
      <c r="S29" s="7"/>
      <c r="U29" s="5">
        <f t="shared" ca="1" si="17"/>
        <v>46119.662929050923</v>
      </c>
      <c r="V29">
        <f t="shared" ca="1" si="12"/>
        <v>2026</v>
      </c>
      <c r="W29">
        <f t="shared" ca="1" si="13"/>
        <v>4</v>
      </c>
      <c r="X29">
        <f t="shared" ca="1" si="14"/>
        <v>7</v>
      </c>
      <c r="Z29" t="b">
        <f t="shared" ca="1" si="15"/>
        <v>0</v>
      </c>
      <c r="AA29" t="b">
        <f t="shared" ca="1" si="16"/>
        <v>0</v>
      </c>
      <c r="AI29">
        <v>2026</v>
      </c>
      <c r="AJ29">
        <v>7</v>
      </c>
      <c r="AK29">
        <v>1</v>
      </c>
      <c r="AL29" t="s">
        <v>91</v>
      </c>
      <c r="AM29" t="s">
        <v>164</v>
      </c>
      <c r="AN29" t="s">
        <v>85</v>
      </c>
      <c r="AO29" s="1">
        <v>171</v>
      </c>
      <c r="AP29" t="s">
        <v>131</v>
      </c>
    </row>
    <row r="30" spans="2:42" x14ac:dyDescent="0.25">
      <c r="B30" s="6">
        <f t="shared" ca="1" si="19"/>
        <v>2027</v>
      </c>
      <c r="C30" s="6">
        <f t="shared" ca="1" si="19"/>
        <v>5</v>
      </c>
      <c r="D30" s="6">
        <f t="shared" ca="1" si="19"/>
        <v>6</v>
      </c>
      <c r="E30" s="6" t="str">
        <f t="shared" ca="1" si="19"/>
        <v>BLUES</v>
      </c>
      <c r="F30" s="6" t="str">
        <f t="shared" ca="1" si="19"/>
        <v>Cobalt Blue</v>
      </c>
      <c r="G30" s="6" t="str">
        <f t="shared" ca="1" si="2"/>
        <v>Slow Breathing</v>
      </c>
      <c r="H30" s="6">
        <f t="shared" ca="1" si="3"/>
        <v>122</v>
      </c>
      <c r="I30" s="6" t="str">
        <f t="shared" ca="1" si="4"/>
        <v>Hemelvaart</v>
      </c>
      <c r="J30" s="6"/>
      <c r="K30" s="7">
        <v>0</v>
      </c>
      <c r="L30" s="7">
        <f t="shared" ca="1" si="5"/>
        <v>0</v>
      </c>
      <c r="M30" s="7">
        <f t="shared" ca="1" si="6"/>
        <v>0</v>
      </c>
      <c r="N30" s="7" t="str">
        <f t="shared" ca="1" si="7"/>
        <v>SATIE</v>
      </c>
      <c r="O30" s="7" t="str">
        <f t="shared" ca="1" si="8"/>
        <v>Cool Ocean</v>
      </c>
      <c r="P30" s="7" t="str">
        <f t="shared" ca="1" si="9"/>
        <v>Dancing Embers</v>
      </c>
      <c r="Q30" s="7">
        <f t="shared" ca="1" si="10"/>
        <v>101</v>
      </c>
      <c r="R30" s="7" t="str">
        <f t="shared" ca="1" si="11"/>
        <v xml:space="preserve"> </v>
      </c>
      <c r="S30" s="7"/>
      <c r="U30" s="5">
        <f t="shared" ca="1" si="17"/>
        <v>46120.662929050923</v>
      </c>
      <c r="V30">
        <f t="shared" ca="1" si="12"/>
        <v>2026</v>
      </c>
      <c r="W30">
        <f t="shared" ca="1" si="13"/>
        <v>4</v>
      </c>
      <c r="X30">
        <f t="shared" ca="1" si="14"/>
        <v>8</v>
      </c>
      <c r="Z30" t="b">
        <f t="shared" ca="1" si="15"/>
        <v>0</v>
      </c>
      <c r="AA30" t="b">
        <f t="shared" ca="1" si="16"/>
        <v>0</v>
      </c>
      <c r="AI30">
        <v>2026</v>
      </c>
      <c r="AJ30">
        <v>8</v>
      </c>
      <c r="AK30">
        <v>1</v>
      </c>
      <c r="AL30" t="s">
        <v>91</v>
      </c>
      <c r="AM30" t="s">
        <v>164</v>
      </c>
      <c r="AN30" t="s">
        <v>85</v>
      </c>
      <c r="AO30" s="1">
        <v>231</v>
      </c>
      <c r="AP30" t="s">
        <v>132</v>
      </c>
    </row>
    <row r="31" spans="2:42" x14ac:dyDescent="0.25">
      <c r="B31" s="6">
        <f t="shared" ca="1" si="19"/>
        <v>2028</v>
      </c>
      <c r="C31" s="6">
        <f t="shared" ca="1" si="19"/>
        <v>5</v>
      </c>
      <c r="D31" s="6">
        <f t="shared" ca="1" si="19"/>
        <v>25</v>
      </c>
      <c r="E31" s="6" t="str">
        <f t="shared" ca="1" si="19"/>
        <v>BLUES</v>
      </c>
      <c r="F31" s="6" t="str">
        <f t="shared" ca="1" si="19"/>
        <v>Cobalt Blue</v>
      </c>
      <c r="G31" s="6" t="str">
        <f t="shared" ca="1" si="2"/>
        <v>Slow Breathing</v>
      </c>
      <c r="H31" s="6">
        <f t="shared" ca="1" si="3"/>
        <v>101</v>
      </c>
      <c r="I31" s="6" t="str">
        <f t="shared" ca="1" si="4"/>
        <v>Hemelvaart</v>
      </c>
      <c r="J31" s="6"/>
      <c r="K31" s="7">
        <v>0</v>
      </c>
      <c r="L31" s="7">
        <f t="shared" ca="1" si="5"/>
        <v>0</v>
      </c>
      <c r="M31" s="7">
        <f t="shared" ca="1" si="6"/>
        <v>0</v>
      </c>
      <c r="N31" s="7" t="str">
        <f t="shared" ca="1" si="7"/>
        <v>SATIE</v>
      </c>
      <c r="O31" s="7" t="str">
        <f t="shared" ca="1" si="8"/>
        <v>Cool Ocean</v>
      </c>
      <c r="P31" s="7" t="str">
        <f t="shared" ca="1" si="9"/>
        <v>Dancing Embers</v>
      </c>
      <c r="Q31" s="7">
        <f t="shared" ca="1" si="10"/>
        <v>76</v>
      </c>
      <c r="R31" s="7" t="str">
        <f t="shared" ca="1" si="11"/>
        <v xml:space="preserve"> </v>
      </c>
      <c r="S31" s="7"/>
      <c r="U31" s="5">
        <f t="shared" ca="1" si="17"/>
        <v>46121.662929050923</v>
      </c>
      <c r="V31">
        <f t="shared" ca="1" si="12"/>
        <v>2026</v>
      </c>
      <c r="W31">
        <f t="shared" ca="1" si="13"/>
        <v>4</v>
      </c>
      <c r="X31">
        <f t="shared" ca="1" si="14"/>
        <v>9</v>
      </c>
      <c r="Z31" t="b">
        <f t="shared" ca="1" si="15"/>
        <v>0</v>
      </c>
      <c r="AA31" t="b">
        <f t="shared" ca="1" si="16"/>
        <v>0</v>
      </c>
      <c r="AI31">
        <v>2026</v>
      </c>
      <c r="AJ31">
        <v>9</v>
      </c>
      <c r="AK31">
        <v>1</v>
      </c>
      <c r="AL31" t="s">
        <v>91</v>
      </c>
      <c r="AM31" t="s">
        <v>164</v>
      </c>
      <c r="AN31" t="s">
        <v>85</v>
      </c>
      <c r="AO31" s="1">
        <v>282</v>
      </c>
      <c r="AP31" t="s">
        <v>133</v>
      </c>
    </row>
    <row r="32" spans="2:42" x14ac:dyDescent="0.25">
      <c r="B32" s="6">
        <f t="shared" ca="1" si="19"/>
        <v>2029</v>
      </c>
      <c r="C32" s="6">
        <f t="shared" ca="1" si="19"/>
        <v>5</v>
      </c>
      <c r="D32" s="6">
        <f t="shared" ca="1" si="19"/>
        <v>10</v>
      </c>
      <c r="E32" s="6" t="str">
        <f t="shared" ca="1" si="19"/>
        <v>BLUES</v>
      </c>
      <c r="F32" s="6" t="str">
        <f t="shared" ca="1" si="19"/>
        <v>Cobalt Blue</v>
      </c>
      <c r="G32" s="6" t="str">
        <f t="shared" ca="1" si="2"/>
        <v>Slow Breathing</v>
      </c>
      <c r="H32" s="6">
        <f t="shared" ca="1" si="3"/>
        <v>88</v>
      </c>
      <c r="I32" s="6" t="str">
        <f t="shared" ca="1" si="4"/>
        <v>Hemelvaart</v>
      </c>
      <c r="J32" s="6"/>
      <c r="K32" s="7">
        <v>0</v>
      </c>
      <c r="L32" s="7">
        <f t="shared" ca="1" si="5"/>
        <v>0</v>
      </c>
      <c r="M32" s="7">
        <f t="shared" ca="1" si="6"/>
        <v>0</v>
      </c>
      <c r="N32" s="7">
        <f t="shared" ca="1" si="7"/>
        <v>0</v>
      </c>
      <c r="O32" s="7">
        <f t="shared" ca="1" si="8"/>
        <v>0</v>
      </c>
      <c r="P32" s="7">
        <f t="shared" ca="1" si="9"/>
        <v>0</v>
      </c>
      <c r="Q32" s="7">
        <f t="shared" ca="1" si="10"/>
        <v>0</v>
      </c>
      <c r="R32" s="7">
        <f t="shared" ca="1" si="11"/>
        <v>0</v>
      </c>
      <c r="S32" s="7"/>
      <c r="U32" s="5">
        <f t="shared" ca="1" si="17"/>
        <v>46122.662929050923</v>
      </c>
      <c r="V32">
        <f t="shared" ca="1" si="12"/>
        <v>2026</v>
      </c>
      <c r="W32">
        <f t="shared" ca="1" si="13"/>
        <v>4</v>
      </c>
      <c r="X32">
        <f t="shared" ca="1" si="14"/>
        <v>10</v>
      </c>
      <c r="Z32" t="b">
        <f t="shared" ca="1" si="15"/>
        <v>0</v>
      </c>
      <c r="AA32" t="b">
        <f t="shared" ca="1" si="16"/>
        <v>0</v>
      </c>
      <c r="AI32">
        <v>2026</v>
      </c>
      <c r="AJ32">
        <v>10</v>
      </c>
      <c r="AK32">
        <v>1</v>
      </c>
      <c r="AL32" t="s">
        <v>91</v>
      </c>
      <c r="AM32" t="s">
        <v>164</v>
      </c>
      <c r="AN32" t="s">
        <v>85</v>
      </c>
      <c r="AO32" s="1">
        <v>277</v>
      </c>
      <c r="AP32" t="s">
        <v>134</v>
      </c>
    </row>
    <row r="33" spans="2:42" x14ac:dyDescent="0.25">
      <c r="B33" s="6">
        <f t="shared" ref="B33:F42" ca="1" si="20">OFFSET(INDIRECT($B$1),ROW(A31),COLUMN(A31))</f>
        <v>2030</v>
      </c>
      <c r="C33" s="6">
        <f t="shared" ca="1" si="20"/>
        <v>5</v>
      </c>
      <c r="D33" s="6">
        <f t="shared" ca="1" si="20"/>
        <v>30</v>
      </c>
      <c r="E33" s="6" t="str">
        <f t="shared" ca="1" si="20"/>
        <v>BLUES</v>
      </c>
      <c r="F33" s="6" t="str">
        <f t="shared" ca="1" si="20"/>
        <v>Cobalt Blue</v>
      </c>
      <c r="G33" s="6" t="str">
        <f t="shared" ca="1" si="2"/>
        <v>Slow Breathing</v>
      </c>
      <c r="H33" s="6">
        <f t="shared" ca="1" si="3"/>
        <v>96</v>
      </c>
      <c r="I33" s="6" t="str">
        <f t="shared" ca="1" si="4"/>
        <v>Hemelvaart</v>
      </c>
      <c r="J33" s="6"/>
      <c r="K33" s="7">
        <v>0</v>
      </c>
      <c r="L33" s="7">
        <f t="shared" ca="1" si="5"/>
        <v>0</v>
      </c>
      <c r="M33" s="7">
        <f t="shared" ca="1" si="6"/>
        <v>0</v>
      </c>
      <c r="N33" s="7">
        <f t="shared" ca="1" si="7"/>
        <v>0</v>
      </c>
      <c r="O33" s="7">
        <f t="shared" ca="1" si="8"/>
        <v>0</v>
      </c>
      <c r="P33" s="7">
        <f t="shared" ca="1" si="9"/>
        <v>0</v>
      </c>
      <c r="Q33" s="7">
        <f t="shared" ca="1" si="10"/>
        <v>0</v>
      </c>
      <c r="R33" s="7">
        <f t="shared" ca="1" si="11"/>
        <v>0</v>
      </c>
      <c r="S33" s="7"/>
      <c r="U33" s="5">
        <f t="shared" ca="1" si="17"/>
        <v>46123.662929050923</v>
      </c>
      <c r="V33">
        <f t="shared" ca="1" si="12"/>
        <v>2026</v>
      </c>
      <c r="W33">
        <f t="shared" ca="1" si="13"/>
        <v>4</v>
      </c>
      <c r="X33">
        <f t="shared" ca="1" si="14"/>
        <v>11</v>
      </c>
      <c r="Z33" t="b">
        <f t="shared" ca="1" si="15"/>
        <v>0</v>
      </c>
      <c r="AA33" t="b">
        <f t="shared" ca="1" si="16"/>
        <v>0</v>
      </c>
      <c r="AI33">
        <v>2026</v>
      </c>
      <c r="AJ33">
        <v>10</v>
      </c>
      <c r="AK33">
        <v>8</v>
      </c>
      <c r="AL33" t="s">
        <v>56</v>
      </c>
      <c r="AM33" t="s">
        <v>184</v>
      </c>
      <c r="AN33" t="s">
        <v>84</v>
      </c>
      <c r="AO33" s="1">
        <v>105</v>
      </c>
      <c r="AP33" t="s">
        <v>135</v>
      </c>
    </row>
    <row r="34" spans="2:42" x14ac:dyDescent="0.25">
      <c r="B34" s="6">
        <f t="shared" ca="1" si="20"/>
        <v>2031</v>
      </c>
      <c r="C34" s="6">
        <f t="shared" ca="1" si="20"/>
        <v>5</v>
      </c>
      <c r="D34" s="6">
        <f t="shared" ca="1" si="20"/>
        <v>22</v>
      </c>
      <c r="E34" s="6" t="str">
        <f t="shared" ca="1" si="20"/>
        <v>BLUES</v>
      </c>
      <c r="F34" s="6" t="str">
        <f t="shared" ca="1" si="20"/>
        <v>Cobalt Blue</v>
      </c>
      <c r="G34" s="6" t="str">
        <f t="shared" ca="1" si="2"/>
        <v>Slow Breathing</v>
      </c>
      <c r="H34" s="6">
        <f t="shared" ca="1" si="3"/>
        <v>117</v>
      </c>
      <c r="I34" s="6" t="str">
        <f t="shared" ca="1" si="4"/>
        <v>Hemelvaart</v>
      </c>
      <c r="J34" s="6"/>
      <c r="K34" s="7">
        <v>0</v>
      </c>
      <c r="L34" s="7">
        <f t="shared" ca="1" si="5"/>
        <v>0</v>
      </c>
      <c r="M34" s="7">
        <f t="shared" ca="1" si="6"/>
        <v>0</v>
      </c>
      <c r="N34" s="7">
        <f t="shared" ca="1" si="7"/>
        <v>0</v>
      </c>
      <c r="O34" s="7">
        <f t="shared" ca="1" si="8"/>
        <v>0</v>
      </c>
      <c r="P34" s="7">
        <f t="shared" ca="1" si="9"/>
        <v>0</v>
      </c>
      <c r="Q34" s="7">
        <f t="shared" ca="1" si="10"/>
        <v>0</v>
      </c>
      <c r="R34" s="7">
        <f t="shared" ca="1" si="11"/>
        <v>0</v>
      </c>
      <c r="S34" s="7"/>
      <c r="U34" s="5">
        <f t="shared" ca="1" si="17"/>
        <v>46124.662929050923</v>
      </c>
      <c r="V34">
        <f t="shared" ca="1" si="12"/>
        <v>2026</v>
      </c>
      <c r="W34">
        <f t="shared" ca="1" si="13"/>
        <v>4</v>
      </c>
      <c r="X34">
        <f t="shared" ca="1" si="14"/>
        <v>12</v>
      </c>
      <c r="Z34" t="b">
        <f t="shared" ca="1" si="15"/>
        <v>0</v>
      </c>
      <c r="AA34" t="b">
        <f t="shared" ca="1" si="16"/>
        <v>0</v>
      </c>
      <c r="AI34">
        <v>2026</v>
      </c>
      <c r="AJ34">
        <v>11</v>
      </c>
      <c r="AK34">
        <v>1</v>
      </c>
      <c r="AL34" t="s">
        <v>91</v>
      </c>
      <c r="AM34" t="s">
        <v>164</v>
      </c>
      <c r="AN34" t="s">
        <v>85</v>
      </c>
      <c r="AO34" s="1">
        <v>221</v>
      </c>
      <c r="AP34" t="s">
        <v>136</v>
      </c>
    </row>
    <row r="35" spans="2:42" x14ac:dyDescent="0.25">
      <c r="B35" s="6">
        <f t="shared" ca="1" si="20"/>
        <v>2032</v>
      </c>
      <c r="C35" s="6">
        <f t="shared" ca="1" si="20"/>
        <v>5</v>
      </c>
      <c r="D35" s="6">
        <f t="shared" ca="1" si="20"/>
        <v>6</v>
      </c>
      <c r="E35" s="6" t="str">
        <f t="shared" ca="1" si="20"/>
        <v>BLUES</v>
      </c>
      <c r="F35" s="6" t="str">
        <f t="shared" ca="1" si="20"/>
        <v>Cobalt Blue</v>
      </c>
      <c r="G35" s="6" t="str">
        <f t="shared" ca="1" si="2"/>
        <v>Slow Breathing</v>
      </c>
      <c r="H35" s="6">
        <f t="shared" ca="1" si="3"/>
        <v>132</v>
      </c>
      <c r="I35" s="6" t="str">
        <f t="shared" ca="1" si="4"/>
        <v>Hemelvaart</v>
      </c>
      <c r="J35" s="6"/>
      <c r="K35" s="7">
        <v>0</v>
      </c>
      <c r="L35" s="7">
        <f t="shared" ca="1" si="5"/>
        <v>0</v>
      </c>
      <c r="M35" s="7">
        <f t="shared" ca="1" si="6"/>
        <v>0</v>
      </c>
      <c r="N35" s="7">
        <f t="shared" ca="1" si="7"/>
        <v>0</v>
      </c>
      <c r="O35" s="7">
        <f t="shared" ca="1" si="8"/>
        <v>0</v>
      </c>
      <c r="P35" s="7">
        <f t="shared" ca="1" si="9"/>
        <v>0</v>
      </c>
      <c r="Q35" s="7">
        <f t="shared" ca="1" si="10"/>
        <v>0</v>
      </c>
      <c r="R35" s="7">
        <f t="shared" ca="1" si="11"/>
        <v>0</v>
      </c>
      <c r="S35" s="7"/>
      <c r="U35" s="5">
        <f t="shared" ca="1" si="17"/>
        <v>46125.662929050923</v>
      </c>
      <c r="V35">
        <f t="shared" ca="1" si="12"/>
        <v>2026</v>
      </c>
      <c r="W35">
        <f t="shared" ca="1" si="13"/>
        <v>4</v>
      </c>
      <c r="X35">
        <f t="shared" ca="1" si="14"/>
        <v>13</v>
      </c>
      <c r="Z35" t="b">
        <f t="shared" ca="1" si="15"/>
        <v>0</v>
      </c>
      <c r="AA35" t="b">
        <f t="shared" ca="1" si="16"/>
        <v>0</v>
      </c>
      <c r="AI35">
        <v>2026</v>
      </c>
      <c r="AJ35">
        <v>12</v>
      </c>
      <c r="AK35">
        <v>1</v>
      </c>
      <c r="AL35" t="s">
        <v>91</v>
      </c>
      <c r="AM35" t="s">
        <v>164</v>
      </c>
      <c r="AN35" t="s">
        <v>85</v>
      </c>
      <c r="AO35" s="1">
        <v>165</v>
      </c>
      <c r="AP35" t="s">
        <v>137</v>
      </c>
    </row>
    <row r="36" spans="2:42" x14ac:dyDescent="0.25">
      <c r="B36" s="6">
        <f t="shared" ca="1" si="20"/>
        <v>2033</v>
      </c>
      <c r="C36" s="6">
        <f t="shared" ca="1" si="20"/>
        <v>5</v>
      </c>
      <c r="D36" s="6">
        <f t="shared" ca="1" si="20"/>
        <v>26</v>
      </c>
      <c r="E36" s="6" t="str">
        <f t="shared" ca="1" si="20"/>
        <v>BLUES</v>
      </c>
      <c r="F36" s="6" t="str">
        <f t="shared" ca="1" si="20"/>
        <v>Cobalt Blue</v>
      </c>
      <c r="G36" s="6" t="str">
        <f t="shared" ca="1" si="2"/>
        <v>Slow Breathing</v>
      </c>
      <c r="H36" s="6">
        <f t="shared" ca="1" si="3"/>
        <v>127</v>
      </c>
      <c r="I36" s="6" t="str">
        <f t="shared" ca="1" si="4"/>
        <v>Hemelvaart</v>
      </c>
      <c r="J36" s="6"/>
      <c r="K36" s="7">
        <v>0</v>
      </c>
      <c r="L36" s="7">
        <f t="shared" ca="1" si="5"/>
        <v>0</v>
      </c>
      <c r="M36" s="7">
        <f t="shared" ca="1" si="6"/>
        <v>0</v>
      </c>
      <c r="N36" s="7">
        <f t="shared" ca="1" si="7"/>
        <v>0</v>
      </c>
      <c r="O36" s="7">
        <f t="shared" ca="1" si="8"/>
        <v>0</v>
      </c>
      <c r="P36" s="7">
        <f t="shared" ca="1" si="9"/>
        <v>0</v>
      </c>
      <c r="Q36" s="7">
        <f t="shared" ca="1" si="10"/>
        <v>0</v>
      </c>
      <c r="R36" s="7">
        <f t="shared" ca="1" si="11"/>
        <v>0</v>
      </c>
      <c r="S36" s="7"/>
      <c r="U36" s="5">
        <f t="shared" ca="1" si="17"/>
        <v>46126.662929050923</v>
      </c>
      <c r="V36">
        <f t="shared" ca="1" si="12"/>
        <v>2026</v>
      </c>
      <c r="W36">
        <f t="shared" ca="1" si="13"/>
        <v>4</v>
      </c>
      <c r="X36">
        <f t="shared" ca="1" si="14"/>
        <v>14</v>
      </c>
      <c r="Z36" t="b">
        <f t="shared" ca="1" si="15"/>
        <v>0</v>
      </c>
      <c r="AA36" t="b">
        <f t="shared" ca="1" si="16"/>
        <v>0</v>
      </c>
      <c r="AI36">
        <v>2026</v>
      </c>
      <c r="AJ36">
        <v>12</v>
      </c>
      <c r="AK36">
        <v>5</v>
      </c>
      <c r="AL36" t="s">
        <v>53</v>
      </c>
      <c r="AM36" t="s">
        <v>224</v>
      </c>
      <c r="AN36" t="s">
        <v>258</v>
      </c>
      <c r="AO36" s="1">
        <v>113</v>
      </c>
      <c r="AP36" t="s">
        <v>1234</v>
      </c>
    </row>
    <row r="37" spans="2:42" x14ac:dyDescent="0.25">
      <c r="B37" s="6">
        <f t="shared" ca="1" si="20"/>
        <v>2034</v>
      </c>
      <c r="C37" s="6">
        <f t="shared" ca="1" si="20"/>
        <v>5</v>
      </c>
      <c r="D37" s="6">
        <f t="shared" ca="1" si="20"/>
        <v>18</v>
      </c>
      <c r="E37" s="6" t="str">
        <f t="shared" ca="1" si="20"/>
        <v>BLUES</v>
      </c>
      <c r="F37" s="6" t="str">
        <f t="shared" ca="1" si="20"/>
        <v>Cobalt Blue</v>
      </c>
      <c r="G37" s="6" t="str">
        <f t="shared" ca="1" si="2"/>
        <v>Slow Breathing</v>
      </c>
      <c r="H37" s="6">
        <f t="shared" ca="1" si="3"/>
        <v>107</v>
      </c>
      <c r="I37" s="6" t="str">
        <f t="shared" ca="1" si="4"/>
        <v>Hemelvaart</v>
      </c>
      <c r="J37" s="6"/>
      <c r="K37" s="7">
        <v>0</v>
      </c>
      <c r="L37" s="7">
        <f t="shared" ca="1" si="5"/>
        <v>0</v>
      </c>
      <c r="M37" s="7">
        <f t="shared" ca="1" si="6"/>
        <v>0</v>
      </c>
      <c r="N37" s="7">
        <f t="shared" ca="1" si="7"/>
        <v>0</v>
      </c>
      <c r="O37" s="7">
        <f t="shared" ca="1" si="8"/>
        <v>0</v>
      </c>
      <c r="P37" s="7">
        <f t="shared" ca="1" si="9"/>
        <v>0</v>
      </c>
      <c r="Q37" s="7">
        <f t="shared" ca="1" si="10"/>
        <v>0</v>
      </c>
      <c r="R37" s="7">
        <f t="shared" ca="1" si="11"/>
        <v>0</v>
      </c>
      <c r="S37" s="7"/>
      <c r="U37" s="5">
        <f t="shared" ca="1" si="17"/>
        <v>46127.662929050923</v>
      </c>
      <c r="V37">
        <f t="shared" ca="1" si="12"/>
        <v>2026</v>
      </c>
      <c r="W37">
        <f t="shared" ca="1" si="13"/>
        <v>4</v>
      </c>
      <c r="X37">
        <f t="shared" ca="1" si="14"/>
        <v>15</v>
      </c>
      <c r="Z37" t="b">
        <f t="shared" ca="1" si="15"/>
        <v>0</v>
      </c>
      <c r="AA37" t="b">
        <f t="shared" ca="1" si="16"/>
        <v>0</v>
      </c>
      <c r="AI37">
        <v>2026</v>
      </c>
      <c r="AJ37">
        <v>12</v>
      </c>
      <c r="AK37">
        <v>13</v>
      </c>
      <c r="AL37" t="s">
        <v>56</v>
      </c>
      <c r="AM37" t="s">
        <v>184</v>
      </c>
      <c r="AN37" t="s">
        <v>84</v>
      </c>
      <c r="AO37" s="1">
        <v>114</v>
      </c>
      <c r="AP37" t="s">
        <v>138</v>
      </c>
    </row>
    <row r="38" spans="2:42" x14ac:dyDescent="0.25">
      <c r="B38" s="6">
        <f t="shared" ca="1" si="20"/>
        <v>2035</v>
      </c>
      <c r="C38" s="6">
        <f t="shared" ca="1" si="20"/>
        <v>5</v>
      </c>
      <c r="D38" s="6">
        <f t="shared" ca="1" si="20"/>
        <v>3</v>
      </c>
      <c r="E38" s="6" t="str">
        <f t="shared" ca="1" si="20"/>
        <v>BLUES</v>
      </c>
      <c r="F38" s="6" t="str">
        <f t="shared" ca="1" si="20"/>
        <v>Cobalt Blue</v>
      </c>
      <c r="G38" s="6" t="str">
        <f t="shared" ca="1" si="2"/>
        <v>Slow Breathing</v>
      </c>
      <c r="H38" s="6">
        <f t="shared" ca="1" si="3"/>
        <v>90</v>
      </c>
      <c r="I38" s="6" t="str">
        <f t="shared" ca="1" si="4"/>
        <v>Hemelvaart</v>
      </c>
      <c r="J38" s="6"/>
      <c r="K38" s="7">
        <v>0</v>
      </c>
      <c r="L38" s="7">
        <f t="shared" ca="1" si="5"/>
        <v>0</v>
      </c>
      <c r="M38" s="7">
        <f t="shared" ca="1" si="6"/>
        <v>0</v>
      </c>
      <c r="N38" s="7">
        <f t="shared" ca="1" si="7"/>
        <v>0</v>
      </c>
      <c r="O38" s="7">
        <f t="shared" ca="1" si="8"/>
        <v>0</v>
      </c>
      <c r="P38" s="7">
        <f t="shared" ca="1" si="9"/>
        <v>0</v>
      </c>
      <c r="Q38" s="7">
        <f t="shared" ca="1" si="10"/>
        <v>0</v>
      </c>
      <c r="R38" s="7">
        <f t="shared" ca="1" si="11"/>
        <v>0</v>
      </c>
      <c r="S38" s="7"/>
      <c r="U38" s="5">
        <f t="shared" ca="1" si="17"/>
        <v>46128.662929050923</v>
      </c>
      <c r="V38">
        <f t="shared" ca="1" si="12"/>
        <v>2026</v>
      </c>
      <c r="W38">
        <f t="shared" ca="1" si="13"/>
        <v>4</v>
      </c>
      <c r="X38">
        <f t="shared" ca="1" si="14"/>
        <v>16</v>
      </c>
      <c r="Z38" t="b">
        <f t="shared" ca="1" si="15"/>
        <v>0</v>
      </c>
      <c r="AA38" t="b">
        <f t="shared" ca="1" si="16"/>
        <v>0</v>
      </c>
      <c r="AI38">
        <v>2026</v>
      </c>
      <c r="AJ38">
        <v>12</v>
      </c>
      <c r="AK38">
        <v>25</v>
      </c>
      <c r="AL38" t="s">
        <v>43</v>
      </c>
      <c r="AM38" t="s">
        <v>230</v>
      </c>
      <c r="AN38" t="s">
        <v>1411</v>
      </c>
      <c r="AO38" s="1">
        <v>95</v>
      </c>
      <c r="AP38" t="s">
        <v>7</v>
      </c>
    </row>
    <row r="39" spans="2:42" x14ac:dyDescent="0.25">
      <c r="B39" s="6">
        <f t="shared" ca="1" si="20"/>
        <v>2036</v>
      </c>
      <c r="C39" s="6">
        <f t="shared" ca="1" si="20"/>
        <v>5</v>
      </c>
      <c r="D39" s="6">
        <f t="shared" ca="1" si="20"/>
        <v>22</v>
      </c>
      <c r="E39" s="6" t="str">
        <f t="shared" ca="1" si="20"/>
        <v>BLUES</v>
      </c>
      <c r="F39" s="6" t="str">
        <f t="shared" ca="1" si="20"/>
        <v>Cobalt Blue</v>
      </c>
      <c r="G39" s="6" t="str">
        <f t="shared" ca="1" si="2"/>
        <v>Slow Breathing</v>
      </c>
      <c r="H39" s="6">
        <f t="shared" ca="1" si="3"/>
        <v>92</v>
      </c>
      <c r="I39" s="6" t="str">
        <f t="shared" ca="1" si="4"/>
        <v>Hemelvaart</v>
      </c>
      <c r="J39" s="6"/>
      <c r="K39" s="7">
        <v>0</v>
      </c>
      <c r="L39" s="7">
        <f t="shared" ca="1" si="5"/>
        <v>0</v>
      </c>
      <c r="M39" s="7">
        <f t="shared" ca="1" si="6"/>
        <v>0</v>
      </c>
      <c r="N39" s="7">
        <f t="shared" ca="1" si="7"/>
        <v>0</v>
      </c>
      <c r="O39" s="7">
        <f t="shared" ca="1" si="8"/>
        <v>0</v>
      </c>
      <c r="P39" s="7">
        <f t="shared" ca="1" si="9"/>
        <v>0</v>
      </c>
      <c r="Q39" s="7">
        <f t="shared" ca="1" si="10"/>
        <v>0</v>
      </c>
      <c r="R39" s="7">
        <f t="shared" ca="1" si="11"/>
        <v>0</v>
      </c>
      <c r="S39" s="7"/>
      <c r="U39" s="5">
        <f t="shared" ca="1" si="17"/>
        <v>46129.662929050923</v>
      </c>
      <c r="V39">
        <f t="shared" ca="1" si="12"/>
        <v>2026</v>
      </c>
      <c r="W39">
        <f t="shared" ca="1" si="13"/>
        <v>4</v>
      </c>
      <c r="X39">
        <f t="shared" ca="1" si="14"/>
        <v>17</v>
      </c>
      <c r="Z39" t="b">
        <f t="shared" ca="1" si="15"/>
        <v>0</v>
      </c>
      <c r="AA39" t="b">
        <f t="shared" ca="1" si="16"/>
        <v>0</v>
      </c>
      <c r="AI39">
        <v>2026</v>
      </c>
      <c r="AJ39">
        <v>12</v>
      </c>
      <c r="AK39">
        <v>26</v>
      </c>
      <c r="AL39" t="s">
        <v>43</v>
      </c>
      <c r="AM39" t="s">
        <v>201</v>
      </c>
      <c r="AN39" t="s">
        <v>86</v>
      </c>
      <c r="AO39" s="1">
        <v>108</v>
      </c>
      <c r="AP39" t="s">
        <v>78</v>
      </c>
    </row>
    <row r="40" spans="2:42" x14ac:dyDescent="0.25">
      <c r="B40" s="6">
        <f t="shared" ca="1" si="20"/>
        <v>2037</v>
      </c>
      <c r="C40" s="6">
        <f t="shared" ca="1" si="20"/>
        <v>5</v>
      </c>
      <c r="D40" s="6">
        <f t="shared" ca="1" si="20"/>
        <v>14</v>
      </c>
      <c r="E40" s="6" t="str">
        <f t="shared" ca="1" si="20"/>
        <v>BLUES</v>
      </c>
      <c r="F40" s="6" t="str">
        <f t="shared" ca="1" si="20"/>
        <v>Cobalt Blue</v>
      </c>
      <c r="G40" s="6" t="str">
        <f t="shared" ca="1" si="2"/>
        <v>Slow Breathing</v>
      </c>
      <c r="H40" s="6">
        <f t="shared" ca="1" si="3"/>
        <v>111</v>
      </c>
      <c r="I40" s="6" t="str">
        <f t="shared" ca="1" si="4"/>
        <v>Hemelvaart</v>
      </c>
      <c r="J40" s="6"/>
      <c r="K40" s="7">
        <v>0</v>
      </c>
      <c r="L40" s="7">
        <f t="shared" ca="1" si="5"/>
        <v>0</v>
      </c>
      <c r="M40" s="7">
        <f t="shared" ca="1" si="6"/>
        <v>0</v>
      </c>
      <c r="N40" s="7">
        <f t="shared" ca="1" si="7"/>
        <v>0</v>
      </c>
      <c r="O40" s="7">
        <f t="shared" ca="1" si="8"/>
        <v>0</v>
      </c>
      <c r="P40" s="7">
        <f t="shared" ca="1" si="9"/>
        <v>0</v>
      </c>
      <c r="Q40" s="7">
        <f t="shared" ca="1" si="10"/>
        <v>0</v>
      </c>
      <c r="R40" s="7">
        <f t="shared" ca="1" si="11"/>
        <v>0</v>
      </c>
      <c r="S40" s="7"/>
      <c r="U40" s="5">
        <f t="shared" ca="1" si="17"/>
        <v>46130.662929050923</v>
      </c>
      <c r="V40">
        <f t="shared" ca="1" si="12"/>
        <v>2026</v>
      </c>
      <c r="W40">
        <f t="shared" ca="1" si="13"/>
        <v>4</v>
      </c>
      <c r="X40">
        <f t="shared" ca="1" si="14"/>
        <v>18</v>
      </c>
      <c r="Z40" t="b">
        <f t="shared" ca="1" si="15"/>
        <v>0</v>
      </c>
      <c r="AA40" t="b">
        <f t="shared" ca="1" si="16"/>
        <v>0</v>
      </c>
      <c r="AI40">
        <v>2026</v>
      </c>
      <c r="AJ40">
        <v>12</v>
      </c>
      <c r="AK40">
        <v>28</v>
      </c>
      <c r="AL40" t="s">
        <v>52</v>
      </c>
      <c r="AM40" t="s">
        <v>245</v>
      </c>
      <c r="AN40" t="s">
        <v>1411</v>
      </c>
      <c r="AO40" s="1">
        <v>77</v>
      </c>
      <c r="AP40" t="s">
        <v>1367</v>
      </c>
    </row>
    <row r="41" spans="2:42" x14ac:dyDescent="0.25">
      <c r="B41" s="6">
        <f t="shared" ca="1" si="20"/>
        <v>2038</v>
      </c>
      <c r="C41" s="6">
        <f t="shared" ca="1" si="20"/>
        <v>6</v>
      </c>
      <c r="D41" s="6">
        <f t="shared" ca="1" si="20"/>
        <v>3</v>
      </c>
      <c r="E41" s="6" t="str">
        <f t="shared" ca="1" si="20"/>
        <v>BLUES</v>
      </c>
      <c r="F41" s="6" t="str">
        <f t="shared" ca="1" si="20"/>
        <v>Cobalt Blue</v>
      </c>
      <c r="G41" s="6" t="str">
        <f t="shared" ca="1" si="2"/>
        <v>Slow Breathing</v>
      </c>
      <c r="H41" s="6">
        <f t="shared" ca="1" si="3"/>
        <v>129</v>
      </c>
      <c r="I41" s="6" t="str">
        <f t="shared" ca="1" si="4"/>
        <v>Hemelvaart</v>
      </c>
      <c r="J41" s="6"/>
      <c r="K41" s="7">
        <v>0</v>
      </c>
      <c r="L41" s="7">
        <f t="shared" ca="1" si="5"/>
        <v>0</v>
      </c>
      <c r="M41" s="7">
        <f t="shared" ca="1" si="6"/>
        <v>0</v>
      </c>
      <c r="N41" s="7">
        <f t="shared" ca="1" si="7"/>
        <v>0</v>
      </c>
      <c r="O41" s="7">
        <f t="shared" ca="1" si="8"/>
        <v>0</v>
      </c>
      <c r="P41" s="7">
        <f t="shared" ca="1" si="9"/>
        <v>0</v>
      </c>
      <c r="Q41" s="7">
        <f t="shared" ca="1" si="10"/>
        <v>0</v>
      </c>
      <c r="R41" s="7">
        <f t="shared" ca="1" si="11"/>
        <v>0</v>
      </c>
      <c r="S41" s="7"/>
      <c r="U41" s="5">
        <f t="shared" ca="1" si="17"/>
        <v>46131.662929050923</v>
      </c>
      <c r="V41">
        <f t="shared" ca="1" si="12"/>
        <v>2026</v>
      </c>
      <c r="W41">
        <f t="shared" ca="1" si="13"/>
        <v>4</v>
      </c>
      <c r="X41">
        <f t="shared" ca="1" si="14"/>
        <v>19</v>
      </c>
      <c r="Z41" t="b">
        <f t="shared" ca="1" si="15"/>
        <v>0</v>
      </c>
      <c r="AA41" t="b">
        <f t="shared" ca="1" si="16"/>
        <v>0</v>
      </c>
      <c r="AI41">
        <v>2027</v>
      </c>
      <c r="AJ41">
        <v>1</v>
      </c>
      <c r="AK41">
        <v>1</v>
      </c>
      <c r="AL41" t="s">
        <v>93</v>
      </c>
      <c r="AM41" t="s">
        <v>256</v>
      </c>
      <c r="AN41" t="s">
        <v>83</v>
      </c>
      <c r="AO41" s="1">
        <v>77</v>
      </c>
      <c r="AP41" t="s">
        <v>8</v>
      </c>
    </row>
    <row r="42" spans="2:42" x14ac:dyDescent="0.25">
      <c r="B42" s="6">
        <f t="shared" ca="1" si="20"/>
        <v>2026</v>
      </c>
      <c r="C42" s="6">
        <f t="shared" ca="1" si="20"/>
        <v>2</v>
      </c>
      <c r="D42" s="6">
        <f t="shared" ca="1" si="20"/>
        <v>18</v>
      </c>
      <c r="E42" s="6" t="str">
        <f t="shared" ca="1" si="20"/>
        <v>SAD</v>
      </c>
      <c r="F42" s="6" t="str">
        <f t="shared" ca="1" si="20"/>
        <v>Slate Gray</v>
      </c>
      <c r="G42" s="6" t="str">
        <f t="shared" ca="1" si="2"/>
        <v>Calm Center</v>
      </c>
      <c r="H42" s="6">
        <f t="shared" ca="1" si="3"/>
        <v>262</v>
      </c>
      <c r="I42" s="6" t="str">
        <f t="shared" ca="1" si="4"/>
        <v>Aswoensdag ,  - het is  uit met de carnavalspret</v>
      </c>
      <c r="J42" s="6"/>
      <c r="K42" s="7">
        <v>0</v>
      </c>
      <c r="L42" s="7">
        <f t="shared" ca="1" si="5"/>
        <v>0</v>
      </c>
      <c r="M42" s="7">
        <f t="shared" ca="1" si="6"/>
        <v>0</v>
      </c>
      <c r="N42" s="7">
        <f t="shared" ca="1" si="7"/>
        <v>0</v>
      </c>
      <c r="O42" s="7">
        <f t="shared" ca="1" si="8"/>
        <v>0</v>
      </c>
      <c r="P42" s="7">
        <f t="shared" ca="1" si="9"/>
        <v>0</v>
      </c>
      <c r="Q42" s="7">
        <f t="shared" ca="1" si="10"/>
        <v>0</v>
      </c>
      <c r="R42" s="7">
        <f t="shared" ca="1" si="11"/>
        <v>0</v>
      </c>
      <c r="S42" s="7"/>
      <c r="U42" s="5">
        <f t="shared" ca="1" si="17"/>
        <v>46132.662929050923</v>
      </c>
      <c r="V42">
        <f t="shared" ca="1" si="12"/>
        <v>2026</v>
      </c>
      <c r="W42">
        <f t="shared" ca="1" si="13"/>
        <v>4</v>
      </c>
      <c r="X42">
        <f t="shared" ca="1" si="14"/>
        <v>20</v>
      </c>
      <c r="Z42" t="b">
        <f t="shared" ca="1" si="15"/>
        <v>0</v>
      </c>
      <c r="AA42" t="b">
        <f t="shared" ca="1" si="16"/>
        <v>0</v>
      </c>
      <c r="AI42">
        <v>2027</v>
      </c>
      <c r="AJ42">
        <v>2</v>
      </c>
      <c r="AK42">
        <v>1</v>
      </c>
      <c r="AL42" t="s">
        <v>91</v>
      </c>
      <c r="AM42" t="s">
        <v>164</v>
      </c>
      <c r="AN42" t="s">
        <v>85</v>
      </c>
      <c r="AO42" s="1">
        <v>249</v>
      </c>
      <c r="AP42" t="s">
        <v>1487</v>
      </c>
    </row>
    <row r="43" spans="2:42" x14ac:dyDescent="0.25">
      <c r="B43" s="6">
        <f t="shared" ref="B43:F52" ca="1" si="21">OFFSET(INDIRECT($B$1),ROW(A41),COLUMN(A41))</f>
        <v>2027</v>
      </c>
      <c r="C43" s="6">
        <f t="shared" ca="1" si="21"/>
        <v>2</v>
      </c>
      <c r="D43" s="6">
        <f t="shared" ca="1" si="21"/>
        <v>10</v>
      </c>
      <c r="E43" s="6" t="str">
        <f t="shared" ca="1" si="21"/>
        <v>SAD</v>
      </c>
      <c r="F43" s="6" t="str">
        <f t="shared" ca="1" si="21"/>
        <v>Slate Gray</v>
      </c>
      <c r="G43" s="6" t="str">
        <f t="shared" ca="1" si="2"/>
        <v>Calm Center</v>
      </c>
      <c r="H43" s="6">
        <f t="shared" ca="1" si="3"/>
        <v>227</v>
      </c>
      <c r="I43" s="6" t="str">
        <f t="shared" ca="1" si="4"/>
        <v>Aswoensdag ,  - en dan nu: vasten</v>
      </c>
      <c r="J43" s="6"/>
      <c r="K43" s="7">
        <v>0</v>
      </c>
      <c r="L43" s="7">
        <f t="shared" ca="1" si="5"/>
        <v>0</v>
      </c>
      <c r="M43" s="7">
        <f t="shared" ca="1" si="6"/>
        <v>0</v>
      </c>
      <c r="N43" s="7">
        <f t="shared" ca="1" si="7"/>
        <v>0</v>
      </c>
      <c r="O43" s="7">
        <f t="shared" ca="1" si="8"/>
        <v>0</v>
      </c>
      <c r="P43" s="7">
        <f t="shared" ca="1" si="9"/>
        <v>0</v>
      </c>
      <c r="Q43" s="7">
        <f t="shared" ca="1" si="10"/>
        <v>0</v>
      </c>
      <c r="R43" s="7">
        <f t="shared" ca="1" si="11"/>
        <v>0</v>
      </c>
      <c r="S43" s="7"/>
      <c r="U43" s="5">
        <f t="shared" ca="1" si="17"/>
        <v>46133.662929050923</v>
      </c>
      <c r="V43">
        <f t="shared" ca="1" si="12"/>
        <v>2026</v>
      </c>
      <c r="W43">
        <f t="shared" ca="1" si="13"/>
        <v>4</v>
      </c>
      <c r="X43">
        <f t="shared" ca="1" si="14"/>
        <v>21</v>
      </c>
      <c r="Z43" t="b">
        <f t="shared" ca="1" si="15"/>
        <v>0</v>
      </c>
      <c r="AA43" t="b">
        <f t="shared" ca="1" si="16"/>
        <v>0</v>
      </c>
      <c r="AI43">
        <v>2027</v>
      </c>
      <c r="AJ43">
        <v>2</v>
      </c>
      <c r="AK43">
        <v>7</v>
      </c>
      <c r="AL43" t="s">
        <v>93</v>
      </c>
      <c r="AM43" t="s">
        <v>164</v>
      </c>
      <c r="AN43" t="s">
        <v>84</v>
      </c>
      <c r="AO43" s="1">
        <v>115</v>
      </c>
      <c r="AP43" t="s">
        <v>1492</v>
      </c>
    </row>
    <row r="44" spans="2:42" x14ac:dyDescent="0.25">
      <c r="B44" s="6">
        <f t="shared" ca="1" si="21"/>
        <v>2028</v>
      </c>
      <c r="C44" s="6">
        <f t="shared" ca="1" si="21"/>
        <v>3</v>
      </c>
      <c r="D44" s="6">
        <f t="shared" ca="1" si="21"/>
        <v>1</v>
      </c>
      <c r="E44" s="6" t="str">
        <f t="shared" ca="1" si="21"/>
        <v>SAD</v>
      </c>
      <c r="F44" s="6" t="str">
        <f t="shared" ca="1" si="21"/>
        <v>Slate Gray</v>
      </c>
      <c r="G44" s="6" t="str">
        <f t="shared" ca="1" si="2"/>
        <v>Calm Center</v>
      </c>
      <c r="H44" s="6">
        <f t="shared" ca="1" si="3"/>
        <v>187</v>
      </c>
      <c r="I44" s="6" t="str">
        <f t="shared" ca="1" si="4"/>
        <v>Aswoensdag ,  - en nu begint de katholieke ramadan</v>
      </c>
      <c r="J44" s="6"/>
      <c r="K44" s="7">
        <v>0</v>
      </c>
      <c r="L44" s="7">
        <f t="shared" ca="1" si="5"/>
        <v>0</v>
      </c>
      <c r="M44" s="7">
        <f t="shared" ca="1" si="6"/>
        <v>0</v>
      </c>
      <c r="N44" s="7">
        <f t="shared" ca="1" si="7"/>
        <v>0</v>
      </c>
      <c r="O44" s="7">
        <f t="shared" ca="1" si="8"/>
        <v>0</v>
      </c>
      <c r="P44" s="7">
        <f t="shared" ca="1" si="9"/>
        <v>0</v>
      </c>
      <c r="Q44" s="7">
        <f t="shared" ca="1" si="10"/>
        <v>0</v>
      </c>
      <c r="R44" s="7">
        <f t="shared" ca="1" si="11"/>
        <v>0</v>
      </c>
      <c r="S44" s="7"/>
      <c r="U44" s="5">
        <f t="shared" ca="1" si="17"/>
        <v>46134.662929050923</v>
      </c>
      <c r="V44">
        <f t="shared" ca="1" si="12"/>
        <v>2026</v>
      </c>
      <c r="W44">
        <f t="shared" ca="1" si="13"/>
        <v>4</v>
      </c>
      <c r="X44">
        <f t="shared" ca="1" si="14"/>
        <v>22</v>
      </c>
      <c r="Z44" t="b">
        <f t="shared" ca="1" si="15"/>
        <v>0</v>
      </c>
      <c r="AA44" t="b">
        <f t="shared" ca="1" si="16"/>
        <v>0</v>
      </c>
      <c r="AI44">
        <v>2027</v>
      </c>
      <c r="AJ44">
        <v>2</v>
      </c>
      <c r="AK44">
        <v>7</v>
      </c>
      <c r="AL44" t="s">
        <v>93</v>
      </c>
      <c r="AM44" t="s">
        <v>164</v>
      </c>
      <c r="AN44" t="s">
        <v>84</v>
      </c>
      <c r="AO44" s="1">
        <v>80</v>
      </c>
      <c r="AP44" t="s">
        <v>1489</v>
      </c>
    </row>
    <row r="45" spans="2:42" x14ac:dyDescent="0.25">
      <c r="B45" s="6">
        <f t="shared" ca="1" si="21"/>
        <v>2029</v>
      </c>
      <c r="C45" s="6">
        <f t="shared" ca="1" si="21"/>
        <v>2</v>
      </c>
      <c r="D45" s="6">
        <f t="shared" ca="1" si="21"/>
        <v>14</v>
      </c>
      <c r="E45" s="6" t="str">
        <f t="shared" ca="1" si="21"/>
        <v>SAD</v>
      </c>
      <c r="F45" s="6" t="str">
        <f t="shared" ca="1" si="21"/>
        <v>Slate Gray</v>
      </c>
      <c r="G45" s="6" t="str">
        <f t="shared" ca="1" si="2"/>
        <v>Calm Center</v>
      </c>
      <c r="H45" s="6">
        <f t="shared" ca="1" si="3"/>
        <v>179</v>
      </c>
      <c r="I45" s="6" t="str">
        <f t="shared" ca="1" si="4"/>
        <v>Aswoensdag ,  - het is  uit met de carnavalspret</v>
      </c>
      <c r="J45" s="6"/>
      <c r="K45" s="7">
        <v>0</v>
      </c>
      <c r="L45" s="7">
        <f t="shared" ca="1" si="5"/>
        <v>0</v>
      </c>
      <c r="M45" s="7">
        <f t="shared" ca="1" si="6"/>
        <v>0</v>
      </c>
      <c r="N45" s="7">
        <f t="shared" ca="1" si="7"/>
        <v>0</v>
      </c>
      <c r="O45" s="7">
        <f t="shared" ca="1" si="8"/>
        <v>0</v>
      </c>
      <c r="P45" s="7">
        <f t="shared" ca="1" si="9"/>
        <v>0</v>
      </c>
      <c r="Q45" s="7">
        <f t="shared" ca="1" si="10"/>
        <v>0</v>
      </c>
      <c r="R45" s="7">
        <f t="shared" ca="1" si="11"/>
        <v>0</v>
      </c>
      <c r="S45" s="7"/>
      <c r="U45" s="5">
        <f t="shared" ca="1" si="17"/>
        <v>46135.662929050923</v>
      </c>
      <c r="V45">
        <f t="shared" ca="1" si="12"/>
        <v>2026</v>
      </c>
      <c r="W45">
        <f t="shared" ca="1" si="13"/>
        <v>4</v>
      </c>
      <c r="X45">
        <f t="shared" ca="1" si="14"/>
        <v>23</v>
      </c>
      <c r="Z45" t="b">
        <f t="shared" ca="1" si="15"/>
        <v>0</v>
      </c>
      <c r="AA45" t="b">
        <f t="shared" ca="1" si="16"/>
        <v>0</v>
      </c>
      <c r="AI45">
        <v>2027</v>
      </c>
      <c r="AJ45">
        <v>2</v>
      </c>
      <c r="AK45">
        <v>8</v>
      </c>
      <c r="AL45" t="s">
        <v>93</v>
      </c>
      <c r="AM45" t="s">
        <v>164</v>
      </c>
      <c r="AN45" t="s">
        <v>84</v>
      </c>
      <c r="AO45" s="1">
        <v>88</v>
      </c>
      <c r="AP45" t="s">
        <v>1493</v>
      </c>
    </row>
    <row r="46" spans="2:42" x14ac:dyDescent="0.25">
      <c r="B46" s="6">
        <f t="shared" ca="1" si="21"/>
        <v>2030</v>
      </c>
      <c r="C46" s="6">
        <f t="shared" ca="1" si="21"/>
        <v>3</v>
      </c>
      <c r="D46" s="6">
        <f t="shared" ca="1" si="21"/>
        <v>6</v>
      </c>
      <c r="E46" s="6" t="str">
        <f t="shared" ca="1" si="21"/>
        <v>SAD</v>
      </c>
      <c r="F46" s="6" t="str">
        <f t="shared" ca="1" si="21"/>
        <v>Slate Gray</v>
      </c>
      <c r="G46" s="6" t="str">
        <f t="shared" ca="1" si="2"/>
        <v>Calm Center</v>
      </c>
      <c r="H46" s="6">
        <f t="shared" ca="1" si="3"/>
        <v>210</v>
      </c>
      <c r="I46" s="6" t="str">
        <f t="shared" ca="1" si="4"/>
        <v>Aswoensdag ,  - en dan nu: vasten</v>
      </c>
      <c r="J46" s="6"/>
      <c r="K46" s="7">
        <v>0</v>
      </c>
      <c r="L46" s="7">
        <f t="shared" ca="1" si="5"/>
        <v>0</v>
      </c>
      <c r="M46" s="7">
        <f t="shared" ca="1" si="6"/>
        <v>0</v>
      </c>
      <c r="N46" s="7">
        <f t="shared" ca="1" si="7"/>
        <v>0</v>
      </c>
      <c r="O46" s="7">
        <f t="shared" ca="1" si="8"/>
        <v>0</v>
      </c>
      <c r="P46" s="7">
        <f t="shared" ca="1" si="9"/>
        <v>0</v>
      </c>
      <c r="Q46" s="7">
        <f t="shared" ca="1" si="10"/>
        <v>0</v>
      </c>
      <c r="R46" s="7">
        <f t="shared" ca="1" si="11"/>
        <v>0</v>
      </c>
      <c r="S46" s="7"/>
      <c r="U46" s="5">
        <f t="shared" ca="1" si="17"/>
        <v>46136.662929050923</v>
      </c>
      <c r="V46">
        <f t="shared" ca="1" si="12"/>
        <v>2026</v>
      </c>
      <c r="W46">
        <f t="shared" ca="1" si="13"/>
        <v>4</v>
      </c>
      <c r="X46">
        <f t="shared" ca="1" si="14"/>
        <v>24</v>
      </c>
      <c r="Z46" t="b">
        <f t="shared" ca="1" si="15"/>
        <v>0</v>
      </c>
      <c r="AA46" t="b">
        <f t="shared" ca="1" si="16"/>
        <v>0</v>
      </c>
      <c r="AI46">
        <v>2027</v>
      </c>
      <c r="AJ46">
        <v>2</v>
      </c>
      <c r="AK46">
        <v>10</v>
      </c>
      <c r="AL46" t="s">
        <v>89</v>
      </c>
      <c r="AM46" t="s">
        <v>204</v>
      </c>
      <c r="AN46" t="s">
        <v>86</v>
      </c>
      <c r="AO46" s="1">
        <v>227</v>
      </c>
      <c r="AP46" t="s">
        <v>139</v>
      </c>
    </row>
    <row r="47" spans="2:42" x14ac:dyDescent="0.25">
      <c r="B47" s="6">
        <f t="shared" ca="1" si="21"/>
        <v>2031</v>
      </c>
      <c r="C47" s="6">
        <f t="shared" ca="1" si="21"/>
        <v>2</v>
      </c>
      <c r="D47" s="6">
        <f t="shared" ca="1" si="21"/>
        <v>26</v>
      </c>
      <c r="E47" s="6" t="str">
        <f t="shared" ca="1" si="21"/>
        <v>SAD</v>
      </c>
      <c r="F47" s="6" t="str">
        <f t="shared" ca="1" si="21"/>
        <v>Slate Gray</v>
      </c>
      <c r="G47" s="6" t="str">
        <f t="shared" ca="1" si="2"/>
        <v>Calm Center</v>
      </c>
      <c r="H47" s="6">
        <f t="shared" ca="1" si="3"/>
        <v>251</v>
      </c>
      <c r="I47" s="6" t="str">
        <f t="shared" ca="1" si="4"/>
        <v>Aswoensdag ,  - en nu begint de katholieke ramadan</v>
      </c>
      <c r="J47" s="6"/>
      <c r="K47" s="7">
        <v>0</v>
      </c>
      <c r="L47" s="7">
        <f t="shared" ca="1" si="5"/>
        <v>0</v>
      </c>
      <c r="M47" s="7">
        <f t="shared" ca="1" si="6"/>
        <v>0</v>
      </c>
      <c r="N47" s="7">
        <f t="shared" ca="1" si="7"/>
        <v>0</v>
      </c>
      <c r="O47" s="7">
        <f t="shared" ca="1" si="8"/>
        <v>0</v>
      </c>
      <c r="P47" s="7">
        <f t="shared" ca="1" si="9"/>
        <v>0</v>
      </c>
      <c r="Q47" s="7">
        <f t="shared" ca="1" si="10"/>
        <v>0</v>
      </c>
      <c r="R47" s="7">
        <f t="shared" ca="1" si="11"/>
        <v>0</v>
      </c>
      <c r="S47" s="7"/>
      <c r="U47" s="5">
        <f t="shared" ca="1" si="17"/>
        <v>46137.662929050923</v>
      </c>
      <c r="V47">
        <f t="shared" ca="1" si="12"/>
        <v>2026</v>
      </c>
      <c r="W47">
        <f t="shared" ca="1" si="13"/>
        <v>4</v>
      </c>
      <c r="X47">
        <f t="shared" ca="1" si="14"/>
        <v>25</v>
      </c>
      <c r="Z47" t="b">
        <f t="shared" ca="1" si="15"/>
        <v>0</v>
      </c>
      <c r="AA47" t="b">
        <f t="shared" ca="1" si="16"/>
        <v>0</v>
      </c>
      <c r="AI47">
        <v>2027</v>
      </c>
      <c r="AJ47">
        <v>2</v>
      </c>
      <c r="AK47">
        <v>14</v>
      </c>
      <c r="AL47" t="s">
        <v>93</v>
      </c>
      <c r="AM47" t="s">
        <v>1392</v>
      </c>
      <c r="AN47" t="s">
        <v>258</v>
      </c>
      <c r="AO47" s="1">
        <v>70</v>
      </c>
      <c r="AP47" t="s">
        <v>1371</v>
      </c>
    </row>
    <row r="48" spans="2:42" x14ac:dyDescent="0.25">
      <c r="B48" s="6">
        <f t="shared" ca="1" si="21"/>
        <v>2032</v>
      </c>
      <c r="C48" s="6">
        <f t="shared" ca="1" si="21"/>
        <v>2</v>
      </c>
      <c r="D48" s="6">
        <f t="shared" ca="1" si="21"/>
        <v>11</v>
      </c>
      <c r="E48" s="6" t="str">
        <f t="shared" ca="1" si="21"/>
        <v>SAD</v>
      </c>
      <c r="F48" s="6" t="str">
        <f t="shared" ca="1" si="21"/>
        <v>Slate Gray</v>
      </c>
      <c r="G48" s="6" t="str">
        <f t="shared" ca="1" si="2"/>
        <v>Calm Center</v>
      </c>
      <c r="H48" s="6">
        <f t="shared" ca="1" si="3"/>
        <v>265</v>
      </c>
      <c r="I48" s="6" t="str">
        <f t="shared" ca="1" si="4"/>
        <v>Aswoensdag ,  - het is  uit met de carnavalspret</v>
      </c>
      <c r="J48" s="6"/>
      <c r="K48" s="7">
        <v>0</v>
      </c>
      <c r="L48" s="7">
        <f t="shared" ca="1" si="5"/>
        <v>0</v>
      </c>
      <c r="M48" s="7">
        <f t="shared" ca="1" si="6"/>
        <v>0</v>
      </c>
      <c r="N48" s="7">
        <f t="shared" ca="1" si="7"/>
        <v>0</v>
      </c>
      <c r="O48" s="7">
        <f t="shared" ca="1" si="8"/>
        <v>0</v>
      </c>
      <c r="P48" s="7">
        <f t="shared" ca="1" si="9"/>
        <v>0</v>
      </c>
      <c r="Q48" s="7">
        <f t="shared" ca="1" si="10"/>
        <v>0</v>
      </c>
      <c r="R48" s="7">
        <f t="shared" ca="1" si="11"/>
        <v>0</v>
      </c>
      <c r="S48" s="7"/>
      <c r="U48" s="5">
        <f t="shared" ca="1" si="17"/>
        <v>46138.662929050923</v>
      </c>
      <c r="V48">
        <f t="shared" ca="1" si="12"/>
        <v>2026</v>
      </c>
      <c r="W48">
        <f t="shared" ca="1" si="13"/>
        <v>4</v>
      </c>
      <c r="X48">
        <f t="shared" ca="1" si="14"/>
        <v>26</v>
      </c>
      <c r="Z48" t="b">
        <f t="shared" ca="1" si="15"/>
        <v>0</v>
      </c>
      <c r="AA48" t="b">
        <f t="shared" ca="1" si="16"/>
        <v>0</v>
      </c>
      <c r="AI48">
        <v>2027</v>
      </c>
      <c r="AJ48">
        <v>3</v>
      </c>
      <c r="AK48">
        <v>1</v>
      </c>
      <c r="AL48" t="s">
        <v>91</v>
      </c>
      <c r="AM48" t="s">
        <v>164</v>
      </c>
      <c r="AN48" t="s">
        <v>85</v>
      </c>
      <c r="AO48" s="1">
        <v>287</v>
      </c>
      <c r="AP48" t="s">
        <v>122</v>
      </c>
    </row>
    <row r="49" spans="2:42" x14ac:dyDescent="0.25">
      <c r="B49" s="6">
        <f t="shared" ca="1" si="21"/>
        <v>2033</v>
      </c>
      <c r="C49" s="6">
        <f t="shared" ca="1" si="21"/>
        <v>3</v>
      </c>
      <c r="D49" s="6">
        <f t="shared" ca="1" si="21"/>
        <v>2</v>
      </c>
      <c r="E49" s="6" t="str">
        <f t="shared" ca="1" si="21"/>
        <v>SAD</v>
      </c>
      <c r="F49" s="6" t="str">
        <f t="shared" ca="1" si="21"/>
        <v>Slate Gray</v>
      </c>
      <c r="G49" s="6" t="str">
        <f t="shared" ca="1" si="2"/>
        <v>Calm Center</v>
      </c>
      <c r="H49" s="6">
        <f t="shared" ca="1" si="3"/>
        <v>239</v>
      </c>
      <c r="I49" s="6" t="str">
        <f t="shared" ca="1" si="4"/>
        <v>Aswoensdag ,  - en dan nu: vasten</v>
      </c>
      <c r="J49" s="6"/>
      <c r="K49" s="7">
        <v>0</v>
      </c>
      <c r="L49" s="7">
        <f t="shared" ca="1" si="5"/>
        <v>0</v>
      </c>
      <c r="M49" s="7">
        <f t="shared" ca="1" si="6"/>
        <v>0</v>
      </c>
      <c r="N49" s="7">
        <f t="shared" ca="1" si="7"/>
        <v>0</v>
      </c>
      <c r="O49" s="7">
        <f t="shared" ca="1" si="8"/>
        <v>0</v>
      </c>
      <c r="P49" s="7">
        <f t="shared" ca="1" si="9"/>
        <v>0</v>
      </c>
      <c r="Q49" s="7">
        <f t="shared" ca="1" si="10"/>
        <v>0</v>
      </c>
      <c r="R49" s="7">
        <f t="shared" ca="1" si="11"/>
        <v>0</v>
      </c>
      <c r="S49" s="7"/>
      <c r="U49" s="5">
        <f t="shared" ca="1" si="17"/>
        <v>46139.662929050923</v>
      </c>
      <c r="V49">
        <f t="shared" ca="1" si="12"/>
        <v>2026</v>
      </c>
      <c r="W49">
        <f t="shared" ca="1" si="13"/>
        <v>4</v>
      </c>
      <c r="X49">
        <f t="shared" ca="1" si="14"/>
        <v>27</v>
      </c>
      <c r="Z49" t="b">
        <f t="shared" ca="1" si="15"/>
        <v>0</v>
      </c>
      <c r="AA49" t="b">
        <f t="shared" ca="1" si="16"/>
        <v>0</v>
      </c>
      <c r="AI49">
        <v>2027</v>
      </c>
      <c r="AJ49">
        <v>3</v>
      </c>
      <c r="AK49">
        <v>9</v>
      </c>
      <c r="AL49" t="s">
        <v>52</v>
      </c>
      <c r="AM49" t="s">
        <v>79</v>
      </c>
      <c r="AN49" t="s">
        <v>259</v>
      </c>
      <c r="AO49" s="1">
        <v>201</v>
      </c>
      <c r="AP49" t="s">
        <v>1388</v>
      </c>
    </row>
    <row r="50" spans="2:42" x14ac:dyDescent="0.25">
      <c r="B50" s="6">
        <f t="shared" ca="1" si="21"/>
        <v>2034</v>
      </c>
      <c r="C50" s="6">
        <f t="shared" ca="1" si="21"/>
        <v>2</v>
      </c>
      <c r="D50" s="6">
        <f t="shared" ca="1" si="21"/>
        <v>22</v>
      </c>
      <c r="E50" s="6" t="str">
        <f t="shared" ca="1" si="21"/>
        <v>SAD</v>
      </c>
      <c r="F50" s="6" t="str">
        <f t="shared" ca="1" si="21"/>
        <v>Slate Gray</v>
      </c>
      <c r="G50" s="6" t="str">
        <f t="shared" ca="1" si="2"/>
        <v>Calm Center</v>
      </c>
      <c r="H50" s="6">
        <f t="shared" ca="1" si="3"/>
        <v>197</v>
      </c>
      <c r="I50" s="6" t="str">
        <f t="shared" ca="1" si="4"/>
        <v>Aswoensdag ,  - en nu begint de katholieke ramadan</v>
      </c>
      <c r="J50" s="6"/>
      <c r="K50" s="7">
        <v>0</v>
      </c>
      <c r="L50" s="7">
        <f t="shared" ca="1" si="5"/>
        <v>0</v>
      </c>
      <c r="M50" s="7">
        <f t="shared" ca="1" si="6"/>
        <v>0</v>
      </c>
      <c r="N50" s="7">
        <f t="shared" ca="1" si="7"/>
        <v>0</v>
      </c>
      <c r="O50" s="7">
        <f t="shared" ca="1" si="8"/>
        <v>0</v>
      </c>
      <c r="P50" s="7">
        <f t="shared" ca="1" si="9"/>
        <v>0</v>
      </c>
      <c r="Q50" s="7">
        <f t="shared" ca="1" si="10"/>
        <v>0</v>
      </c>
      <c r="R50" s="7">
        <f t="shared" ca="1" si="11"/>
        <v>0</v>
      </c>
      <c r="S50" s="7"/>
      <c r="U50" s="5">
        <f t="shared" ca="1" si="17"/>
        <v>46140.662929050923</v>
      </c>
      <c r="V50">
        <f t="shared" ca="1" si="12"/>
        <v>2026</v>
      </c>
      <c r="W50">
        <f t="shared" ca="1" si="13"/>
        <v>4</v>
      </c>
      <c r="X50">
        <f t="shared" ca="1" si="14"/>
        <v>28</v>
      </c>
      <c r="Z50" t="b">
        <f t="shared" ca="1" si="15"/>
        <v>0</v>
      </c>
      <c r="AA50" t="b">
        <f t="shared" ca="1" si="16"/>
        <v>0</v>
      </c>
      <c r="AI50">
        <v>2027</v>
      </c>
      <c r="AJ50">
        <v>3</v>
      </c>
      <c r="AK50">
        <v>14</v>
      </c>
      <c r="AL50" t="s">
        <v>45</v>
      </c>
      <c r="AM50" t="s">
        <v>161</v>
      </c>
      <c r="AN50" t="s">
        <v>1413</v>
      </c>
      <c r="AO50" s="1">
        <v>95</v>
      </c>
      <c r="AP50" t="s">
        <v>1524</v>
      </c>
    </row>
    <row r="51" spans="2:42" x14ac:dyDescent="0.25">
      <c r="B51" s="6">
        <f t="shared" ca="1" si="21"/>
        <v>2035</v>
      </c>
      <c r="C51" s="6">
        <f t="shared" ca="1" si="21"/>
        <v>2</v>
      </c>
      <c r="D51" s="6">
        <f t="shared" ca="1" si="21"/>
        <v>7</v>
      </c>
      <c r="E51" s="6" t="str">
        <f t="shared" ca="1" si="21"/>
        <v>SAD</v>
      </c>
      <c r="F51" s="6" t="str">
        <f t="shared" ca="1" si="21"/>
        <v>Slate Gray</v>
      </c>
      <c r="G51" s="6" t="str">
        <f t="shared" ca="1" si="2"/>
        <v>Calm Center</v>
      </c>
      <c r="H51" s="6">
        <f t="shared" ca="1" si="3"/>
        <v>177</v>
      </c>
      <c r="I51" s="6" t="str">
        <f t="shared" ca="1" si="4"/>
        <v>Aswoensdag ,  - het is  uit met de carnavalspret</v>
      </c>
      <c r="J51" s="6"/>
      <c r="K51" s="7">
        <v>0</v>
      </c>
      <c r="L51" s="7">
        <f t="shared" ca="1" si="5"/>
        <v>0</v>
      </c>
      <c r="M51" s="7">
        <f t="shared" ca="1" si="6"/>
        <v>0</v>
      </c>
      <c r="N51" s="7">
        <f t="shared" ca="1" si="7"/>
        <v>0</v>
      </c>
      <c r="O51" s="7">
        <f t="shared" ca="1" si="8"/>
        <v>0</v>
      </c>
      <c r="P51" s="7">
        <f t="shared" ca="1" si="9"/>
        <v>0</v>
      </c>
      <c r="Q51" s="7">
        <f t="shared" ca="1" si="10"/>
        <v>0</v>
      </c>
      <c r="R51" s="7">
        <f t="shared" ca="1" si="11"/>
        <v>0</v>
      </c>
      <c r="S51" s="7"/>
      <c r="U51" s="5">
        <f t="shared" ca="1" si="17"/>
        <v>46141.662929050923</v>
      </c>
      <c r="V51">
        <f t="shared" ca="1" si="12"/>
        <v>2026</v>
      </c>
      <c r="W51">
        <f t="shared" ca="1" si="13"/>
        <v>4</v>
      </c>
      <c r="X51">
        <f t="shared" ca="1" si="14"/>
        <v>29</v>
      </c>
      <c r="Z51" t="b">
        <f t="shared" ca="1" si="15"/>
        <v>0</v>
      </c>
      <c r="AA51" t="b">
        <f t="shared" ca="1" si="16"/>
        <v>0</v>
      </c>
      <c r="AI51">
        <v>2027</v>
      </c>
      <c r="AJ51">
        <v>3</v>
      </c>
      <c r="AK51">
        <v>21</v>
      </c>
      <c r="AL51" t="s">
        <v>56</v>
      </c>
      <c r="AM51" t="s">
        <v>184</v>
      </c>
      <c r="AN51" t="s">
        <v>84</v>
      </c>
      <c r="AO51" s="1">
        <v>73</v>
      </c>
      <c r="AP51" t="s">
        <v>123</v>
      </c>
    </row>
    <row r="52" spans="2:42" x14ac:dyDescent="0.25">
      <c r="B52" s="6">
        <f t="shared" ca="1" si="21"/>
        <v>2036</v>
      </c>
      <c r="C52" s="6">
        <f t="shared" ca="1" si="21"/>
        <v>2</v>
      </c>
      <c r="D52" s="6">
        <f t="shared" ca="1" si="21"/>
        <v>27</v>
      </c>
      <c r="E52" s="6" t="str">
        <f t="shared" ca="1" si="21"/>
        <v>SAD</v>
      </c>
      <c r="F52" s="6" t="str">
        <f t="shared" ca="1" si="21"/>
        <v>Slate Gray</v>
      </c>
      <c r="G52" s="6" t="str">
        <f t="shared" ca="1" si="2"/>
        <v>Calm Center</v>
      </c>
      <c r="H52" s="6">
        <f t="shared" ca="1" si="3"/>
        <v>198</v>
      </c>
      <c r="I52" s="6" t="str">
        <f t="shared" ca="1" si="4"/>
        <v>Aswoensdag ,  - en dan nu: vasten</v>
      </c>
      <c r="J52" s="6"/>
      <c r="K52" s="7">
        <v>0</v>
      </c>
      <c r="L52" s="7">
        <f t="shared" ca="1" si="5"/>
        <v>0</v>
      </c>
      <c r="M52" s="7">
        <f t="shared" ca="1" si="6"/>
        <v>0</v>
      </c>
      <c r="N52" s="7">
        <f t="shared" ca="1" si="7"/>
        <v>0</v>
      </c>
      <c r="O52" s="7">
        <f t="shared" ca="1" si="8"/>
        <v>0</v>
      </c>
      <c r="P52" s="7">
        <f t="shared" ca="1" si="9"/>
        <v>0</v>
      </c>
      <c r="Q52" s="7">
        <f t="shared" ca="1" si="10"/>
        <v>0</v>
      </c>
      <c r="R52" s="7">
        <f t="shared" ca="1" si="11"/>
        <v>0</v>
      </c>
      <c r="S52" s="7"/>
      <c r="U52" s="5">
        <f t="shared" ca="1" si="17"/>
        <v>46142.662929050923</v>
      </c>
      <c r="V52">
        <f t="shared" ca="1" si="12"/>
        <v>2026</v>
      </c>
      <c r="W52">
        <f t="shared" ca="1" si="13"/>
        <v>4</v>
      </c>
      <c r="X52">
        <f t="shared" ca="1" si="14"/>
        <v>30</v>
      </c>
      <c r="Z52" t="b">
        <f t="shared" ca="1" si="15"/>
        <v>0</v>
      </c>
      <c r="AA52" t="b">
        <f t="shared" ca="1" si="16"/>
        <v>0</v>
      </c>
      <c r="AI52">
        <v>2027</v>
      </c>
      <c r="AJ52">
        <v>3</v>
      </c>
      <c r="AK52">
        <v>26</v>
      </c>
      <c r="AL52" t="s">
        <v>54</v>
      </c>
      <c r="AM52" t="s">
        <v>181</v>
      </c>
      <c r="AN52" t="s">
        <v>83</v>
      </c>
      <c r="AO52" s="1">
        <v>202</v>
      </c>
      <c r="AP52" t="s">
        <v>140</v>
      </c>
    </row>
    <row r="53" spans="2:42" x14ac:dyDescent="0.25">
      <c r="B53" s="6">
        <f t="shared" ref="B53:F62" ca="1" si="22">OFFSET(INDIRECT($B$1),ROW(A51),COLUMN(A51))</f>
        <v>2037</v>
      </c>
      <c r="C53" s="6">
        <f t="shared" ca="1" si="22"/>
        <v>2</v>
      </c>
      <c r="D53" s="6">
        <f t="shared" ca="1" si="22"/>
        <v>18</v>
      </c>
      <c r="E53" s="6" t="str">
        <f t="shared" ca="1" si="22"/>
        <v>SAD</v>
      </c>
      <c r="F53" s="6" t="str">
        <f t="shared" ca="1" si="22"/>
        <v>Slate Gray</v>
      </c>
      <c r="G53" s="6" t="str">
        <f t="shared" ca="1" si="2"/>
        <v>Calm Center</v>
      </c>
      <c r="H53" s="6">
        <f t="shared" ca="1" si="3"/>
        <v>241</v>
      </c>
      <c r="I53" s="6" t="str">
        <f t="shared" ca="1" si="4"/>
        <v>Aswoensdag ,  - en nu begint de katholieke ramadan</v>
      </c>
      <c r="J53" s="6"/>
      <c r="K53" s="7">
        <v>0</v>
      </c>
      <c r="L53" s="7">
        <f t="shared" ca="1" si="5"/>
        <v>0</v>
      </c>
      <c r="M53" s="7">
        <f t="shared" ca="1" si="6"/>
        <v>0</v>
      </c>
      <c r="N53" s="7">
        <f t="shared" ca="1" si="7"/>
        <v>0</v>
      </c>
      <c r="O53" s="7">
        <f t="shared" ca="1" si="8"/>
        <v>0</v>
      </c>
      <c r="P53" s="7">
        <f t="shared" ca="1" si="9"/>
        <v>0</v>
      </c>
      <c r="Q53" s="7">
        <f t="shared" ca="1" si="10"/>
        <v>0</v>
      </c>
      <c r="R53" s="7">
        <f t="shared" ca="1" si="11"/>
        <v>0</v>
      </c>
      <c r="S53" s="7"/>
      <c r="U53" s="5">
        <f t="shared" ca="1" si="17"/>
        <v>46143.662929050923</v>
      </c>
      <c r="V53">
        <f t="shared" ca="1" si="12"/>
        <v>2026</v>
      </c>
      <c r="W53">
        <f t="shared" ca="1" si="13"/>
        <v>5</v>
      </c>
      <c r="X53">
        <f t="shared" ca="1" si="14"/>
        <v>1</v>
      </c>
      <c r="Z53" t="b">
        <f t="shared" ca="1" si="15"/>
        <v>0</v>
      </c>
      <c r="AA53" t="b">
        <f t="shared" ca="1" si="16"/>
        <v>0</v>
      </c>
      <c r="AI53">
        <v>2027</v>
      </c>
      <c r="AJ53">
        <v>3</v>
      </c>
      <c r="AK53">
        <v>28</v>
      </c>
      <c r="AL53" t="s">
        <v>58</v>
      </c>
      <c r="AM53" t="s">
        <v>158</v>
      </c>
      <c r="AN53" t="s">
        <v>261</v>
      </c>
      <c r="AO53" s="1">
        <v>95</v>
      </c>
      <c r="AP53" t="s">
        <v>141</v>
      </c>
    </row>
    <row r="54" spans="2:42" x14ac:dyDescent="0.25">
      <c r="B54" s="6">
        <f t="shared" ca="1" si="22"/>
        <v>2038</v>
      </c>
      <c r="C54" s="6">
        <f t="shared" ca="1" si="22"/>
        <v>3</v>
      </c>
      <c r="D54" s="6">
        <f t="shared" ca="1" si="22"/>
        <v>10</v>
      </c>
      <c r="E54" s="6" t="str">
        <f t="shared" ca="1" si="22"/>
        <v>SAD</v>
      </c>
      <c r="F54" s="6" t="str">
        <f t="shared" ca="1" si="22"/>
        <v>Slate Gray</v>
      </c>
      <c r="G54" s="6" t="str">
        <f t="shared" ca="1" si="2"/>
        <v>Calm Center</v>
      </c>
      <c r="H54" s="6">
        <f t="shared" ca="1" si="3"/>
        <v>266</v>
      </c>
      <c r="I54" s="6" t="str">
        <f t="shared" ca="1" si="4"/>
        <v>Aswoensdag ,  - het is  uit met de carnavalspret</v>
      </c>
      <c r="J54" s="6"/>
      <c r="K54" s="7">
        <v>0</v>
      </c>
      <c r="L54" s="7">
        <f t="shared" ca="1" si="5"/>
        <v>0</v>
      </c>
      <c r="M54" s="7">
        <f t="shared" ca="1" si="6"/>
        <v>0</v>
      </c>
      <c r="N54" s="7">
        <f t="shared" ca="1" si="7"/>
        <v>0</v>
      </c>
      <c r="O54" s="7">
        <f t="shared" ca="1" si="8"/>
        <v>0</v>
      </c>
      <c r="P54" s="7">
        <f t="shared" ca="1" si="9"/>
        <v>0</v>
      </c>
      <c r="Q54" s="7">
        <f t="shared" ca="1" si="10"/>
        <v>0</v>
      </c>
      <c r="R54" s="7">
        <f t="shared" ca="1" si="11"/>
        <v>0</v>
      </c>
      <c r="S54" s="7"/>
      <c r="U54" s="5">
        <f t="shared" ca="1" si="17"/>
        <v>46144.662929050923</v>
      </c>
      <c r="V54">
        <f t="shared" ca="1" si="12"/>
        <v>2026</v>
      </c>
      <c r="W54">
        <f t="shared" ca="1" si="13"/>
        <v>5</v>
      </c>
      <c r="X54">
        <f t="shared" ca="1" si="14"/>
        <v>2</v>
      </c>
      <c r="Z54" t="b">
        <f t="shared" ca="1" si="15"/>
        <v>0</v>
      </c>
      <c r="AA54" t="b">
        <f t="shared" ca="1" si="16"/>
        <v>0</v>
      </c>
      <c r="AI54">
        <v>2027</v>
      </c>
      <c r="AJ54">
        <v>3</v>
      </c>
      <c r="AK54">
        <v>29</v>
      </c>
      <c r="AL54" t="s">
        <v>58</v>
      </c>
      <c r="AM54" t="s">
        <v>198</v>
      </c>
      <c r="AN54" t="s">
        <v>265</v>
      </c>
      <c r="AO54" s="1">
        <v>272</v>
      </c>
      <c r="AP54" t="s">
        <v>1494</v>
      </c>
    </row>
    <row r="55" spans="2:42" x14ac:dyDescent="0.25">
      <c r="B55" s="6">
        <f t="shared" ca="1" si="22"/>
        <v>2026</v>
      </c>
      <c r="C55" s="6">
        <f t="shared" ca="1" si="22"/>
        <v>5</v>
      </c>
      <c r="D55" s="6">
        <f t="shared" ca="1" si="22"/>
        <v>24</v>
      </c>
      <c r="E55" s="6" t="str">
        <f t="shared" ca="1" si="22"/>
        <v>ZEN</v>
      </c>
      <c r="F55" s="6" t="str">
        <f t="shared" ca="1" si="22"/>
        <v>Electric Blue</v>
      </c>
      <c r="G55" s="6" t="str">
        <f t="shared" ca="1" si="2"/>
        <v>Wide Sweep</v>
      </c>
      <c r="H55" s="6">
        <f t="shared" ca="1" si="3"/>
        <v>164</v>
      </c>
      <c r="I55" s="6" t="str">
        <f t="shared" ca="1" si="4"/>
        <v>Pinksteren,  - wat is dat ook weer??</v>
      </c>
      <c r="J55" s="6"/>
      <c r="K55" s="7">
        <v>0</v>
      </c>
      <c r="L55" s="7">
        <f t="shared" ca="1" si="5"/>
        <v>0</v>
      </c>
      <c r="M55" s="7">
        <f t="shared" ca="1" si="6"/>
        <v>0</v>
      </c>
      <c r="N55" s="7">
        <f t="shared" ca="1" si="7"/>
        <v>0</v>
      </c>
      <c r="O55" s="7">
        <f t="shared" ca="1" si="8"/>
        <v>0</v>
      </c>
      <c r="P55" s="7">
        <f t="shared" ca="1" si="9"/>
        <v>0</v>
      </c>
      <c r="Q55" s="7">
        <f t="shared" ca="1" si="10"/>
        <v>0</v>
      </c>
      <c r="R55" s="7">
        <f t="shared" ca="1" si="11"/>
        <v>0</v>
      </c>
      <c r="S55" s="7"/>
      <c r="U55" s="5">
        <f t="shared" ca="1" si="17"/>
        <v>46145.662929050923</v>
      </c>
      <c r="V55">
        <f t="shared" ca="1" si="12"/>
        <v>2026</v>
      </c>
      <c r="W55">
        <f t="shared" ca="1" si="13"/>
        <v>5</v>
      </c>
      <c r="X55">
        <f t="shared" ca="1" si="14"/>
        <v>3</v>
      </c>
      <c r="Z55" t="b">
        <f t="shared" ca="1" si="15"/>
        <v>0</v>
      </c>
      <c r="AA55" t="b">
        <f t="shared" ca="1" si="16"/>
        <v>0</v>
      </c>
      <c r="AI55">
        <v>2027</v>
      </c>
      <c r="AJ55">
        <v>4</v>
      </c>
      <c r="AK55">
        <v>1</v>
      </c>
      <c r="AL55" t="s">
        <v>91</v>
      </c>
      <c r="AM55" t="s">
        <v>164</v>
      </c>
      <c r="AN55" t="s">
        <v>85</v>
      </c>
      <c r="AO55" s="1">
        <v>265</v>
      </c>
      <c r="AP55" t="s">
        <v>124</v>
      </c>
    </row>
    <row r="56" spans="2:42" x14ac:dyDescent="0.25">
      <c r="B56" s="6">
        <f t="shared" ca="1" si="22"/>
        <v>2027</v>
      </c>
      <c r="C56" s="6">
        <f t="shared" ca="1" si="22"/>
        <v>5</v>
      </c>
      <c r="D56" s="6">
        <f t="shared" ca="1" si="22"/>
        <v>16</v>
      </c>
      <c r="E56" s="6" t="str">
        <f t="shared" ca="1" si="22"/>
        <v>ZEN</v>
      </c>
      <c r="F56" s="6" t="str">
        <f t="shared" ca="1" si="22"/>
        <v>Electric Blue</v>
      </c>
      <c r="G56" s="6" t="str">
        <f t="shared" ca="1" si="2"/>
        <v>Wide Sweep</v>
      </c>
      <c r="H56" s="6">
        <f t="shared" ca="1" si="3"/>
        <v>137</v>
      </c>
      <c r="I56" s="6" t="str">
        <f t="shared" ca="1" si="4"/>
        <v>Pinksteren,  - iets met vurige tongen?</v>
      </c>
      <c r="J56" s="6"/>
      <c r="K56" s="7">
        <v>0</v>
      </c>
      <c r="L56" s="7">
        <f t="shared" ca="1" si="5"/>
        <v>0</v>
      </c>
      <c r="M56" s="7">
        <f t="shared" ca="1" si="6"/>
        <v>0</v>
      </c>
      <c r="N56" s="7">
        <f t="shared" ca="1" si="7"/>
        <v>0</v>
      </c>
      <c r="O56" s="7">
        <f t="shared" ca="1" si="8"/>
        <v>0</v>
      </c>
      <c r="P56" s="7">
        <f t="shared" ca="1" si="9"/>
        <v>0</v>
      </c>
      <c r="Q56" s="7">
        <f t="shared" ca="1" si="10"/>
        <v>0</v>
      </c>
      <c r="R56" s="7">
        <f t="shared" ca="1" si="11"/>
        <v>0</v>
      </c>
      <c r="S56" s="7"/>
      <c r="U56" s="5">
        <f t="shared" ca="1" si="17"/>
        <v>46146.662929050923</v>
      </c>
      <c r="V56">
        <f t="shared" ca="1" si="12"/>
        <v>2026</v>
      </c>
      <c r="W56">
        <f t="shared" ca="1" si="13"/>
        <v>5</v>
      </c>
      <c r="X56">
        <f t="shared" ca="1" si="14"/>
        <v>4</v>
      </c>
      <c r="Z56" t="b">
        <f t="shared" ca="1" si="15"/>
        <v>0</v>
      </c>
      <c r="AA56" t="b">
        <f t="shared" ca="1" si="16"/>
        <v>0</v>
      </c>
      <c r="AI56">
        <v>2027</v>
      </c>
      <c r="AJ56">
        <v>4</v>
      </c>
      <c r="AK56">
        <v>30</v>
      </c>
      <c r="AL56" t="s">
        <v>56</v>
      </c>
      <c r="AM56" t="s">
        <v>184</v>
      </c>
      <c r="AN56" t="s">
        <v>84</v>
      </c>
      <c r="AO56" s="1">
        <v>98</v>
      </c>
      <c r="AP56" t="s">
        <v>126</v>
      </c>
    </row>
    <row r="57" spans="2:42" x14ac:dyDescent="0.25">
      <c r="B57" s="6">
        <f t="shared" ca="1" si="22"/>
        <v>2028</v>
      </c>
      <c r="C57" s="6">
        <f t="shared" ca="1" si="22"/>
        <v>6</v>
      </c>
      <c r="D57" s="6">
        <f t="shared" ca="1" si="22"/>
        <v>4</v>
      </c>
      <c r="E57" s="6" t="str">
        <f t="shared" ca="1" si="22"/>
        <v>ZEN</v>
      </c>
      <c r="F57" s="6" t="str">
        <f t="shared" ca="1" si="22"/>
        <v>Electric Blue</v>
      </c>
      <c r="G57" s="6" t="str">
        <f t="shared" ca="1" si="2"/>
        <v>Wide Sweep</v>
      </c>
      <c r="H57" s="6">
        <f t="shared" ca="1" si="3"/>
        <v>117</v>
      </c>
      <c r="I57" s="6" t="str">
        <f t="shared" ca="1" si="4"/>
        <v>Pinksteren,  - de Heilige Geest zien vliegen???</v>
      </c>
      <c r="J57" s="6"/>
      <c r="K57" s="7">
        <v>0</v>
      </c>
      <c r="L57" s="7">
        <f t="shared" ca="1" si="5"/>
        <v>0</v>
      </c>
      <c r="M57" s="7">
        <f t="shared" ca="1" si="6"/>
        <v>0</v>
      </c>
      <c r="N57" s="7">
        <f t="shared" ca="1" si="7"/>
        <v>0</v>
      </c>
      <c r="O57" s="7">
        <f t="shared" ca="1" si="8"/>
        <v>0</v>
      </c>
      <c r="P57" s="7">
        <f t="shared" ca="1" si="9"/>
        <v>0</v>
      </c>
      <c r="Q57" s="7">
        <f t="shared" ca="1" si="10"/>
        <v>0</v>
      </c>
      <c r="R57" s="7">
        <f t="shared" ca="1" si="11"/>
        <v>0</v>
      </c>
      <c r="S57" s="7"/>
      <c r="U57" s="5">
        <f t="shared" ca="1" si="17"/>
        <v>46147.662929050923</v>
      </c>
      <c r="V57">
        <f t="shared" ca="1" si="12"/>
        <v>2026</v>
      </c>
      <c r="W57">
        <f t="shared" ca="1" si="13"/>
        <v>5</v>
      </c>
      <c r="X57">
        <f t="shared" ca="1" si="14"/>
        <v>5</v>
      </c>
      <c r="Z57" t="b">
        <f t="shared" ca="1" si="15"/>
        <v>0</v>
      </c>
      <c r="AA57" t="b">
        <f t="shared" ca="1" si="16"/>
        <v>0</v>
      </c>
      <c r="AI57">
        <v>2027</v>
      </c>
      <c r="AJ57">
        <v>5</v>
      </c>
      <c r="AK57">
        <v>1</v>
      </c>
      <c r="AL57" t="s">
        <v>91</v>
      </c>
      <c r="AM57" t="s">
        <v>164</v>
      </c>
      <c r="AN57" t="s">
        <v>85</v>
      </c>
      <c r="AO57" s="1">
        <v>202</v>
      </c>
      <c r="AP57" t="s">
        <v>127</v>
      </c>
    </row>
    <row r="58" spans="2:42" x14ac:dyDescent="0.25">
      <c r="B58" s="6">
        <f t="shared" ca="1" si="22"/>
        <v>2029</v>
      </c>
      <c r="C58" s="6">
        <f t="shared" ca="1" si="22"/>
        <v>5</v>
      </c>
      <c r="D58" s="6">
        <f t="shared" ca="1" si="22"/>
        <v>20</v>
      </c>
      <c r="E58" s="6" t="str">
        <f t="shared" ca="1" si="22"/>
        <v>ZEN</v>
      </c>
      <c r="F58" s="6" t="str">
        <f t="shared" ca="1" si="22"/>
        <v>Electric Blue</v>
      </c>
      <c r="G58" s="6" t="str">
        <f t="shared" ca="1" si="2"/>
        <v>Wide Sweep</v>
      </c>
      <c r="H58" s="6">
        <f t="shared" ca="1" si="3"/>
        <v>124</v>
      </c>
      <c r="I58" s="6" t="str">
        <f t="shared" ca="1" si="4"/>
        <v>Pinksteren</v>
      </c>
      <c r="J58" s="6"/>
      <c r="K58" s="7">
        <v>0</v>
      </c>
      <c r="L58" s="7">
        <f t="shared" ca="1" si="5"/>
        <v>0</v>
      </c>
      <c r="M58" s="7">
        <f t="shared" ca="1" si="6"/>
        <v>0</v>
      </c>
      <c r="N58" s="7">
        <f t="shared" ca="1" si="7"/>
        <v>0</v>
      </c>
      <c r="O58" s="7">
        <f t="shared" ca="1" si="8"/>
        <v>0</v>
      </c>
      <c r="P58" s="7">
        <f t="shared" ca="1" si="9"/>
        <v>0</v>
      </c>
      <c r="Q58" s="7">
        <f t="shared" ca="1" si="10"/>
        <v>0</v>
      </c>
      <c r="R58" s="7">
        <f t="shared" ca="1" si="11"/>
        <v>0</v>
      </c>
      <c r="S58" s="7"/>
      <c r="U58" s="5">
        <f t="shared" ca="1" si="17"/>
        <v>46148.662929050923</v>
      </c>
      <c r="V58">
        <f t="shared" ca="1" si="12"/>
        <v>2026</v>
      </c>
      <c r="W58">
        <f t="shared" ca="1" si="13"/>
        <v>5</v>
      </c>
      <c r="X58">
        <f t="shared" ca="1" si="14"/>
        <v>6</v>
      </c>
      <c r="Z58" t="b">
        <f t="shared" ca="1" si="15"/>
        <v>0</v>
      </c>
      <c r="AA58" t="b">
        <f t="shared" ca="1" si="16"/>
        <v>0</v>
      </c>
      <c r="AI58">
        <v>2027</v>
      </c>
      <c r="AJ58">
        <v>5</v>
      </c>
      <c r="AK58">
        <v>4</v>
      </c>
      <c r="AL58" t="s">
        <v>89</v>
      </c>
      <c r="AM58" t="s">
        <v>233</v>
      </c>
      <c r="AN58" t="s">
        <v>83</v>
      </c>
      <c r="AO58" s="1">
        <v>102</v>
      </c>
      <c r="AP58" t="s">
        <v>1364</v>
      </c>
    </row>
    <row r="59" spans="2:42" x14ac:dyDescent="0.25">
      <c r="B59" s="6">
        <f t="shared" ca="1" si="22"/>
        <v>2030</v>
      </c>
      <c r="C59" s="6">
        <f t="shared" ca="1" si="22"/>
        <v>6</v>
      </c>
      <c r="D59" s="6">
        <f t="shared" ca="1" si="22"/>
        <v>9</v>
      </c>
      <c r="E59" s="6" t="str">
        <f t="shared" ca="1" si="22"/>
        <v>ZEN</v>
      </c>
      <c r="F59" s="6" t="str">
        <f t="shared" ca="1" si="22"/>
        <v>Electric Blue</v>
      </c>
      <c r="G59" s="6" t="str">
        <f t="shared" ca="1" si="2"/>
        <v>Wide Sweep</v>
      </c>
      <c r="H59" s="6">
        <f t="shared" ca="1" si="3"/>
        <v>150</v>
      </c>
      <c r="I59" s="6" t="str">
        <f t="shared" ca="1" si="4"/>
        <v>Pinksteren,  - wat is dat ook weer??</v>
      </c>
      <c r="J59" s="6"/>
      <c r="K59" s="7">
        <v>0</v>
      </c>
      <c r="L59" s="7">
        <f t="shared" ca="1" si="5"/>
        <v>0</v>
      </c>
      <c r="M59" s="7">
        <f t="shared" ca="1" si="6"/>
        <v>0</v>
      </c>
      <c r="N59" s="7">
        <f t="shared" ca="1" si="7"/>
        <v>0</v>
      </c>
      <c r="O59" s="7">
        <f t="shared" ca="1" si="8"/>
        <v>0</v>
      </c>
      <c r="P59" s="7">
        <f t="shared" ca="1" si="9"/>
        <v>0</v>
      </c>
      <c r="Q59" s="7">
        <f t="shared" ca="1" si="10"/>
        <v>0</v>
      </c>
      <c r="R59" s="7">
        <f t="shared" ca="1" si="11"/>
        <v>0</v>
      </c>
      <c r="S59" s="7"/>
      <c r="U59" s="5">
        <f t="shared" ca="1" si="17"/>
        <v>46149.662929050923</v>
      </c>
      <c r="V59">
        <f t="shared" ca="1" si="12"/>
        <v>2026</v>
      </c>
      <c r="W59">
        <f t="shared" ca="1" si="13"/>
        <v>5</v>
      </c>
      <c r="X59">
        <f t="shared" ca="1" si="14"/>
        <v>7</v>
      </c>
      <c r="Z59" t="b">
        <f t="shared" ca="1" si="15"/>
        <v>0</v>
      </c>
      <c r="AA59" t="b">
        <f t="shared" ca="1" si="16"/>
        <v>0</v>
      </c>
      <c r="AI59">
        <v>2027</v>
      </c>
      <c r="AJ59">
        <v>5</v>
      </c>
      <c r="AK59">
        <v>5</v>
      </c>
      <c r="AL59" t="s">
        <v>93</v>
      </c>
      <c r="AM59" t="s">
        <v>152</v>
      </c>
      <c r="AN59" t="s">
        <v>84</v>
      </c>
      <c r="AO59" s="1">
        <v>64</v>
      </c>
      <c r="AP59" t="s">
        <v>107</v>
      </c>
    </row>
    <row r="60" spans="2:42" x14ac:dyDescent="0.25">
      <c r="B60" s="6">
        <f t="shared" ca="1" si="22"/>
        <v>2031</v>
      </c>
      <c r="C60" s="6">
        <f t="shared" ca="1" si="22"/>
        <v>6</v>
      </c>
      <c r="D60" s="6">
        <f t="shared" ca="1" si="22"/>
        <v>1</v>
      </c>
      <c r="E60" s="6" t="str">
        <f t="shared" ca="1" si="22"/>
        <v>ZEN</v>
      </c>
      <c r="F60" s="6" t="str">
        <f t="shared" ca="1" si="22"/>
        <v>Electric Blue</v>
      </c>
      <c r="G60" s="6" t="str">
        <f t="shared" ca="1" si="2"/>
        <v>Wide Sweep</v>
      </c>
      <c r="H60" s="6">
        <f t="shared" ca="1" si="3"/>
        <v>172</v>
      </c>
      <c r="I60" s="6" t="str">
        <f t="shared" ca="1" si="4"/>
        <v>Pinksteren,  - iets met vurige tongen?</v>
      </c>
      <c r="J60" s="6"/>
      <c r="K60" s="7">
        <v>0</v>
      </c>
      <c r="L60" s="7">
        <f t="shared" ca="1" si="5"/>
        <v>0</v>
      </c>
      <c r="M60" s="7">
        <f t="shared" ca="1" si="6"/>
        <v>0</v>
      </c>
      <c r="N60" s="7">
        <f t="shared" ca="1" si="7"/>
        <v>0</v>
      </c>
      <c r="O60" s="7">
        <f t="shared" ca="1" si="8"/>
        <v>0</v>
      </c>
      <c r="P60" s="7">
        <f t="shared" ca="1" si="9"/>
        <v>0</v>
      </c>
      <c r="Q60" s="7">
        <f t="shared" ca="1" si="10"/>
        <v>0</v>
      </c>
      <c r="R60" s="7">
        <f t="shared" ca="1" si="11"/>
        <v>0</v>
      </c>
      <c r="S60" s="7"/>
      <c r="U60" s="5">
        <f t="shared" ca="1" si="17"/>
        <v>46150.662929050923</v>
      </c>
      <c r="V60">
        <f t="shared" ca="1" si="12"/>
        <v>2026</v>
      </c>
      <c r="W60">
        <f t="shared" ca="1" si="13"/>
        <v>5</v>
      </c>
      <c r="X60">
        <f t="shared" ca="1" si="14"/>
        <v>8</v>
      </c>
      <c r="Z60" t="b">
        <f t="shared" ca="1" si="15"/>
        <v>0</v>
      </c>
      <c r="AA60" t="b">
        <f t="shared" ca="1" si="16"/>
        <v>0</v>
      </c>
      <c r="AI60">
        <v>2027</v>
      </c>
      <c r="AJ60">
        <v>5</v>
      </c>
      <c r="AK60">
        <v>6</v>
      </c>
      <c r="AL60" t="s">
        <v>44</v>
      </c>
      <c r="AM60" t="s">
        <v>227</v>
      </c>
      <c r="AN60" t="s">
        <v>83</v>
      </c>
      <c r="AO60" s="1">
        <v>122</v>
      </c>
      <c r="AP60" t="s">
        <v>14</v>
      </c>
    </row>
    <row r="61" spans="2:42" x14ac:dyDescent="0.25">
      <c r="B61" s="6">
        <f t="shared" ca="1" si="22"/>
        <v>2032</v>
      </c>
      <c r="C61" s="6">
        <f t="shared" ca="1" si="22"/>
        <v>5</v>
      </c>
      <c r="D61" s="6">
        <f t="shared" ca="1" si="22"/>
        <v>16</v>
      </c>
      <c r="E61" s="6" t="str">
        <f t="shared" ca="1" si="22"/>
        <v>ZEN</v>
      </c>
      <c r="F61" s="6" t="str">
        <f t="shared" ca="1" si="22"/>
        <v>Electric Blue</v>
      </c>
      <c r="G61" s="6" t="str">
        <f t="shared" ca="1" si="2"/>
        <v>Wide Sweep</v>
      </c>
      <c r="H61" s="6">
        <f t="shared" ca="1" si="3"/>
        <v>170</v>
      </c>
      <c r="I61" s="6" t="str">
        <f t="shared" ca="1" si="4"/>
        <v>Pinksteren,  - de Heilige Geest zien vliegen???</v>
      </c>
      <c r="J61" s="6"/>
      <c r="K61" s="7">
        <v>0</v>
      </c>
      <c r="L61" s="7">
        <f t="shared" ca="1" si="5"/>
        <v>0</v>
      </c>
      <c r="M61" s="7">
        <f t="shared" ca="1" si="6"/>
        <v>0</v>
      </c>
      <c r="N61" s="7">
        <f t="shared" ca="1" si="7"/>
        <v>0</v>
      </c>
      <c r="O61" s="7">
        <f t="shared" ca="1" si="8"/>
        <v>0</v>
      </c>
      <c r="P61" s="7">
        <f t="shared" ca="1" si="9"/>
        <v>0</v>
      </c>
      <c r="Q61" s="7">
        <f t="shared" ca="1" si="10"/>
        <v>0</v>
      </c>
      <c r="R61" s="7">
        <f t="shared" ca="1" si="11"/>
        <v>0</v>
      </c>
      <c r="S61" s="7"/>
      <c r="U61" s="5">
        <f t="shared" ca="1" si="17"/>
        <v>46151.662929050923</v>
      </c>
      <c r="V61">
        <f t="shared" ca="1" si="12"/>
        <v>2026</v>
      </c>
      <c r="W61">
        <f t="shared" ca="1" si="13"/>
        <v>5</v>
      </c>
      <c r="X61">
        <f t="shared" ca="1" si="14"/>
        <v>9</v>
      </c>
      <c r="Z61" t="b">
        <f t="shared" ca="1" si="15"/>
        <v>0</v>
      </c>
      <c r="AA61" t="b">
        <f t="shared" ca="1" si="16"/>
        <v>0</v>
      </c>
      <c r="AI61">
        <v>2027</v>
      </c>
      <c r="AJ61">
        <v>5</v>
      </c>
      <c r="AK61">
        <v>10</v>
      </c>
      <c r="AL61" t="s">
        <v>56</v>
      </c>
      <c r="AM61" t="s">
        <v>184</v>
      </c>
      <c r="AN61" t="s">
        <v>84</v>
      </c>
      <c r="AO61" s="1">
        <v>73</v>
      </c>
      <c r="AP61" t="s">
        <v>128</v>
      </c>
    </row>
    <row r="62" spans="2:42" x14ac:dyDescent="0.25">
      <c r="B62" s="6">
        <f t="shared" ca="1" si="22"/>
        <v>2033</v>
      </c>
      <c r="C62" s="6">
        <f t="shared" ca="1" si="22"/>
        <v>6</v>
      </c>
      <c r="D62" s="6">
        <f t="shared" ca="1" si="22"/>
        <v>5</v>
      </c>
      <c r="E62" s="6" t="str">
        <f t="shared" ca="1" si="22"/>
        <v>ZEN</v>
      </c>
      <c r="F62" s="6" t="str">
        <f t="shared" ca="1" si="22"/>
        <v>Electric Blue</v>
      </c>
      <c r="G62" s="6" t="str">
        <f t="shared" ca="1" si="2"/>
        <v>Wide Sweep</v>
      </c>
      <c r="H62" s="6">
        <f t="shared" ca="1" si="3"/>
        <v>145</v>
      </c>
      <c r="I62" s="6" t="str">
        <f t="shared" ca="1" si="4"/>
        <v>Pinksteren</v>
      </c>
      <c r="J62" s="6"/>
      <c r="K62" s="7">
        <v>0</v>
      </c>
      <c r="L62" s="7">
        <f t="shared" ca="1" si="5"/>
        <v>0</v>
      </c>
      <c r="M62" s="7">
        <f t="shared" ca="1" si="6"/>
        <v>0</v>
      </c>
      <c r="N62" s="7">
        <f t="shared" ca="1" si="7"/>
        <v>0</v>
      </c>
      <c r="O62" s="7">
        <f t="shared" ca="1" si="8"/>
        <v>0</v>
      </c>
      <c r="P62" s="7">
        <f t="shared" ca="1" si="9"/>
        <v>0</v>
      </c>
      <c r="Q62" s="7">
        <f t="shared" ca="1" si="10"/>
        <v>0</v>
      </c>
      <c r="R62" s="7">
        <f t="shared" ca="1" si="11"/>
        <v>0</v>
      </c>
      <c r="S62" s="7"/>
      <c r="U62" s="5">
        <f t="shared" ca="1" si="17"/>
        <v>46152.662929050923</v>
      </c>
      <c r="V62">
        <f t="shared" ca="1" si="12"/>
        <v>2026</v>
      </c>
      <c r="W62">
        <f t="shared" ca="1" si="13"/>
        <v>5</v>
      </c>
      <c r="X62">
        <f t="shared" ca="1" si="14"/>
        <v>10</v>
      </c>
      <c r="Z62" t="b">
        <f t="shared" ca="1" si="15"/>
        <v>0</v>
      </c>
      <c r="AA62" t="b">
        <f t="shared" ca="1" si="16"/>
        <v>0</v>
      </c>
      <c r="AI62">
        <v>2027</v>
      </c>
      <c r="AJ62">
        <v>5</v>
      </c>
      <c r="AK62">
        <v>16</v>
      </c>
      <c r="AL62" t="s">
        <v>49</v>
      </c>
      <c r="AM62" t="s">
        <v>167</v>
      </c>
      <c r="AN62" t="s">
        <v>85</v>
      </c>
      <c r="AO62" s="1">
        <v>137</v>
      </c>
      <c r="AP62" t="s">
        <v>142</v>
      </c>
    </row>
    <row r="63" spans="2:42" x14ac:dyDescent="0.25">
      <c r="B63" s="6">
        <f t="shared" ref="B63:F72" ca="1" si="23">OFFSET(INDIRECT($B$1),ROW(A61),COLUMN(A61))</f>
        <v>2034</v>
      </c>
      <c r="C63" s="6">
        <f t="shared" ca="1" si="23"/>
        <v>5</v>
      </c>
      <c r="D63" s="6">
        <f t="shared" ca="1" si="23"/>
        <v>28</v>
      </c>
      <c r="E63" s="6" t="str">
        <f t="shared" ca="1" si="23"/>
        <v>ZEN</v>
      </c>
      <c r="F63" s="6" t="str">
        <f t="shared" ca="1" si="23"/>
        <v>Electric Blue</v>
      </c>
      <c r="G63" s="6" t="str">
        <f t="shared" ca="1" si="2"/>
        <v>Wide Sweep</v>
      </c>
      <c r="H63" s="6">
        <f t="shared" ca="1" si="3"/>
        <v>121</v>
      </c>
      <c r="I63" s="6" t="str">
        <f t="shared" ca="1" si="4"/>
        <v>Pinksteren,  - wat is dat ook weer??</v>
      </c>
      <c r="J63" s="6"/>
      <c r="K63" s="7">
        <v>0</v>
      </c>
      <c r="L63" s="7">
        <f t="shared" ca="1" si="5"/>
        <v>0</v>
      </c>
      <c r="M63" s="7">
        <f t="shared" ca="1" si="6"/>
        <v>0</v>
      </c>
      <c r="N63" s="7">
        <f t="shared" ca="1" si="7"/>
        <v>0</v>
      </c>
      <c r="O63" s="7">
        <f t="shared" ca="1" si="8"/>
        <v>0</v>
      </c>
      <c r="P63" s="7">
        <f t="shared" ca="1" si="9"/>
        <v>0</v>
      </c>
      <c r="Q63" s="7">
        <f t="shared" ca="1" si="10"/>
        <v>0</v>
      </c>
      <c r="R63" s="7">
        <f t="shared" ca="1" si="11"/>
        <v>0</v>
      </c>
      <c r="S63" s="7"/>
      <c r="U63" s="5">
        <f t="shared" ca="1" si="17"/>
        <v>46153.662929050923</v>
      </c>
      <c r="V63">
        <f t="shared" ca="1" si="12"/>
        <v>2026</v>
      </c>
      <c r="W63">
        <f t="shared" ca="1" si="13"/>
        <v>5</v>
      </c>
      <c r="X63">
        <f t="shared" ca="1" si="14"/>
        <v>11</v>
      </c>
      <c r="Z63" t="b">
        <f t="shared" ca="1" si="15"/>
        <v>0</v>
      </c>
      <c r="AA63" t="b">
        <f t="shared" ca="1" si="16"/>
        <v>0</v>
      </c>
      <c r="AI63">
        <v>2027</v>
      </c>
      <c r="AJ63">
        <v>5</v>
      </c>
      <c r="AK63">
        <v>17</v>
      </c>
      <c r="AL63" t="s">
        <v>49</v>
      </c>
      <c r="AM63" t="s">
        <v>167</v>
      </c>
      <c r="AN63" t="s">
        <v>85</v>
      </c>
      <c r="AO63" s="1">
        <v>173</v>
      </c>
      <c r="AP63" t="s">
        <v>1495</v>
      </c>
    </row>
    <row r="64" spans="2:42" x14ac:dyDescent="0.25">
      <c r="B64" s="6">
        <f t="shared" ca="1" si="23"/>
        <v>2035</v>
      </c>
      <c r="C64" s="6">
        <f t="shared" ca="1" si="23"/>
        <v>5</v>
      </c>
      <c r="D64" s="6">
        <f t="shared" ca="1" si="23"/>
        <v>13</v>
      </c>
      <c r="E64" s="6" t="str">
        <f t="shared" ca="1" si="23"/>
        <v>ZEN</v>
      </c>
      <c r="F64" s="6" t="str">
        <f t="shared" ca="1" si="23"/>
        <v>Electric Blue</v>
      </c>
      <c r="G64" s="6" t="str">
        <f t="shared" ca="1" si="2"/>
        <v>Wide Sweep</v>
      </c>
      <c r="H64" s="6">
        <f t="shared" ca="1" si="3"/>
        <v>119</v>
      </c>
      <c r="I64" s="6" t="str">
        <f t="shared" ca="1" si="4"/>
        <v>Pinksteren,  - iets met vurige tongen?</v>
      </c>
      <c r="J64" s="6"/>
      <c r="K64" s="7">
        <v>0</v>
      </c>
      <c r="L64" s="7">
        <f t="shared" ca="1" si="5"/>
        <v>0</v>
      </c>
      <c r="M64" s="7">
        <f t="shared" ca="1" si="6"/>
        <v>0</v>
      </c>
      <c r="N64" s="7">
        <f t="shared" ca="1" si="7"/>
        <v>0</v>
      </c>
      <c r="O64" s="7">
        <f t="shared" ca="1" si="8"/>
        <v>0</v>
      </c>
      <c r="P64" s="7">
        <f t="shared" ca="1" si="9"/>
        <v>0</v>
      </c>
      <c r="Q64" s="7">
        <f t="shared" ca="1" si="10"/>
        <v>0</v>
      </c>
      <c r="R64" s="7">
        <f t="shared" ca="1" si="11"/>
        <v>0</v>
      </c>
      <c r="S64" s="7"/>
      <c r="U64" s="5">
        <f t="shared" ca="1" si="17"/>
        <v>46154.662929050923</v>
      </c>
      <c r="V64">
        <f t="shared" ca="1" si="12"/>
        <v>2026</v>
      </c>
      <c r="W64">
        <f t="shared" ca="1" si="13"/>
        <v>5</v>
      </c>
      <c r="X64">
        <f t="shared" ca="1" si="14"/>
        <v>12</v>
      </c>
      <c r="Z64" t="b">
        <f t="shared" ca="1" si="15"/>
        <v>0</v>
      </c>
      <c r="AA64" t="b">
        <f t="shared" ca="1" si="16"/>
        <v>0</v>
      </c>
      <c r="AI64">
        <v>2027</v>
      </c>
      <c r="AJ64">
        <v>6</v>
      </c>
      <c r="AK64">
        <v>1</v>
      </c>
      <c r="AL64" t="s">
        <v>91</v>
      </c>
      <c r="AM64" t="s">
        <v>164</v>
      </c>
      <c r="AN64" t="s">
        <v>85</v>
      </c>
      <c r="AO64" s="1">
        <v>157</v>
      </c>
      <c r="AP64" t="s">
        <v>130</v>
      </c>
    </row>
    <row r="65" spans="2:42" x14ac:dyDescent="0.25">
      <c r="B65" s="6">
        <f t="shared" ca="1" si="23"/>
        <v>2036</v>
      </c>
      <c r="C65" s="6">
        <f t="shared" ca="1" si="23"/>
        <v>6</v>
      </c>
      <c r="D65" s="6">
        <f t="shared" ca="1" si="23"/>
        <v>1</v>
      </c>
      <c r="E65" s="6" t="str">
        <f t="shared" ca="1" si="23"/>
        <v>ZEN</v>
      </c>
      <c r="F65" s="6" t="str">
        <f t="shared" ca="1" si="23"/>
        <v>Electric Blue</v>
      </c>
      <c r="G65" s="6" t="str">
        <f t="shared" ca="1" si="2"/>
        <v>Wide Sweep</v>
      </c>
      <c r="H65" s="6">
        <f t="shared" ca="1" si="3"/>
        <v>142</v>
      </c>
      <c r="I65" s="6" t="str">
        <f t="shared" ca="1" si="4"/>
        <v>Pinksteren,  - de Heilige Geest zien vliegen???</v>
      </c>
      <c r="J65" s="6"/>
      <c r="K65" s="7">
        <v>0</v>
      </c>
      <c r="L65" s="7">
        <f t="shared" ca="1" si="5"/>
        <v>0</v>
      </c>
      <c r="M65" s="7">
        <f t="shared" ca="1" si="6"/>
        <v>0</v>
      </c>
      <c r="N65" s="7">
        <f t="shared" ca="1" si="7"/>
        <v>0</v>
      </c>
      <c r="O65" s="7">
        <f t="shared" ca="1" si="8"/>
        <v>0</v>
      </c>
      <c r="P65" s="7">
        <f t="shared" ca="1" si="9"/>
        <v>0</v>
      </c>
      <c r="Q65" s="7">
        <f t="shared" ca="1" si="10"/>
        <v>0</v>
      </c>
      <c r="R65" s="7">
        <f t="shared" ca="1" si="11"/>
        <v>0</v>
      </c>
      <c r="S65" s="7"/>
      <c r="U65" s="5">
        <f t="shared" ca="1" si="17"/>
        <v>46155.662929050923</v>
      </c>
      <c r="V65">
        <f t="shared" ca="1" si="12"/>
        <v>2026</v>
      </c>
      <c r="W65">
        <f t="shared" ca="1" si="13"/>
        <v>5</v>
      </c>
      <c r="X65">
        <f t="shared" ca="1" si="14"/>
        <v>13</v>
      </c>
      <c r="Z65" t="b">
        <f t="shared" ca="1" si="15"/>
        <v>0</v>
      </c>
      <c r="AA65" t="b">
        <f t="shared" ca="1" si="16"/>
        <v>0</v>
      </c>
      <c r="AI65">
        <v>2027</v>
      </c>
      <c r="AJ65">
        <v>6</v>
      </c>
      <c r="AK65">
        <v>24</v>
      </c>
      <c r="AL65" t="s">
        <v>93</v>
      </c>
      <c r="AM65" t="s">
        <v>158</v>
      </c>
      <c r="AN65" t="s">
        <v>1412</v>
      </c>
      <c r="AO65" s="1">
        <v>61</v>
      </c>
      <c r="AP65" t="s">
        <v>1369</v>
      </c>
    </row>
    <row r="66" spans="2:42" x14ac:dyDescent="0.25">
      <c r="B66" s="6">
        <f t="shared" ca="1" si="23"/>
        <v>2037</v>
      </c>
      <c r="C66" s="6">
        <f t="shared" ca="1" si="23"/>
        <v>5</v>
      </c>
      <c r="D66" s="6">
        <f t="shared" ca="1" si="23"/>
        <v>24</v>
      </c>
      <c r="E66" s="6" t="str">
        <f t="shared" ca="1" si="23"/>
        <v>ZEN</v>
      </c>
      <c r="F66" s="6" t="str">
        <f t="shared" ca="1" si="23"/>
        <v>Electric Blue</v>
      </c>
      <c r="G66" s="6" t="str">
        <f t="shared" ca="1" si="2"/>
        <v>Wide Sweep</v>
      </c>
      <c r="H66" s="6">
        <f t="shared" ca="1" si="3"/>
        <v>168</v>
      </c>
      <c r="I66" s="6" t="str">
        <f t="shared" ca="1" si="4"/>
        <v>Pinksteren</v>
      </c>
      <c r="J66" s="6"/>
      <c r="K66" s="7">
        <v>0</v>
      </c>
      <c r="L66" s="7">
        <f t="shared" ca="1" si="5"/>
        <v>0</v>
      </c>
      <c r="M66" s="7">
        <f t="shared" ca="1" si="6"/>
        <v>0</v>
      </c>
      <c r="N66" s="7">
        <f t="shared" ca="1" si="7"/>
        <v>0</v>
      </c>
      <c r="O66" s="7">
        <f t="shared" ca="1" si="8"/>
        <v>0</v>
      </c>
      <c r="P66" s="7">
        <f t="shared" ca="1" si="9"/>
        <v>0</v>
      </c>
      <c r="Q66" s="7">
        <f t="shared" ca="1" si="10"/>
        <v>0</v>
      </c>
      <c r="R66" s="7">
        <f t="shared" ca="1" si="11"/>
        <v>0</v>
      </c>
      <c r="S66" s="7"/>
      <c r="U66" s="5">
        <f t="shared" ca="1" si="17"/>
        <v>46156.662929050923</v>
      </c>
      <c r="V66">
        <f t="shared" ca="1" si="12"/>
        <v>2026</v>
      </c>
      <c r="W66">
        <f t="shared" ca="1" si="13"/>
        <v>5</v>
      </c>
      <c r="X66">
        <f t="shared" ca="1" si="14"/>
        <v>14</v>
      </c>
      <c r="Z66" t="b">
        <f t="shared" ca="1" si="15"/>
        <v>0</v>
      </c>
      <c r="AA66" t="b">
        <f t="shared" ca="1" si="16"/>
        <v>0</v>
      </c>
      <c r="AI66">
        <v>2027</v>
      </c>
      <c r="AJ66">
        <v>7</v>
      </c>
      <c r="AK66">
        <v>1</v>
      </c>
      <c r="AL66" t="s">
        <v>91</v>
      </c>
      <c r="AM66" t="s">
        <v>164</v>
      </c>
      <c r="AN66" t="s">
        <v>85</v>
      </c>
      <c r="AO66" s="1">
        <v>171</v>
      </c>
      <c r="AP66" t="s">
        <v>131</v>
      </c>
    </row>
    <row r="67" spans="2:42" x14ac:dyDescent="0.25">
      <c r="B67" s="6">
        <f t="shared" ca="1" si="23"/>
        <v>2038</v>
      </c>
      <c r="C67" s="6">
        <f t="shared" ca="1" si="23"/>
        <v>6</v>
      </c>
      <c r="D67" s="6">
        <f t="shared" ca="1" si="23"/>
        <v>13</v>
      </c>
      <c r="E67" s="6" t="str">
        <f t="shared" ca="1" si="23"/>
        <v>ZEN</v>
      </c>
      <c r="F67" s="6" t="str">
        <f t="shared" ca="1" si="23"/>
        <v>Electric Blue</v>
      </c>
      <c r="G67" s="6" t="str">
        <f t="shared" ca="1" si="2"/>
        <v>Wide Sweep</v>
      </c>
      <c r="H67" s="6">
        <f t="shared" ca="1" si="3"/>
        <v>173</v>
      </c>
      <c r="I67" s="6" t="str">
        <f t="shared" ca="1" si="4"/>
        <v>Pinksteren,  - wat is dat ook weer??</v>
      </c>
      <c r="J67" s="6"/>
      <c r="K67" s="7">
        <v>0</v>
      </c>
      <c r="L67" s="7">
        <f t="shared" ca="1" si="5"/>
        <v>0</v>
      </c>
      <c r="M67" s="7">
        <f t="shared" ca="1" si="6"/>
        <v>0</v>
      </c>
      <c r="N67" s="7">
        <f t="shared" ca="1" si="7"/>
        <v>0</v>
      </c>
      <c r="O67" s="7">
        <f t="shared" ca="1" si="8"/>
        <v>0</v>
      </c>
      <c r="P67" s="7">
        <f t="shared" ca="1" si="9"/>
        <v>0</v>
      </c>
      <c r="Q67" s="7">
        <f t="shared" ca="1" si="10"/>
        <v>0</v>
      </c>
      <c r="R67" s="7">
        <f t="shared" ca="1" si="11"/>
        <v>0</v>
      </c>
      <c r="S67" s="7"/>
      <c r="U67" s="5">
        <f t="shared" ca="1" si="17"/>
        <v>46157.662929050923</v>
      </c>
      <c r="V67">
        <f t="shared" ca="1" si="12"/>
        <v>2026</v>
      </c>
      <c r="W67">
        <f t="shared" ca="1" si="13"/>
        <v>5</v>
      </c>
      <c r="X67">
        <f t="shared" ca="1" si="14"/>
        <v>15</v>
      </c>
      <c r="Z67" t="b">
        <f t="shared" ca="1" si="15"/>
        <v>0</v>
      </c>
      <c r="AA67" t="b">
        <f t="shared" ca="1" si="16"/>
        <v>0</v>
      </c>
      <c r="AI67">
        <v>2027</v>
      </c>
      <c r="AJ67">
        <v>8</v>
      </c>
      <c r="AK67">
        <v>1</v>
      </c>
      <c r="AL67" t="s">
        <v>91</v>
      </c>
      <c r="AM67" t="s">
        <v>164</v>
      </c>
      <c r="AN67" t="s">
        <v>85</v>
      </c>
      <c r="AO67" s="1">
        <v>231</v>
      </c>
      <c r="AP67" t="s">
        <v>132</v>
      </c>
    </row>
    <row r="68" spans="2:42" x14ac:dyDescent="0.25">
      <c r="B68" s="6">
        <f t="shared" ca="1" si="23"/>
        <v>2026</v>
      </c>
      <c r="C68" s="6">
        <f t="shared" ca="1" si="23"/>
        <v>4</v>
      </c>
      <c r="D68" s="6">
        <f t="shared" ca="1" si="23"/>
        <v>3</v>
      </c>
      <c r="E68" s="6" t="str">
        <f t="shared" ca="1" si="23"/>
        <v>TIBET</v>
      </c>
      <c r="F68" s="6" t="str">
        <f t="shared" ca="1" si="23"/>
        <v>Magenta Dream</v>
      </c>
      <c r="G68" s="6" t="str">
        <f t="shared" ref="G68:G131" ca="1" si="24">OFFSET(INDIRECT($B$1),ROW(F66),COLUMN(F66))</f>
        <v>Slow Breathing</v>
      </c>
      <c r="H68" s="6">
        <f t="shared" ref="H68:H131" ca="1" si="25">OFFSET(INDIRECT($B$1),ROW(G66),COLUMN(G66))</f>
        <v>245</v>
      </c>
      <c r="I68" s="6" t="str">
        <f t="shared" ref="I68:I131" ca="1" si="26">OFFSET(INDIRECT($B$1),ROW(H66),COLUMN(H66))</f>
        <v>Goede Vrijdag,  - bijna Pasen</v>
      </c>
      <c r="J68" s="6"/>
      <c r="K68" s="7">
        <v>0</v>
      </c>
      <c r="L68" s="7">
        <f t="shared" ref="L68:L131" ca="1" si="27">OFFSET(INDIRECT($L$1),ROW(B66),COLUMN(B66))</f>
        <v>0</v>
      </c>
      <c r="M68" s="7">
        <f t="shared" ref="M68:M131" ca="1" si="28">OFFSET(INDIRECT($L$1),ROW(C66),COLUMN(C66))</f>
        <v>0</v>
      </c>
      <c r="N68" s="7">
        <f t="shared" ref="N68:N131" ca="1" si="29">OFFSET(INDIRECT($L$1),ROW(D66),COLUMN(D66))</f>
        <v>0</v>
      </c>
      <c r="O68" s="7">
        <f t="shared" ref="O68:O131" ca="1" si="30">OFFSET(INDIRECT($L$1),ROW(E66),COLUMN(E66))</f>
        <v>0</v>
      </c>
      <c r="P68" s="7">
        <f t="shared" ref="P68:P131" ca="1" si="31">OFFSET(INDIRECT($L$1),ROW(F66),COLUMN(F66))</f>
        <v>0</v>
      </c>
      <c r="Q68" s="7">
        <f t="shared" ref="Q68:Q131" ca="1" si="32">OFFSET(INDIRECT($L$1),ROW(G66),COLUMN(G66))</f>
        <v>0</v>
      </c>
      <c r="R68" s="7">
        <f t="shared" ref="R68:R131" ca="1" si="33">OFFSET(INDIRECT($L$1),ROW(H66),COLUMN(H66))</f>
        <v>0</v>
      </c>
      <c r="S68" s="7"/>
      <c r="U68" s="5">
        <f t="shared" ca="1" si="17"/>
        <v>46158.662929050923</v>
      </c>
      <c r="V68">
        <f t="shared" ref="V68:V131" ca="1" si="34">YEAR(U68)</f>
        <v>2026</v>
      </c>
      <c r="W68">
        <f t="shared" ref="W68:W131" ca="1" si="35">MONTH(U68)</f>
        <v>5</v>
      </c>
      <c r="X68">
        <f t="shared" ref="X68:X131" ca="1" si="36">DAY(U68)</f>
        <v>16</v>
      </c>
      <c r="Z68" t="b">
        <f t="shared" ref="Z68:Z131" ca="1" si="37">AND(V68=B68,W68=C68,X68=D68)</f>
        <v>0</v>
      </c>
      <c r="AA68" t="b">
        <f t="shared" ref="AA68:AA131" ca="1" si="38">AND(W68=M68,X68=N68)</f>
        <v>0</v>
      </c>
      <c r="AI68">
        <v>2027</v>
      </c>
      <c r="AJ68">
        <v>9</v>
      </c>
      <c r="AK68">
        <v>1</v>
      </c>
      <c r="AL68" t="s">
        <v>91</v>
      </c>
      <c r="AM68" t="s">
        <v>164</v>
      </c>
      <c r="AN68" t="s">
        <v>85</v>
      </c>
      <c r="AO68" s="1">
        <v>282</v>
      </c>
      <c r="AP68" t="s">
        <v>133</v>
      </c>
    </row>
    <row r="69" spans="2:42" x14ac:dyDescent="0.25">
      <c r="B69" s="6">
        <f t="shared" ca="1" si="23"/>
        <v>2027</v>
      </c>
      <c r="C69" s="6">
        <f t="shared" ca="1" si="23"/>
        <v>3</v>
      </c>
      <c r="D69" s="6">
        <f t="shared" ca="1" si="23"/>
        <v>26</v>
      </c>
      <c r="E69" s="6" t="str">
        <f t="shared" ca="1" si="23"/>
        <v>TIBET</v>
      </c>
      <c r="F69" s="6" t="str">
        <f t="shared" ca="1" si="23"/>
        <v>Magenta Dream</v>
      </c>
      <c r="G69" s="6" t="str">
        <f t="shared" ca="1" si="24"/>
        <v>Slow Breathing</v>
      </c>
      <c r="H69" s="6">
        <f t="shared" ca="1" si="25"/>
        <v>202</v>
      </c>
      <c r="I69" s="6" t="str">
        <f t="shared" ca="1" si="26"/>
        <v>Goede Vrijdag,  - geen vrije dag</v>
      </c>
      <c r="J69" s="6"/>
      <c r="K69" s="7">
        <v>0</v>
      </c>
      <c r="L69" s="7">
        <f t="shared" ca="1" si="27"/>
        <v>0</v>
      </c>
      <c r="M69" s="7">
        <f t="shared" ca="1" si="28"/>
        <v>0</v>
      </c>
      <c r="N69" s="7">
        <f t="shared" ca="1" si="29"/>
        <v>0</v>
      </c>
      <c r="O69" s="7">
        <f t="shared" ca="1" si="30"/>
        <v>0</v>
      </c>
      <c r="P69" s="7">
        <f t="shared" ca="1" si="31"/>
        <v>0</v>
      </c>
      <c r="Q69" s="7">
        <f t="shared" ca="1" si="32"/>
        <v>0</v>
      </c>
      <c r="R69" s="7">
        <f t="shared" ca="1" si="33"/>
        <v>0</v>
      </c>
      <c r="S69" s="7"/>
      <c r="U69" s="5">
        <f t="shared" ref="U69:U132" ca="1" si="39">U68+1</f>
        <v>46159.662929050923</v>
      </c>
      <c r="V69">
        <f t="shared" ca="1" si="34"/>
        <v>2026</v>
      </c>
      <c r="W69">
        <f t="shared" ca="1" si="35"/>
        <v>5</v>
      </c>
      <c r="X69">
        <f t="shared" ca="1" si="36"/>
        <v>17</v>
      </c>
      <c r="Z69" t="b">
        <f t="shared" ca="1" si="37"/>
        <v>0</v>
      </c>
      <c r="AA69" t="b">
        <f t="shared" ca="1" si="38"/>
        <v>0</v>
      </c>
      <c r="AI69">
        <v>2027</v>
      </c>
      <c r="AJ69">
        <v>10</v>
      </c>
      <c r="AK69">
        <v>1</v>
      </c>
      <c r="AL69" t="s">
        <v>91</v>
      </c>
      <c r="AM69" t="s">
        <v>164</v>
      </c>
      <c r="AN69" t="s">
        <v>85</v>
      </c>
      <c r="AO69" s="1">
        <v>277</v>
      </c>
      <c r="AP69" t="s">
        <v>134</v>
      </c>
    </row>
    <row r="70" spans="2:42" x14ac:dyDescent="0.25">
      <c r="B70" s="6">
        <f t="shared" ca="1" si="23"/>
        <v>2028</v>
      </c>
      <c r="C70" s="6">
        <f t="shared" ca="1" si="23"/>
        <v>4</v>
      </c>
      <c r="D70" s="6">
        <f t="shared" ca="1" si="23"/>
        <v>14</v>
      </c>
      <c r="E70" s="6" t="str">
        <f t="shared" ca="1" si="23"/>
        <v>TIBET</v>
      </c>
      <c r="F70" s="6" t="str">
        <f t="shared" ca="1" si="23"/>
        <v>Magenta Dream</v>
      </c>
      <c r="G70" s="6" t="str">
        <f t="shared" ca="1" si="24"/>
        <v>Slow Breathing</v>
      </c>
      <c r="H70" s="6">
        <f t="shared" ca="1" si="25"/>
        <v>187</v>
      </c>
      <c r="I70" s="6" t="str">
        <f t="shared" ca="1" si="26"/>
        <v>Goede Vrijdag</v>
      </c>
      <c r="J70" s="6"/>
      <c r="K70" s="7">
        <v>0</v>
      </c>
      <c r="L70" s="7">
        <f t="shared" ca="1" si="27"/>
        <v>0</v>
      </c>
      <c r="M70" s="7">
        <f t="shared" ca="1" si="28"/>
        <v>0</v>
      </c>
      <c r="N70" s="7">
        <f t="shared" ca="1" si="29"/>
        <v>0</v>
      </c>
      <c r="O70" s="7">
        <f t="shared" ca="1" si="30"/>
        <v>0</v>
      </c>
      <c r="P70" s="7">
        <f t="shared" ca="1" si="31"/>
        <v>0</v>
      </c>
      <c r="Q70" s="7">
        <f t="shared" ca="1" si="32"/>
        <v>0</v>
      </c>
      <c r="R70" s="7">
        <f t="shared" ca="1" si="33"/>
        <v>0</v>
      </c>
      <c r="S70" s="7"/>
      <c r="U70" s="5">
        <f t="shared" ca="1" si="39"/>
        <v>46160.662929050923</v>
      </c>
      <c r="V70">
        <f t="shared" ca="1" si="34"/>
        <v>2026</v>
      </c>
      <c r="W70">
        <f t="shared" ca="1" si="35"/>
        <v>5</v>
      </c>
      <c r="X70">
        <f t="shared" ca="1" si="36"/>
        <v>18</v>
      </c>
      <c r="Z70" t="b">
        <f t="shared" ca="1" si="37"/>
        <v>0</v>
      </c>
      <c r="AA70" t="b">
        <f t="shared" ca="1" si="38"/>
        <v>0</v>
      </c>
      <c r="AI70">
        <v>2027</v>
      </c>
      <c r="AJ70">
        <v>10</v>
      </c>
      <c r="AK70">
        <v>8</v>
      </c>
      <c r="AL70" t="s">
        <v>56</v>
      </c>
      <c r="AM70" t="s">
        <v>184</v>
      </c>
      <c r="AN70" t="s">
        <v>84</v>
      </c>
      <c r="AO70" s="1">
        <v>105</v>
      </c>
      <c r="AP70" t="s">
        <v>135</v>
      </c>
    </row>
    <row r="71" spans="2:42" x14ac:dyDescent="0.25">
      <c r="B71" s="6">
        <f t="shared" ca="1" si="23"/>
        <v>2029</v>
      </c>
      <c r="C71" s="6">
        <f t="shared" ca="1" si="23"/>
        <v>3</v>
      </c>
      <c r="D71" s="6">
        <f t="shared" ca="1" si="23"/>
        <v>30</v>
      </c>
      <c r="E71" s="6" t="str">
        <f t="shared" ca="1" si="23"/>
        <v>TIBET</v>
      </c>
      <c r="F71" s="6" t="str">
        <f t="shared" ca="1" si="23"/>
        <v>Magenta Dream</v>
      </c>
      <c r="G71" s="6" t="str">
        <f t="shared" ca="1" si="24"/>
        <v>Slow Breathing</v>
      </c>
      <c r="H71" s="6">
        <f t="shared" ca="1" si="25"/>
        <v>215</v>
      </c>
      <c r="I71" s="6" t="str">
        <f t="shared" ca="1" si="26"/>
        <v>Goede Vrijdag,  tja, Goede Vrijdag?</v>
      </c>
      <c r="J71" s="6"/>
      <c r="K71" s="7">
        <v>0</v>
      </c>
      <c r="L71" s="7">
        <f t="shared" ca="1" si="27"/>
        <v>0</v>
      </c>
      <c r="M71" s="7">
        <f t="shared" ca="1" si="28"/>
        <v>0</v>
      </c>
      <c r="N71" s="7">
        <f t="shared" ca="1" si="29"/>
        <v>0</v>
      </c>
      <c r="O71" s="7">
        <f t="shared" ca="1" si="30"/>
        <v>0</v>
      </c>
      <c r="P71" s="7">
        <f t="shared" ca="1" si="31"/>
        <v>0</v>
      </c>
      <c r="Q71" s="7">
        <f t="shared" ca="1" si="32"/>
        <v>0</v>
      </c>
      <c r="R71" s="7">
        <f t="shared" ca="1" si="33"/>
        <v>0</v>
      </c>
      <c r="S71" s="7"/>
      <c r="U71" s="5">
        <f t="shared" ca="1" si="39"/>
        <v>46161.662929050923</v>
      </c>
      <c r="V71">
        <f t="shared" ca="1" si="34"/>
        <v>2026</v>
      </c>
      <c r="W71">
        <f t="shared" ca="1" si="35"/>
        <v>5</v>
      </c>
      <c r="X71">
        <f t="shared" ca="1" si="36"/>
        <v>19</v>
      </c>
      <c r="Z71" t="b">
        <f t="shared" ca="1" si="37"/>
        <v>0</v>
      </c>
      <c r="AA71" t="b">
        <f t="shared" ca="1" si="38"/>
        <v>0</v>
      </c>
      <c r="AI71">
        <v>2027</v>
      </c>
      <c r="AJ71">
        <v>11</v>
      </c>
      <c r="AK71">
        <v>1</v>
      </c>
      <c r="AL71" t="s">
        <v>91</v>
      </c>
      <c r="AM71" t="s">
        <v>164</v>
      </c>
      <c r="AN71" t="s">
        <v>85</v>
      </c>
      <c r="AO71" s="1">
        <v>221</v>
      </c>
      <c r="AP71" t="s">
        <v>136</v>
      </c>
    </row>
    <row r="72" spans="2:42" x14ac:dyDescent="0.25">
      <c r="B72" s="6">
        <f t="shared" ca="1" si="23"/>
        <v>2030</v>
      </c>
      <c r="C72" s="6">
        <f t="shared" ca="1" si="23"/>
        <v>4</v>
      </c>
      <c r="D72" s="6">
        <f t="shared" ca="1" si="23"/>
        <v>19</v>
      </c>
      <c r="E72" s="6" t="str">
        <f t="shared" ca="1" si="23"/>
        <v>TIBET</v>
      </c>
      <c r="F72" s="6" t="str">
        <f t="shared" ca="1" si="23"/>
        <v>Magenta Dream</v>
      </c>
      <c r="G72" s="6" t="str">
        <f t="shared" ca="1" si="24"/>
        <v>Slow Breathing</v>
      </c>
      <c r="H72" s="6">
        <f t="shared" ca="1" si="25"/>
        <v>260</v>
      </c>
      <c r="I72" s="6" t="str">
        <f t="shared" ca="1" si="26"/>
        <v>Goede Vrijdag</v>
      </c>
      <c r="J72" s="6"/>
      <c r="K72" s="7">
        <v>0</v>
      </c>
      <c r="L72" s="7">
        <f t="shared" ca="1" si="27"/>
        <v>0</v>
      </c>
      <c r="M72" s="7">
        <f t="shared" ca="1" si="28"/>
        <v>0</v>
      </c>
      <c r="N72" s="7">
        <f t="shared" ca="1" si="29"/>
        <v>0</v>
      </c>
      <c r="O72" s="7">
        <f t="shared" ca="1" si="30"/>
        <v>0</v>
      </c>
      <c r="P72" s="7">
        <f t="shared" ca="1" si="31"/>
        <v>0</v>
      </c>
      <c r="Q72" s="7">
        <f t="shared" ca="1" si="32"/>
        <v>0</v>
      </c>
      <c r="R72" s="7">
        <f t="shared" ca="1" si="33"/>
        <v>0</v>
      </c>
      <c r="S72" s="7"/>
      <c r="U72" s="5">
        <f t="shared" ca="1" si="39"/>
        <v>46162.662929050923</v>
      </c>
      <c r="V72">
        <f t="shared" ca="1" si="34"/>
        <v>2026</v>
      </c>
      <c r="W72">
        <f t="shared" ca="1" si="35"/>
        <v>5</v>
      </c>
      <c r="X72">
        <f t="shared" ca="1" si="36"/>
        <v>20</v>
      </c>
      <c r="Z72" t="b">
        <f t="shared" ca="1" si="37"/>
        <v>0</v>
      </c>
      <c r="AA72" t="b">
        <f t="shared" ca="1" si="38"/>
        <v>0</v>
      </c>
      <c r="AI72">
        <v>2027</v>
      </c>
      <c r="AJ72">
        <v>12</v>
      </c>
      <c r="AK72">
        <v>1</v>
      </c>
      <c r="AL72" t="s">
        <v>91</v>
      </c>
      <c r="AM72" t="s">
        <v>164</v>
      </c>
      <c r="AN72" t="s">
        <v>85</v>
      </c>
      <c r="AO72" s="1">
        <v>165</v>
      </c>
      <c r="AP72" t="s">
        <v>137</v>
      </c>
    </row>
    <row r="73" spans="2:42" x14ac:dyDescent="0.25">
      <c r="B73" s="6">
        <f t="shared" ref="B73:F82" ca="1" si="40">OFFSET(INDIRECT($B$1),ROW(A71),COLUMN(A71))</f>
        <v>2031</v>
      </c>
      <c r="C73" s="6">
        <f t="shared" ca="1" si="40"/>
        <v>4</v>
      </c>
      <c r="D73" s="6">
        <f t="shared" ca="1" si="40"/>
        <v>11</v>
      </c>
      <c r="E73" s="6" t="str">
        <f t="shared" ca="1" si="40"/>
        <v>TIBET</v>
      </c>
      <c r="F73" s="6" t="str">
        <f t="shared" ca="1" si="40"/>
        <v>Magenta Dream</v>
      </c>
      <c r="G73" s="6" t="str">
        <f t="shared" ca="1" si="24"/>
        <v>Slow Breathing</v>
      </c>
      <c r="H73" s="6">
        <f t="shared" ca="1" si="25"/>
        <v>280</v>
      </c>
      <c r="I73" s="6" t="str">
        <f t="shared" ca="1" si="26"/>
        <v>Goede Vrijdag,  - ook zowat</v>
      </c>
      <c r="J73" s="6"/>
      <c r="K73" s="7">
        <v>0</v>
      </c>
      <c r="L73" s="7">
        <f t="shared" ca="1" si="27"/>
        <v>0</v>
      </c>
      <c r="M73" s="7">
        <f t="shared" ca="1" si="28"/>
        <v>0</v>
      </c>
      <c r="N73" s="7">
        <f t="shared" ca="1" si="29"/>
        <v>0</v>
      </c>
      <c r="O73" s="7">
        <f t="shared" ca="1" si="30"/>
        <v>0</v>
      </c>
      <c r="P73" s="7">
        <f t="shared" ca="1" si="31"/>
        <v>0</v>
      </c>
      <c r="Q73" s="7">
        <f t="shared" ca="1" si="32"/>
        <v>0</v>
      </c>
      <c r="R73" s="7">
        <f t="shared" ca="1" si="33"/>
        <v>0</v>
      </c>
      <c r="S73" s="7"/>
      <c r="U73" s="5">
        <f t="shared" ca="1" si="39"/>
        <v>46163.662929050923</v>
      </c>
      <c r="V73">
        <f t="shared" ca="1" si="34"/>
        <v>2026</v>
      </c>
      <c r="W73">
        <f t="shared" ca="1" si="35"/>
        <v>5</v>
      </c>
      <c r="X73">
        <f t="shared" ca="1" si="36"/>
        <v>21</v>
      </c>
      <c r="Z73" t="b">
        <f t="shared" ca="1" si="37"/>
        <v>0</v>
      </c>
      <c r="AA73" t="b">
        <f t="shared" ca="1" si="38"/>
        <v>0</v>
      </c>
      <c r="AI73">
        <v>2027</v>
      </c>
      <c r="AJ73">
        <v>12</v>
      </c>
      <c r="AK73">
        <v>5</v>
      </c>
      <c r="AL73" t="s">
        <v>53</v>
      </c>
      <c r="AM73" t="s">
        <v>224</v>
      </c>
      <c r="AN73" t="s">
        <v>258</v>
      </c>
      <c r="AO73" s="1">
        <v>113</v>
      </c>
      <c r="AP73" t="s">
        <v>1234</v>
      </c>
    </row>
    <row r="74" spans="2:42" x14ac:dyDescent="0.25">
      <c r="B74" s="6">
        <f t="shared" ca="1" si="40"/>
        <v>2032</v>
      </c>
      <c r="C74" s="6">
        <f t="shared" ca="1" si="40"/>
        <v>3</v>
      </c>
      <c r="D74" s="6">
        <f t="shared" ca="1" si="40"/>
        <v>26</v>
      </c>
      <c r="E74" s="6" t="str">
        <f t="shared" ca="1" si="40"/>
        <v>TIBET</v>
      </c>
      <c r="F74" s="6" t="str">
        <f t="shared" ca="1" si="40"/>
        <v>Magenta Dream</v>
      </c>
      <c r="G74" s="6" t="str">
        <f t="shared" ca="1" si="24"/>
        <v>Slow Breathing</v>
      </c>
      <c r="H74" s="6">
        <f t="shared" ca="1" si="25"/>
        <v>258</v>
      </c>
      <c r="I74" s="6" t="str">
        <f t="shared" ca="1" si="26"/>
        <v>Goede Vrijdag</v>
      </c>
      <c r="J74" s="6"/>
      <c r="K74" s="7">
        <v>0</v>
      </c>
      <c r="L74" s="7">
        <f t="shared" ca="1" si="27"/>
        <v>0</v>
      </c>
      <c r="M74" s="7">
        <f t="shared" ca="1" si="28"/>
        <v>0</v>
      </c>
      <c r="N74" s="7">
        <f t="shared" ca="1" si="29"/>
        <v>0</v>
      </c>
      <c r="O74" s="7">
        <f t="shared" ca="1" si="30"/>
        <v>0</v>
      </c>
      <c r="P74" s="7">
        <f t="shared" ca="1" si="31"/>
        <v>0</v>
      </c>
      <c r="Q74" s="7">
        <f t="shared" ca="1" si="32"/>
        <v>0</v>
      </c>
      <c r="R74" s="7">
        <f t="shared" ca="1" si="33"/>
        <v>0</v>
      </c>
      <c r="S74" s="7"/>
      <c r="U74" s="5">
        <f t="shared" ca="1" si="39"/>
        <v>46164.662929050923</v>
      </c>
      <c r="V74">
        <f t="shared" ca="1" si="34"/>
        <v>2026</v>
      </c>
      <c r="W74">
        <f t="shared" ca="1" si="35"/>
        <v>5</v>
      </c>
      <c r="X74">
        <f t="shared" ca="1" si="36"/>
        <v>22</v>
      </c>
      <c r="Z74" t="b">
        <f t="shared" ca="1" si="37"/>
        <v>0</v>
      </c>
      <c r="AA74" t="b">
        <f t="shared" ca="1" si="38"/>
        <v>0</v>
      </c>
      <c r="AI74">
        <v>2027</v>
      </c>
      <c r="AJ74">
        <v>12</v>
      </c>
      <c r="AK74">
        <v>13</v>
      </c>
      <c r="AL74" t="s">
        <v>56</v>
      </c>
      <c r="AM74" t="s">
        <v>184</v>
      </c>
      <c r="AN74" t="s">
        <v>84</v>
      </c>
      <c r="AO74" s="1">
        <v>114</v>
      </c>
      <c r="AP74" t="s">
        <v>138</v>
      </c>
    </row>
    <row r="75" spans="2:42" x14ac:dyDescent="0.25">
      <c r="B75" s="6">
        <f t="shared" ca="1" si="40"/>
        <v>2033</v>
      </c>
      <c r="C75" s="6">
        <f t="shared" ca="1" si="40"/>
        <v>4</v>
      </c>
      <c r="D75" s="6">
        <f t="shared" ca="1" si="40"/>
        <v>15</v>
      </c>
      <c r="E75" s="6" t="str">
        <f t="shared" ca="1" si="40"/>
        <v>TIBET</v>
      </c>
      <c r="F75" s="6" t="str">
        <f t="shared" ca="1" si="40"/>
        <v>Magenta Dream</v>
      </c>
      <c r="G75" s="6" t="str">
        <f t="shared" ca="1" si="24"/>
        <v>Slow Breathing</v>
      </c>
      <c r="H75" s="6">
        <f t="shared" ca="1" si="25"/>
        <v>213</v>
      </c>
      <c r="I75" s="6" t="str">
        <f t="shared" ca="1" si="26"/>
        <v>Goede Vrijdag, holadiejee</v>
      </c>
      <c r="J75" s="6"/>
      <c r="K75" s="7">
        <v>0</v>
      </c>
      <c r="L75" s="7">
        <f t="shared" ca="1" si="27"/>
        <v>0</v>
      </c>
      <c r="M75" s="7">
        <f t="shared" ca="1" si="28"/>
        <v>0</v>
      </c>
      <c r="N75" s="7">
        <f t="shared" ca="1" si="29"/>
        <v>0</v>
      </c>
      <c r="O75" s="7">
        <f t="shared" ca="1" si="30"/>
        <v>0</v>
      </c>
      <c r="P75" s="7">
        <f t="shared" ca="1" si="31"/>
        <v>0</v>
      </c>
      <c r="Q75" s="7">
        <f t="shared" ca="1" si="32"/>
        <v>0</v>
      </c>
      <c r="R75" s="7">
        <f t="shared" ca="1" si="33"/>
        <v>0</v>
      </c>
      <c r="S75" s="7"/>
      <c r="U75" s="5">
        <f t="shared" ca="1" si="39"/>
        <v>46165.662929050923</v>
      </c>
      <c r="V75">
        <f t="shared" ca="1" si="34"/>
        <v>2026</v>
      </c>
      <c r="W75">
        <f t="shared" ca="1" si="35"/>
        <v>5</v>
      </c>
      <c r="X75">
        <f t="shared" ca="1" si="36"/>
        <v>23</v>
      </c>
      <c r="Z75" t="b">
        <f t="shared" ca="1" si="37"/>
        <v>0</v>
      </c>
      <c r="AA75" t="b">
        <f t="shared" ca="1" si="38"/>
        <v>0</v>
      </c>
      <c r="AI75">
        <v>2027</v>
      </c>
      <c r="AJ75">
        <v>12</v>
      </c>
      <c r="AK75">
        <v>25</v>
      </c>
      <c r="AL75" t="s">
        <v>43</v>
      </c>
      <c r="AM75" t="s">
        <v>230</v>
      </c>
      <c r="AN75" t="s">
        <v>1411</v>
      </c>
      <c r="AO75" s="1">
        <v>95</v>
      </c>
      <c r="AP75" t="s">
        <v>7</v>
      </c>
    </row>
    <row r="76" spans="2:42" x14ac:dyDescent="0.25">
      <c r="B76" s="6">
        <f t="shared" ca="1" si="40"/>
        <v>2034</v>
      </c>
      <c r="C76" s="6">
        <f t="shared" ca="1" si="40"/>
        <v>4</v>
      </c>
      <c r="D76" s="6">
        <f t="shared" ca="1" si="40"/>
        <v>7</v>
      </c>
      <c r="E76" s="6" t="str">
        <f t="shared" ca="1" si="40"/>
        <v>TIBET</v>
      </c>
      <c r="F76" s="6" t="str">
        <f t="shared" ca="1" si="40"/>
        <v>Magenta Dream</v>
      </c>
      <c r="G76" s="6" t="str">
        <f t="shared" ca="1" si="24"/>
        <v>Slow Breathing</v>
      </c>
      <c r="H76" s="6">
        <f t="shared" ca="1" si="25"/>
        <v>187</v>
      </c>
      <c r="I76" s="6" t="str">
        <f t="shared" ca="1" si="26"/>
        <v>Goede Vrijdag</v>
      </c>
      <c r="J76" s="6"/>
      <c r="K76" s="7">
        <v>0</v>
      </c>
      <c r="L76" s="7">
        <f t="shared" ca="1" si="27"/>
        <v>0</v>
      </c>
      <c r="M76" s="7">
        <f t="shared" ca="1" si="28"/>
        <v>0</v>
      </c>
      <c r="N76" s="7">
        <f t="shared" ca="1" si="29"/>
        <v>0</v>
      </c>
      <c r="O76" s="7">
        <f t="shared" ca="1" si="30"/>
        <v>0</v>
      </c>
      <c r="P76" s="7">
        <f t="shared" ca="1" si="31"/>
        <v>0</v>
      </c>
      <c r="Q76" s="7">
        <f t="shared" ca="1" si="32"/>
        <v>0</v>
      </c>
      <c r="R76" s="7">
        <f t="shared" ca="1" si="33"/>
        <v>0</v>
      </c>
      <c r="S76" s="7"/>
      <c r="U76" s="5">
        <f t="shared" ca="1" si="39"/>
        <v>46166.662929050923</v>
      </c>
      <c r="V76">
        <f t="shared" ca="1" si="34"/>
        <v>2026</v>
      </c>
      <c r="W76">
        <f t="shared" ca="1" si="35"/>
        <v>5</v>
      </c>
      <c r="X76">
        <f t="shared" ca="1" si="36"/>
        <v>24</v>
      </c>
      <c r="Z76" t="b">
        <f t="shared" ca="1" si="37"/>
        <v>0</v>
      </c>
      <c r="AA76" t="b">
        <f t="shared" ca="1" si="38"/>
        <v>0</v>
      </c>
      <c r="AI76">
        <v>2027</v>
      </c>
      <c r="AJ76">
        <v>12</v>
      </c>
      <c r="AK76">
        <v>26</v>
      </c>
      <c r="AL76" t="s">
        <v>43</v>
      </c>
      <c r="AM76" t="s">
        <v>201</v>
      </c>
      <c r="AN76" t="s">
        <v>86</v>
      </c>
      <c r="AO76" s="1">
        <v>108</v>
      </c>
      <c r="AP76" t="s">
        <v>78</v>
      </c>
    </row>
    <row r="77" spans="2:42" x14ac:dyDescent="0.25">
      <c r="B77" s="6">
        <f t="shared" ca="1" si="40"/>
        <v>2035</v>
      </c>
      <c r="C77" s="6">
        <f t="shared" ca="1" si="40"/>
        <v>3</v>
      </c>
      <c r="D77" s="6">
        <f t="shared" ca="1" si="40"/>
        <v>23</v>
      </c>
      <c r="E77" s="6" t="str">
        <f t="shared" ca="1" si="40"/>
        <v>TIBET</v>
      </c>
      <c r="F77" s="6" t="str">
        <f t="shared" ca="1" si="40"/>
        <v>Magenta Dream</v>
      </c>
      <c r="G77" s="6" t="str">
        <f t="shared" ca="1" si="24"/>
        <v>Slow Breathing</v>
      </c>
      <c r="H77" s="6">
        <f t="shared" ca="1" si="25"/>
        <v>204</v>
      </c>
      <c r="I77" s="6" t="str">
        <f t="shared" ca="1" si="26"/>
        <v>Goede Vrijdag</v>
      </c>
      <c r="J77" s="6"/>
      <c r="K77" s="7">
        <v>0</v>
      </c>
      <c r="L77" s="7">
        <f t="shared" ca="1" si="27"/>
        <v>0</v>
      </c>
      <c r="M77" s="7">
        <f t="shared" ca="1" si="28"/>
        <v>0</v>
      </c>
      <c r="N77" s="7">
        <f t="shared" ca="1" si="29"/>
        <v>0</v>
      </c>
      <c r="O77" s="7">
        <f t="shared" ca="1" si="30"/>
        <v>0</v>
      </c>
      <c r="P77" s="7">
        <f t="shared" ca="1" si="31"/>
        <v>0</v>
      </c>
      <c r="Q77" s="7">
        <f t="shared" ca="1" si="32"/>
        <v>0</v>
      </c>
      <c r="R77" s="7">
        <f t="shared" ca="1" si="33"/>
        <v>0</v>
      </c>
      <c r="S77" s="7"/>
      <c r="U77" s="5">
        <f t="shared" ca="1" si="39"/>
        <v>46167.662929050923</v>
      </c>
      <c r="V77">
        <f t="shared" ca="1" si="34"/>
        <v>2026</v>
      </c>
      <c r="W77">
        <f t="shared" ca="1" si="35"/>
        <v>5</v>
      </c>
      <c r="X77">
        <f t="shared" ca="1" si="36"/>
        <v>25</v>
      </c>
      <c r="Z77" t="b">
        <f t="shared" ca="1" si="37"/>
        <v>0</v>
      </c>
      <c r="AA77" t="b">
        <f t="shared" ca="1" si="38"/>
        <v>0</v>
      </c>
      <c r="AI77">
        <v>2027</v>
      </c>
      <c r="AJ77">
        <v>12</v>
      </c>
      <c r="AK77">
        <v>28</v>
      </c>
      <c r="AL77" t="s">
        <v>52</v>
      </c>
      <c r="AM77" t="s">
        <v>245</v>
      </c>
      <c r="AN77" t="s">
        <v>1411</v>
      </c>
      <c r="AO77" s="1">
        <v>77</v>
      </c>
      <c r="AP77" t="s">
        <v>1367</v>
      </c>
    </row>
    <row r="78" spans="2:42" x14ac:dyDescent="0.25">
      <c r="B78" s="6">
        <f t="shared" ca="1" si="40"/>
        <v>2036</v>
      </c>
      <c r="C78" s="6">
        <f t="shared" ca="1" si="40"/>
        <v>4</v>
      </c>
      <c r="D78" s="6">
        <f t="shared" ca="1" si="40"/>
        <v>11</v>
      </c>
      <c r="E78" s="6" t="str">
        <f t="shared" ca="1" si="40"/>
        <v>TIBET</v>
      </c>
      <c r="F78" s="6" t="str">
        <f t="shared" ca="1" si="40"/>
        <v>Magenta Dream</v>
      </c>
      <c r="G78" s="6" t="str">
        <f t="shared" ca="1" si="24"/>
        <v>Slow Breathing</v>
      </c>
      <c r="H78" s="6">
        <f t="shared" ca="1" si="25"/>
        <v>248</v>
      </c>
      <c r="I78" s="6" t="str">
        <f t="shared" ca="1" si="26"/>
        <v>Goede Vrijdag</v>
      </c>
      <c r="J78" s="6"/>
      <c r="K78" s="7">
        <v>0</v>
      </c>
      <c r="L78" s="7">
        <f t="shared" ca="1" si="27"/>
        <v>0</v>
      </c>
      <c r="M78" s="7">
        <f t="shared" ca="1" si="28"/>
        <v>0</v>
      </c>
      <c r="N78" s="7">
        <f t="shared" ca="1" si="29"/>
        <v>0</v>
      </c>
      <c r="O78" s="7">
        <f t="shared" ca="1" si="30"/>
        <v>0</v>
      </c>
      <c r="P78" s="7">
        <f t="shared" ca="1" si="31"/>
        <v>0</v>
      </c>
      <c r="Q78" s="7">
        <f t="shared" ca="1" si="32"/>
        <v>0</v>
      </c>
      <c r="R78" s="7">
        <f t="shared" ca="1" si="33"/>
        <v>0</v>
      </c>
      <c r="S78" s="7"/>
      <c r="U78" s="5">
        <f t="shared" ca="1" si="39"/>
        <v>46168.662929050923</v>
      </c>
      <c r="V78">
        <f t="shared" ca="1" si="34"/>
        <v>2026</v>
      </c>
      <c r="W78">
        <f t="shared" ca="1" si="35"/>
        <v>5</v>
      </c>
      <c r="X78">
        <f t="shared" ca="1" si="36"/>
        <v>26</v>
      </c>
      <c r="Z78" t="b">
        <f t="shared" ca="1" si="37"/>
        <v>0</v>
      </c>
      <c r="AA78" t="b">
        <f t="shared" ca="1" si="38"/>
        <v>0</v>
      </c>
      <c r="AI78">
        <v>2028</v>
      </c>
      <c r="AJ78">
        <v>1</v>
      </c>
      <c r="AK78">
        <v>1</v>
      </c>
      <c r="AL78" t="s">
        <v>93</v>
      </c>
      <c r="AM78" t="s">
        <v>256</v>
      </c>
      <c r="AN78" t="s">
        <v>83</v>
      </c>
      <c r="AO78" s="1">
        <v>77</v>
      </c>
      <c r="AP78" t="s">
        <v>8</v>
      </c>
    </row>
    <row r="79" spans="2:42" x14ac:dyDescent="0.25">
      <c r="B79" s="6">
        <f t="shared" ca="1" si="40"/>
        <v>2037</v>
      </c>
      <c r="C79" s="6">
        <f t="shared" ca="1" si="40"/>
        <v>4</v>
      </c>
      <c r="D79" s="6">
        <f t="shared" ca="1" si="40"/>
        <v>3</v>
      </c>
      <c r="E79" s="6" t="str">
        <f t="shared" ca="1" si="40"/>
        <v>TIBET</v>
      </c>
      <c r="F79" s="6" t="str">
        <f t="shared" ca="1" si="40"/>
        <v>Magenta Dream</v>
      </c>
      <c r="G79" s="6" t="str">
        <f t="shared" ca="1" si="24"/>
        <v>Slow Breathing</v>
      </c>
      <c r="H79" s="6">
        <f t="shared" ca="1" si="25"/>
        <v>279</v>
      </c>
      <c r="I79" s="6" t="str">
        <f t="shared" ca="1" si="26"/>
        <v>Goede Vrijdag</v>
      </c>
      <c r="J79" s="6"/>
      <c r="K79" s="7">
        <v>0</v>
      </c>
      <c r="L79" s="7">
        <f t="shared" ca="1" si="27"/>
        <v>0</v>
      </c>
      <c r="M79" s="7">
        <f t="shared" ca="1" si="28"/>
        <v>0</v>
      </c>
      <c r="N79" s="7">
        <f t="shared" ca="1" si="29"/>
        <v>0</v>
      </c>
      <c r="O79" s="7">
        <f t="shared" ca="1" si="30"/>
        <v>0</v>
      </c>
      <c r="P79" s="7">
        <f t="shared" ca="1" si="31"/>
        <v>0</v>
      </c>
      <c r="Q79" s="7">
        <f t="shared" ca="1" si="32"/>
        <v>0</v>
      </c>
      <c r="R79" s="7">
        <f t="shared" ca="1" si="33"/>
        <v>0</v>
      </c>
      <c r="S79" s="7"/>
      <c r="U79" s="5">
        <f t="shared" ca="1" si="39"/>
        <v>46169.662929050923</v>
      </c>
      <c r="V79">
        <f t="shared" ca="1" si="34"/>
        <v>2026</v>
      </c>
      <c r="W79">
        <f t="shared" ca="1" si="35"/>
        <v>5</v>
      </c>
      <c r="X79">
        <f t="shared" ca="1" si="36"/>
        <v>27</v>
      </c>
      <c r="Z79" t="b">
        <f t="shared" ca="1" si="37"/>
        <v>0</v>
      </c>
      <c r="AA79" t="b">
        <f t="shared" ca="1" si="38"/>
        <v>0</v>
      </c>
      <c r="AI79">
        <v>2028</v>
      </c>
      <c r="AJ79">
        <v>2</v>
      </c>
      <c r="AK79">
        <v>1</v>
      </c>
      <c r="AL79" t="s">
        <v>91</v>
      </c>
      <c r="AM79" t="s">
        <v>164</v>
      </c>
      <c r="AN79" t="s">
        <v>85</v>
      </c>
      <c r="AO79" s="1">
        <v>249</v>
      </c>
      <c r="AP79" t="s">
        <v>1487</v>
      </c>
    </row>
    <row r="80" spans="2:42" x14ac:dyDescent="0.25">
      <c r="B80" s="6">
        <f t="shared" ca="1" si="40"/>
        <v>2038</v>
      </c>
      <c r="C80" s="6">
        <f t="shared" ca="1" si="40"/>
        <v>4</v>
      </c>
      <c r="D80" s="6">
        <f t="shared" ca="1" si="40"/>
        <v>23</v>
      </c>
      <c r="E80" s="6" t="str">
        <f t="shared" ca="1" si="40"/>
        <v>TIBET</v>
      </c>
      <c r="F80" s="6" t="str">
        <f t="shared" ca="1" si="40"/>
        <v>Magenta Dream</v>
      </c>
      <c r="G80" s="6" t="str">
        <f t="shared" ca="1" si="24"/>
        <v>Slow Breathing</v>
      </c>
      <c r="H80" s="6">
        <f t="shared" ca="1" si="25"/>
        <v>268</v>
      </c>
      <c r="I80" s="6" t="str">
        <f t="shared" ca="1" si="26"/>
        <v>Goede Vrijdag</v>
      </c>
      <c r="J80" s="6"/>
      <c r="K80" s="7">
        <v>0</v>
      </c>
      <c r="L80" s="7">
        <f t="shared" ca="1" si="27"/>
        <v>0</v>
      </c>
      <c r="M80" s="7">
        <f t="shared" ca="1" si="28"/>
        <v>0</v>
      </c>
      <c r="N80" s="7">
        <f t="shared" ca="1" si="29"/>
        <v>0</v>
      </c>
      <c r="O80" s="7">
        <f t="shared" ca="1" si="30"/>
        <v>0</v>
      </c>
      <c r="P80" s="7">
        <f t="shared" ca="1" si="31"/>
        <v>0</v>
      </c>
      <c r="Q80" s="7">
        <f t="shared" ca="1" si="32"/>
        <v>0</v>
      </c>
      <c r="R80" s="7">
        <f t="shared" ca="1" si="33"/>
        <v>0</v>
      </c>
      <c r="S80" s="7"/>
      <c r="U80" s="5">
        <f t="shared" ca="1" si="39"/>
        <v>46170.662929050923</v>
      </c>
      <c r="V80">
        <f t="shared" ca="1" si="34"/>
        <v>2026</v>
      </c>
      <c r="W80">
        <f t="shared" ca="1" si="35"/>
        <v>5</v>
      </c>
      <c r="X80">
        <f t="shared" ca="1" si="36"/>
        <v>28</v>
      </c>
      <c r="Z80" t="b">
        <f t="shared" ca="1" si="37"/>
        <v>0</v>
      </c>
      <c r="AA80" t="b">
        <f t="shared" ca="1" si="38"/>
        <v>0</v>
      </c>
      <c r="AI80">
        <v>2028</v>
      </c>
      <c r="AJ80">
        <v>2</v>
      </c>
      <c r="AK80">
        <v>14</v>
      </c>
      <c r="AL80" t="s">
        <v>93</v>
      </c>
      <c r="AM80" t="s">
        <v>1392</v>
      </c>
      <c r="AN80" t="s">
        <v>258</v>
      </c>
      <c r="AO80" s="1">
        <v>70</v>
      </c>
      <c r="AP80" t="s">
        <v>1371</v>
      </c>
    </row>
    <row r="81" spans="2:42" x14ac:dyDescent="0.25">
      <c r="B81" s="6">
        <f t="shared" ca="1" si="40"/>
        <v>2026</v>
      </c>
      <c r="C81" s="6">
        <f t="shared" ca="1" si="40"/>
        <v>2</v>
      </c>
      <c r="D81" s="6">
        <f t="shared" ca="1" si="40"/>
        <v>15</v>
      </c>
      <c r="E81" s="6" t="str">
        <f t="shared" ca="1" si="40"/>
        <v>MUSIC</v>
      </c>
      <c r="F81" s="6" t="str">
        <f t="shared" ca="1" si="40"/>
        <v>Candy Pink</v>
      </c>
      <c r="G81" s="6" t="str">
        <f t="shared" ca="1" si="24"/>
        <v>Rapid Sparks</v>
      </c>
      <c r="H81" s="6">
        <f t="shared" ca="1" si="25"/>
        <v>95</v>
      </c>
      <c r="I81" s="6" t="str">
        <f t="shared" ca="1" si="26"/>
        <v>Carnaval, Tadaaaaah - tadaaaah</v>
      </c>
      <c r="J81" s="6"/>
      <c r="K81" s="7">
        <v>0</v>
      </c>
      <c r="L81" s="7">
        <f t="shared" ca="1" si="27"/>
        <v>0</v>
      </c>
      <c r="M81" s="7">
        <f t="shared" ca="1" si="28"/>
        <v>0</v>
      </c>
      <c r="N81" s="7">
        <f t="shared" ca="1" si="29"/>
        <v>0</v>
      </c>
      <c r="O81" s="7">
        <f t="shared" ca="1" si="30"/>
        <v>0</v>
      </c>
      <c r="P81" s="7">
        <f t="shared" ca="1" si="31"/>
        <v>0</v>
      </c>
      <c r="Q81" s="7">
        <f t="shared" ca="1" si="32"/>
        <v>0</v>
      </c>
      <c r="R81" s="7">
        <f t="shared" ca="1" si="33"/>
        <v>0</v>
      </c>
      <c r="S81" s="7"/>
      <c r="U81" s="5">
        <f t="shared" ca="1" si="39"/>
        <v>46171.662929050923</v>
      </c>
      <c r="V81">
        <f t="shared" ca="1" si="34"/>
        <v>2026</v>
      </c>
      <c r="W81">
        <f t="shared" ca="1" si="35"/>
        <v>5</v>
      </c>
      <c r="X81">
        <f t="shared" ca="1" si="36"/>
        <v>29</v>
      </c>
      <c r="Z81" t="b">
        <f t="shared" ca="1" si="37"/>
        <v>0</v>
      </c>
      <c r="AA81" t="b">
        <f t="shared" ca="1" si="38"/>
        <v>0</v>
      </c>
      <c r="AI81">
        <v>2028</v>
      </c>
      <c r="AJ81">
        <v>2</v>
      </c>
      <c r="AK81">
        <v>26</v>
      </c>
      <c r="AL81" t="s">
        <v>52</v>
      </c>
      <c r="AM81" t="s">
        <v>79</v>
      </c>
      <c r="AN81" t="s">
        <v>259</v>
      </c>
      <c r="AO81" s="1">
        <v>240</v>
      </c>
      <c r="AP81" t="s">
        <v>1388</v>
      </c>
    </row>
    <row r="82" spans="2:42" x14ac:dyDescent="0.25">
      <c r="B82" s="6">
        <f t="shared" ca="1" si="40"/>
        <v>2027</v>
      </c>
      <c r="C82" s="6">
        <f t="shared" ca="1" si="40"/>
        <v>2</v>
      </c>
      <c r="D82" s="6">
        <f t="shared" ca="1" si="40"/>
        <v>7</v>
      </c>
      <c r="E82" s="6" t="str">
        <f t="shared" ca="1" si="40"/>
        <v>MUSIC</v>
      </c>
      <c r="F82" s="6" t="str">
        <f t="shared" ca="1" si="40"/>
        <v>Candy Pink</v>
      </c>
      <c r="G82" s="6" t="str">
        <f t="shared" ca="1" si="24"/>
        <v>Rapid Sparks</v>
      </c>
      <c r="H82" s="6">
        <f t="shared" ca="1" si="25"/>
        <v>80</v>
      </c>
      <c r="I82" s="6" t="str">
        <f t="shared" ca="1" si="26"/>
        <v>Carnaval, Alaaf!!</v>
      </c>
      <c r="J82" s="6"/>
      <c r="K82" s="7">
        <v>0</v>
      </c>
      <c r="L82" s="7">
        <f t="shared" ca="1" si="27"/>
        <v>0</v>
      </c>
      <c r="M82" s="7">
        <f t="shared" ca="1" si="28"/>
        <v>0</v>
      </c>
      <c r="N82" s="7">
        <f t="shared" ca="1" si="29"/>
        <v>0</v>
      </c>
      <c r="O82" s="7">
        <f t="shared" ca="1" si="30"/>
        <v>0</v>
      </c>
      <c r="P82" s="7">
        <f t="shared" ca="1" si="31"/>
        <v>0</v>
      </c>
      <c r="Q82" s="7">
        <f t="shared" ca="1" si="32"/>
        <v>0</v>
      </c>
      <c r="R82" s="7">
        <f t="shared" ca="1" si="33"/>
        <v>0</v>
      </c>
      <c r="S82" s="7"/>
      <c r="U82" s="5">
        <f t="shared" ca="1" si="39"/>
        <v>46172.662929050923</v>
      </c>
      <c r="V82">
        <f t="shared" ca="1" si="34"/>
        <v>2026</v>
      </c>
      <c r="W82">
        <f t="shared" ca="1" si="35"/>
        <v>5</v>
      </c>
      <c r="X82">
        <f t="shared" ca="1" si="36"/>
        <v>30</v>
      </c>
      <c r="Z82" t="b">
        <f t="shared" ca="1" si="37"/>
        <v>0</v>
      </c>
      <c r="AA82" t="b">
        <f t="shared" ca="1" si="38"/>
        <v>0</v>
      </c>
      <c r="AI82">
        <v>2028</v>
      </c>
      <c r="AJ82">
        <v>2</v>
      </c>
      <c r="AK82">
        <v>27</v>
      </c>
      <c r="AL82" t="s">
        <v>93</v>
      </c>
      <c r="AM82" t="s">
        <v>164</v>
      </c>
      <c r="AN82" t="s">
        <v>84</v>
      </c>
      <c r="AO82" s="1">
        <v>98</v>
      </c>
      <c r="AP82" t="s">
        <v>1496</v>
      </c>
    </row>
    <row r="83" spans="2:42" x14ac:dyDescent="0.25">
      <c r="B83" s="6">
        <f t="shared" ref="B83:F92" ca="1" si="41">OFFSET(INDIRECT($B$1),ROW(A81),COLUMN(A81))</f>
        <v>2028</v>
      </c>
      <c r="C83" s="6">
        <f t="shared" ca="1" si="41"/>
        <v>2</v>
      </c>
      <c r="D83" s="6">
        <f t="shared" ca="1" si="41"/>
        <v>27</v>
      </c>
      <c r="E83" s="6" t="str">
        <f t="shared" ca="1" si="41"/>
        <v>MUSIC</v>
      </c>
      <c r="F83" s="6" t="str">
        <f t="shared" ca="1" si="41"/>
        <v>Candy Pink</v>
      </c>
      <c r="G83" s="6" t="str">
        <f t="shared" ca="1" si="24"/>
        <v>Rapid Sparks</v>
      </c>
      <c r="H83" s="6">
        <f t="shared" ca="1" si="25"/>
        <v>82</v>
      </c>
      <c r="I83" s="6" t="str">
        <f t="shared" ca="1" si="26"/>
        <v>Carnaval, Keiebijters!!</v>
      </c>
      <c r="J83" s="6"/>
      <c r="K83" s="7">
        <v>0</v>
      </c>
      <c r="L83" s="7">
        <f t="shared" ca="1" si="27"/>
        <v>0</v>
      </c>
      <c r="M83" s="7">
        <f t="shared" ca="1" si="28"/>
        <v>0</v>
      </c>
      <c r="N83" s="7">
        <f t="shared" ca="1" si="29"/>
        <v>0</v>
      </c>
      <c r="O83" s="7">
        <f t="shared" ca="1" si="30"/>
        <v>0</v>
      </c>
      <c r="P83" s="7">
        <f t="shared" ca="1" si="31"/>
        <v>0</v>
      </c>
      <c r="Q83" s="7">
        <f t="shared" ca="1" si="32"/>
        <v>0</v>
      </c>
      <c r="R83" s="7">
        <f t="shared" ca="1" si="33"/>
        <v>0</v>
      </c>
      <c r="S83" s="7"/>
      <c r="U83" s="5">
        <f t="shared" ca="1" si="39"/>
        <v>46173.662929050923</v>
      </c>
      <c r="V83">
        <f t="shared" ca="1" si="34"/>
        <v>2026</v>
      </c>
      <c r="W83">
        <f t="shared" ca="1" si="35"/>
        <v>5</v>
      </c>
      <c r="X83">
        <f t="shared" ca="1" si="36"/>
        <v>31</v>
      </c>
      <c r="Z83" t="b">
        <f t="shared" ca="1" si="37"/>
        <v>0</v>
      </c>
      <c r="AA83" t="b">
        <f t="shared" ca="1" si="38"/>
        <v>0</v>
      </c>
      <c r="AI83">
        <v>2028</v>
      </c>
      <c r="AJ83">
        <v>2</v>
      </c>
      <c r="AK83">
        <v>27</v>
      </c>
      <c r="AL83" t="s">
        <v>93</v>
      </c>
      <c r="AM83" t="s">
        <v>164</v>
      </c>
      <c r="AN83" t="s">
        <v>84</v>
      </c>
      <c r="AO83" s="1">
        <v>82</v>
      </c>
      <c r="AP83" t="s">
        <v>1492</v>
      </c>
    </row>
    <row r="84" spans="2:42" x14ac:dyDescent="0.25">
      <c r="B84" s="6">
        <f t="shared" ca="1" si="41"/>
        <v>2029</v>
      </c>
      <c r="C84" s="6">
        <f t="shared" ca="1" si="41"/>
        <v>2</v>
      </c>
      <c r="D84" s="6">
        <f t="shared" ca="1" si="41"/>
        <v>11</v>
      </c>
      <c r="E84" s="6" t="str">
        <f t="shared" ca="1" si="41"/>
        <v>MUSIC</v>
      </c>
      <c r="F84" s="6" t="str">
        <f t="shared" ca="1" si="41"/>
        <v>Candy Pink</v>
      </c>
      <c r="G84" s="6" t="str">
        <f t="shared" ca="1" si="24"/>
        <v>Rapid Sparks</v>
      </c>
      <c r="H84" s="6">
        <f t="shared" ca="1" si="25"/>
        <v>99</v>
      </c>
      <c r="I84" s="6" t="str">
        <f t="shared" ca="1" si="26"/>
        <v>Carnaval, En deh hittie naw gedonn umdettie Hellemonder is</v>
      </c>
      <c r="J84" s="6"/>
      <c r="K84" s="7">
        <v>0</v>
      </c>
      <c r="L84" s="7">
        <f t="shared" ca="1" si="27"/>
        <v>0</v>
      </c>
      <c r="M84" s="7">
        <f t="shared" ca="1" si="28"/>
        <v>0</v>
      </c>
      <c r="N84" s="7">
        <f t="shared" ca="1" si="29"/>
        <v>0</v>
      </c>
      <c r="O84" s="7">
        <f t="shared" ca="1" si="30"/>
        <v>0</v>
      </c>
      <c r="P84" s="7">
        <f t="shared" ca="1" si="31"/>
        <v>0</v>
      </c>
      <c r="Q84" s="7">
        <f t="shared" ca="1" si="32"/>
        <v>0</v>
      </c>
      <c r="R84" s="7">
        <f t="shared" ca="1" si="33"/>
        <v>0</v>
      </c>
      <c r="S84" s="7"/>
      <c r="U84" s="5">
        <f t="shared" ca="1" si="39"/>
        <v>46174.662929050923</v>
      </c>
      <c r="V84">
        <f t="shared" ca="1" si="34"/>
        <v>2026</v>
      </c>
      <c r="W84">
        <f t="shared" ca="1" si="35"/>
        <v>6</v>
      </c>
      <c r="X84">
        <f t="shared" ca="1" si="36"/>
        <v>1</v>
      </c>
      <c r="Z84" t="b">
        <f t="shared" ca="1" si="37"/>
        <v>0</v>
      </c>
      <c r="AA84" t="b">
        <f t="shared" ca="1" si="38"/>
        <v>0</v>
      </c>
      <c r="AI84">
        <v>2028</v>
      </c>
      <c r="AJ84">
        <v>2</v>
      </c>
      <c r="AK84">
        <v>28</v>
      </c>
      <c r="AL84" t="s">
        <v>93</v>
      </c>
      <c r="AM84" t="s">
        <v>164</v>
      </c>
      <c r="AN84" t="s">
        <v>84</v>
      </c>
      <c r="AO84" s="1">
        <v>99</v>
      </c>
      <c r="AP84" t="s">
        <v>1497</v>
      </c>
    </row>
    <row r="85" spans="2:42" x14ac:dyDescent="0.25">
      <c r="B85" s="6">
        <f t="shared" ca="1" si="41"/>
        <v>2030</v>
      </c>
      <c r="C85" s="6">
        <f t="shared" ca="1" si="41"/>
        <v>3</v>
      </c>
      <c r="D85" s="6">
        <f t="shared" ca="1" si="41"/>
        <v>3</v>
      </c>
      <c r="E85" s="6" t="str">
        <f t="shared" ca="1" si="41"/>
        <v>MUSIC</v>
      </c>
      <c r="F85" s="6" t="str">
        <f t="shared" ca="1" si="41"/>
        <v>Candy Pink</v>
      </c>
      <c r="G85" s="6" t="str">
        <f t="shared" ca="1" si="24"/>
        <v>Rapid Sparks</v>
      </c>
      <c r="H85" s="6">
        <f t="shared" ca="1" si="25"/>
        <v>116</v>
      </c>
      <c r="I85" s="6" t="str">
        <f t="shared" ca="1" si="26"/>
        <v>Carnaval, Agge mar leut heht</v>
      </c>
      <c r="J85" s="6"/>
      <c r="K85" s="7">
        <v>0</v>
      </c>
      <c r="L85" s="7">
        <f t="shared" ca="1" si="27"/>
        <v>0</v>
      </c>
      <c r="M85" s="7">
        <f t="shared" ca="1" si="28"/>
        <v>0</v>
      </c>
      <c r="N85" s="7">
        <f t="shared" ca="1" si="29"/>
        <v>0</v>
      </c>
      <c r="O85" s="7">
        <f t="shared" ca="1" si="30"/>
        <v>0</v>
      </c>
      <c r="P85" s="7">
        <f t="shared" ca="1" si="31"/>
        <v>0</v>
      </c>
      <c r="Q85" s="7">
        <f t="shared" ca="1" si="32"/>
        <v>0</v>
      </c>
      <c r="R85" s="7">
        <f t="shared" ca="1" si="33"/>
        <v>0</v>
      </c>
      <c r="S85" s="7"/>
      <c r="U85" s="5">
        <f t="shared" ca="1" si="39"/>
        <v>46175.662929050923</v>
      </c>
      <c r="V85">
        <f t="shared" ca="1" si="34"/>
        <v>2026</v>
      </c>
      <c r="W85">
        <f t="shared" ca="1" si="35"/>
        <v>6</v>
      </c>
      <c r="X85">
        <f t="shared" ca="1" si="36"/>
        <v>2</v>
      </c>
      <c r="Z85" t="b">
        <f t="shared" ca="1" si="37"/>
        <v>0</v>
      </c>
      <c r="AA85" t="b">
        <f t="shared" ca="1" si="38"/>
        <v>0</v>
      </c>
      <c r="AI85">
        <v>2028</v>
      </c>
      <c r="AJ85">
        <v>3</v>
      </c>
      <c r="AK85">
        <v>1</v>
      </c>
      <c r="AL85" t="s">
        <v>91</v>
      </c>
      <c r="AM85" t="s">
        <v>164</v>
      </c>
      <c r="AN85" t="s">
        <v>85</v>
      </c>
      <c r="AO85" s="1">
        <v>287</v>
      </c>
      <c r="AP85" t="s">
        <v>122</v>
      </c>
    </row>
    <row r="86" spans="2:42" x14ac:dyDescent="0.25">
      <c r="B86" s="6">
        <f t="shared" ca="1" si="41"/>
        <v>2031</v>
      </c>
      <c r="C86" s="6">
        <f t="shared" ca="1" si="41"/>
        <v>2</v>
      </c>
      <c r="D86" s="6">
        <f t="shared" ca="1" si="41"/>
        <v>23</v>
      </c>
      <c r="E86" s="6" t="str">
        <f t="shared" ca="1" si="41"/>
        <v>MUSIC</v>
      </c>
      <c r="F86" s="6" t="str">
        <f t="shared" ca="1" si="41"/>
        <v>Candy Pink</v>
      </c>
      <c r="G86" s="6" t="str">
        <f t="shared" ca="1" si="24"/>
        <v>Rapid Sparks</v>
      </c>
      <c r="H86" s="6">
        <f t="shared" ca="1" si="25"/>
        <v>116</v>
      </c>
      <c r="I86" s="6" t="str">
        <f t="shared" ca="1" si="26"/>
        <v>Carnaval, Alaaf!!</v>
      </c>
      <c r="J86" s="6"/>
      <c r="K86" s="7">
        <v>0</v>
      </c>
      <c r="L86" s="7">
        <f t="shared" ca="1" si="27"/>
        <v>0</v>
      </c>
      <c r="M86" s="7">
        <f t="shared" ca="1" si="28"/>
        <v>0</v>
      </c>
      <c r="N86" s="7">
        <f t="shared" ca="1" si="29"/>
        <v>0</v>
      </c>
      <c r="O86" s="7">
        <f t="shared" ca="1" si="30"/>
        <v>0</v>
      </c>
      <c r="P86" s="7">
        <f t="shared" ca="1" si="31"/>
        <v>0</v>
      </c>
      <c r="Q86" s="7">
        <f t="shared" ca="1" si="32"/>
        <v>0</v>
      </c>
      <c r="R86" s="7">
        <f t="shared" ca="1" si="33"/>
        <v>0</v>
      </c>
      <c r="S86" s="7"/>
      <c r="U86" s="5">
        <f t="shared" ca="1" si="39"/>
        <v>46176.662929050923</v>
      </c>
      <c r="V86">
        <f t="shared" ca="1" si="34"/>
        <v>2026</v>
      </c>
      <c r="W86">
        <f t="shared" ca="1" si="35"/>
        <v>6</v>
      </c>
      <c r="X86">
        <f t="shared" ca="1" si="36"/>
        <v>3</v>
      </c>
      <c r="Z86" t="b">
        <f t="shared" ca="1" si="37"/>
        <v>0</v>
      </c>
      <c r="AA86" t="b">
        <f t="shared" ca="1" si="38"/>
        <v>0</v>
      </c>
      <c r="AI86">
        <v>2028</v>
      </c>
      <c r="AJ86">
        <v>3</v>
      </c>
      <c r="AK86">
        <v>1</v>
      </c>
      <c r="AL86" t="s">
        <v>89</v>
      </c>
      <c r="AM86" t="s">
        <v>204</v>
      </c>
      <c r="AN86" t="s">
        <v>86</v>
      </c>
      <c r="AO86" s="1">
        <v>187</v>
      </c>
      <c r="AP86" t="s">
        <v>143</v>
      </c>
    </row>
    <row r="87" spans="2:42" x14ac:dyDescent="0.25">
      <c r="B87" s="6">
        <f t="shared" ca="1" si="41"/>
        <v>2032</v>
      </c>
      <c r="C87" s="6">
        <f t="shared" ca="1" si="41"/>
        <v>2</v>
      </c>
      <c r="D87" s="6">
        <f t="shared" ca="1" si="41"/>
        <v>8</v>
      </c>
      <c r="E87" s="6" t="str">
        <f t="shared" ca="1" si="41"/>
        <v>MUSIC</v>
      </c>
      <c r="F87" s="6" t="str">
        <f t="shared" ca="1" si="41"/>
        <v>Candy Pink</v>
      </c>
      <c r="G87" s="6" t="str">
        <f t="shared" ca="1" si="24"/>
        <v>Rapid Sparks</v>
      </c>
      <c r="H87" s="6">
        <f t="shared" ca="1" si="25"/>
        <v>101</v>
      </c>
      <c r="I87" s="6" t="str">
        <f t="shared" ca="1" si="26"/>
        <v>Carnaval, Keiebijters!!</v>
      </c>
      <c r="J87" s="6"/>
      <c r="K87" s="7">
        <v>0</v>
      </c>
      <c r="L87" s="7">
        <f t="shared" ca="1" si="27"/>
        <v>0</v>
      </c>
      <c r="M87" s="7">
        <f t="shared" ca="1" si="28"/>
        <v>0</v>
      </c>
      <c r="N87" s="7">
        <f t="shared" ca="1" si="29"/>
        <v>0</v>
      </c>
      <c r="O87" s="7">
        <f t="shared" ca="1" si="30"/>
        <v>0</v>
      </c>
      <c r="P87" s="7">
        <f t="shared" ca="1" si="31"/>
        <v>0</v>
      </c>
      <c r="Q87" s="7">
        <f t="shared" ca="1" si="32"/>
        <v>0</v>
      </c>
      <c r="R87" s="7">
        <f t="shared" ca="1" si="33"/>
        <v>0</v>
      </c>
      <c r="S87" s="7"/>
      <c r="U87" s="5">
        <f t="shared" ca="1" si="39"/>
        <v>46177.662929050923</v>
      </c>
      <c r="V87">
        <f t="shared" ca="1" si="34"/>
        <v>2026</v>
      </c>
      <c r="W87">
        <f t="shared" ca="1" si="35"/>
        <v>6</v>
      </c>
      <c r="X87">
        <f t="shared" ca="1" si="36"/>
        <v>4</v>
      </c>
      <c r="Z87" t="b">
        <f t="shared" ca="1" si="37"/>
        <v>0</v>
      </c>
      <c r="AA87" t="b">
        <f t="shared" ca="1" si="38"/>
        <v>0</v>
      </c>
      <c r="AI87">
        <v>2028</v>
      </c>
      <c r="AJ87">
        <v>3</v>
      </c>
      <c r="AK87">
        <v>14</v>
      </c>
      <c r="AL87" t="s">
        <v>45</v>
      </c>
      <c r="AM87" t="s">
        <v>161</v>
      </c>
      <c r="AN87" t="s">
        <v>1413</v>
      </c>
      <c r="AO87" s="1">
        <v>95</v>
      </c>
      <c r="AP87" t="s">
        <v>1524</v>
      </c>
    </row>
    <row r="88" spans="2:42" x14ac:dyDescent="0.25">
      <c r="B88" s="6">
        <f t="shared" ca="1" si="41"/>
        <v>2033</v>
      </c>
      <c r="C88" s="6">
        <f t="shared" ca="1" si="41"/>
        <v>2</v>
      </c>
      <c r="D88" s="6">
        <f t="shared" ca="1" si="41"/>
        <v>27</v>
      </c>
      <c r="E88" s="6" t="str">
        <f t="shared" ca="1" si="41"/>
        <v>MUSIC</v>
      </c>
      <c r="F88" s="6" t="str">
        <f t="shared" ca="1" si="41"/>
        <v>Candy Pink</v>
      </c>
      <c r="G88" s="6" t="str">
        <f t="shared" ca="1" si="24"/>
        <v>Rapid Sparks</v>
      </c>
      <c r="H88" s="6">
        <f t="shared" ca="1" si="25"/>
        <v>83</v>
      </c>
      <c r="I88" s="6" t="str">
        <f t="shared" ca="1" si="26"/>
        <v>Carnaval, En deh hittie naw gedonn umdettie Hellemonder is</v>
      </c>
      <c r="J88" s="6"/>
      <c r="K88" s="7">
        <v>0</v>
      </c>
      <c r="L88" s="7">
        <f t="shared" ca="1" si="27"/>
        <v>0</v>
      </c>
      <c r="M88" s="7">
        <f t="shared" ca="1" si="28"/>
        <v>0</v>
      </c>
      <c r="N88" s="7">
        <f t="shared" ca="1" si="29"/>
        <v>0</v>
      </c>
      <c r="O88" s="7">
        <f t="shared" ca="1" si="30"/>
        <v>0</v>
      </c>
      <c r="P88" s="7">
        <f t="shared" ca="1" si="31"/>
        <v>0</v>
      </c>
      <c r="Q88" s="7">
        <f t="shared" ca="1" si="32"/>
        <v>0</v>
      </c>
      <c r="R88" s="7">
        <f t="shared" ca="1" si="33"/>
        <v>0</v>
      </c>
      <c r="S88" s="7"/>
      <c r="U88" s="5">
        <f t="shared" ca="1" si="39"/>
        <v>46178.662929050923</v>
      </c>
      <c r="V88">
        <f t="shared" ca="1" si="34"/>
        <v>2026</v>
      </c>
      <c r="W88">
        <f t="shared" ca="1" si="35"/>
        <v>6</v>
      </c>
      <c r="X88">
        <f t="shared" ca="1" si="36"/>
        <v>5</v>
      </c>
      <c r="Z88" t="b">
        <f t="shared" ca="1" si="37"/>
        <v>0</v>
      </c>
      <c r="AA88" t="b">
        <f t="shared" ca="1" si="38"/>
        <v>0</v>
      </c>
      <c r="AI88">
        <v>2028</v>
      </c>
      <c r="AJ88">
        <v>3</v>
      </c>
      <c r="AK88">
        <v>21</v>
      </c>
      <c r="AL88" t="s">
        <v>56</v>
      </c>
      <c r="AM88" t="s">
        <v>184</v>
      </c>
      <c r="AN88" t="s">
        <v>84</v>
      </c>
      <c r="AO88" s="1">
        <v>73</v>
      </c>
      <c r="AP88" t="s">
        <v>123</v>
      </c>
    </row>
    <row r="89" spans="2:42" x14ac:dyDescent="0.25">
      <c r="B89" s="6">
        <f t="shared" ca="1" si="41"/>
        <v>2034</v>
      </c>
      <c r="C89" s="6">
        <f t="shared" ca="1" si="41"/>
        <v>2</v>
      </c>
      <c r="D89" s="6">
        <f t="shared" ca="1" si="41"/>
        <v>19</v>
      </c>
      <c r="E89" s="6" t="str">
        <f t="shared" ca="1" si="41"/>
        <v>MUSIC</v>
      </c>
      <c r="F89" s="6" t="str">
        <f t="shared" ca="1" si="41"/>
        <v>Candy Pink</v>
      </c>
      <c r="G89" s="6" t="str">
        <f t="shared" ca="1" si="24"/>
        <v>Rapid Sparks</v>
      </c>
      <c r="H89" s="6">
        <f t="shared" ca="1" si="25"/>
        <v>80</v>
      </c>
      <c r="I89" s="6" t="str">
        <f t="shared" ca="1" si="26"/>
        <v>Carnaval, Agge mar leut heht</v>
      </c>
      <c r="J89" s="6"/>
      <c r="K89" s="7">
        <v>0</v>
      </c>
      <c r="L89" s="7">
        <f t="shared" ca="1" si="27"/>
        <v>0</v>
      </c>
      <c r="M89" s="7">
        <f t="shared" ca="1" si="28"/>
        <v>0</v>
      </c>
      <c r="N89" s="7">
        <f t="shared" ca="1" si="29"/>
        <v>0</v>
      </c>
      <c r="O89" s="7">
        <f t="shared" ca="1" si="30"/>
        <v>0</v>
      </c>
      <c r="P89" s="7">
        <f t="shared" ca="1" si="31"/>
        <v>0</v>
      </c>
      <c r="Q89" s="7">
        <f t="shared" ca="1" si="32"/>
        <v>0</v>
      </c>
      <c r="R89" s="7">
        <f t="shared" ca="1" si="33"/>
        <v>0</v>
      </c>
      <c r="S89" s="7"/>
      <c r="U89" s="5">
        <f t="shared" ca="1" si="39"/>
        <v>46179.662929050923</v>
      </c>
      <c r="V89">
        <f t="shared" ca="1" si="34"/>
        <v>2026</v>
      </c>
      <c r="W89">
        <f t="shared" ca="1" si="35"/>
        <v>6</v>
      </c>
      <c r="X89">
        <f t="shared" ca="1" si="36"/>
        <v>6</v>
      </c>
      <c r="Z89" t="b">
        <f t="shared" ca="1" si="37"/>
        <v>0</v>
      </c>
      <c r="AA89" t="b">
        <f t="shared" ca="1" si="38"/>
        <v>0</v>
      </c>
      <c r="AI89">
        <v>2028</v>
      </c>
      <c r="AJ89">
        <v>4</v>
      </c>
      <c r="AK89">
        <v>1</v>
      </c>
      <c r="AL89" t="s">
        <v>91</v>
      </c>
      <c r="AM89" t="s">
        <v>164</v>
      </c>
      <c r="AN89" t="s">
        <v>85</v>
      </c>
      <c r="AO89" s="1">
        <v>265</v>
      </c>
      <c r="AP89" t="s">
        <v>124</v>
      </c>
    </row>
    <row r="90" spans="2:42" x14ac:dyDescent="0.25">
      <c r="B90" s="6">
        <f t="shared" ca="1" si="41"/>
        <v>2035</v>
      </c>
      <c r="C90" s="6">
        <f t="shared" ca="1" si="41"/>
        <v>2</v>
      </c>
      <c r="D90" s="6">
        <f t="shared" ca="1" si="41"/>
        <v>4</v>
      </c>
      <c r="E90" s="6" t="str">
        <f t="shared" ca="1" si="41"/>
        <v>MUSIC</v>
      </c>
      <c r="F90" s="6" t="str">
        <f t="shared" ca="1" si="41"/>
        <v>Candy Pink</v>
      </c>
      <c r="G90" s="6" t="str">
        <f t="shared" ca="1" si="24"/>
        <v>Rapid Sparks</v>
      </c>
      <c r="H90" s="6">
        <f t="shared" ca="1" si="25"/>
        <v>94</v>
      </c>
      <c r="I90" s="6" t="str">
        <f t="shared" ca="1" si="26"/>
        <v>Carnaval, Alaaf!!</v>
      </c>
      <c r="J90" s="6"/>
      <c r="K90" s="7">
        <v>0</v>
      </c>
      <c r="L90" s="7">
        <f t="shared" ca="1" si="27"/>
        <v>0</v>
      </c>
      <c r="M90" s="7">
        <f t="shared" ca="1" si="28"/>
        <v>0</v>
      </c>
      <c r="N90" s="7">
        <f t="shared" ca="1" si="29"/>
        <v>0</v>
      </c>
      <c r="O90" s="7">
        <f t="shared" ca="1" si="30"/>
        <v>0</v>
      </c>
      <c r="P90" s="7">
        <f t="shared" ca="1" si="31"/>
        <v>0</v>
      </c>
      <c r="Q90" s="7">
        <f t="shared" ca="1" si="32"/>
        <v>0</v>
      </c>
      <c r="R90" s="7">
        <f t="shared" ca="1" si="33"/>
        <v>0</v>
      </c>
      <c r="S90" s="7"/>
      <c r="U90" s="5">
        <f t="shared" ca="1" si="39"/>
        <v>46180.662929050923</v>
      </c>
      <c r="V90">
        <f t="shared" ca="1" si="34"/>
        <v>2026</v>
      </c>
      <c r="W90">
        <f t="shared" ca="1" si="35"/>
        <v>6</v>
      </c>
      <c r="X90">
        <f t="shared" ca="1" si="36"/>
        <v>7</v>
      </c>
      <c r="Z90" t="b">
        <f t="shared" ca="1" si="37"/>
        <v>0</v>
      </c>
      <c r="AA90" t="b">
        <f t="shared" ca="1" si="38"/>
        <v>0</v>
      </c>
      <c r="AI90">
        <v>2028</v>
      </c>
      <c r="AJ90">
        <v>4</v>
      </c>
      <c r="AK90">
        <v>14</v>
      </c>
      <c r="AL90" t="s">
        <v>54</v>
      </c>
      <c r="AM90" t="s">
        <v>181</v>
      </c>
      <c r="AN90" t="s">
        <v>83</v>
      </c>
      <c r="AO90" s="1">
        <v>187</v>
      </c>
      <c r="AP90" t="s">
        <v>28</v>
      </c>
    </row>
    <row r="91" spans="2:42" x14ac:dyDescent="0.25">
      <c r="B91" s="6">
        <f t="shared" ca="1" si="41"/>
        <v>2036</v>
      </c>
      <c r="C91" s="6">
        <f t="shared" ca="1" si="41"/>
        <v>2</v>
      </c>
      <c r="D91" s="6">
        <f t="shared" ca="1" si="41"/>
        <v>24</v>
      </c>
      <c r="E91" s="6" t="str">
        <f t="shared" ca="1" si="41"/>
        <v>MUSIC</v>
      </c>
      <c r="F91" s="6" t="str">
        <f t="shared" ca="1" si="41"/>
        <v>Candy Pink</v>
      </c>
      <c r="G91" s="6" t="str">
        <f t="shared" ca="1" si="24"/>
        <v>Rapid Sparks</v>
      </c>
      <c r="H91" s="6">
        <f t="shared" ca="1" si="25"/>
        <v>112</v>
      </c>
      <c r="I91" s="6" t="str">
        <f t="shared" ca="1" si="26"/>
        <v>Carnaval, Keiebijters!!</v>
      </c>
      <c r="J91" s="6"/>
      <c r="K91" s="7">
        <v>0</v>
      </c>
      <c r="L91" s="7">
        <f t="shared" ca="1" si="27"/>
        <v>0</v>
      </c>
      <c r="M91" s="7">
        <f t="shared" ca="1" si="28"/>
        <v>0</v>
      </c>
      <c r="N91" s="7">
        <f t="shared" ca="1" si="29"/>
        <v>0</v>
      </c>
      <c r="O91" s="7">
        <f t="shared" ca="1" si="30"/>
        <v>0</v>
      </c>
      <c r="P91" s="7">
        <f t="shared" ca="1" si="31"/>
        <v>0</v>
      </c>
      <c r="Q91" s="7">
        <f t="shared" ca="1" si="32"/>
        <v>0</v>
      </c>
      <c r="R91" s="7">
        <f t="shared" ca="1" si="33"/>
        <v>0</v>
      </c>
      <c r="S91" s="7"/>
      <c r="U91" s="5">
        <f t="shared" ca="1" si="39"/>
        <v>46181.662929050923</v>
      </c>
      <c r="V91">
        <f t="shared" ca="1" si="34"/>
        <v>2026</v>
      </c>
      <c r="W91">
        <f t="shared" ca="1" si="35"/>
        <v>6</v>
      </c>
      <c r="X91">
        <f t="shared" ca="1" si="36"/>
        <v>8</v>
      </c>
      <c r="Z91" t="b">
        <f t="shared" ca="1" si="37"/>
        <v>0</v>
      </c>
      <c r="AA91" t="b">
        <f t="shared" ca="1" si="38"/>
        <v>0</v>
      </c>
      <c r="AI91">
        <v>2028</v>
      </c>
      <c r="AJ91">
        <v>4</v>
      </c>
      <c r="AK91">
        <v>16</v>
      </c>
      <c r="AL91" t="s">
        <v>58</v>
      </c>
      <c r="AM91" t="s">
        <v>158</v>
      </c>
      <c r="AN91" t="s">
        <v>261</v>
      </c>
      <c r="AO91" s="1">
        <v>86</v>
      </c>
      <c r="AP91" t="s">
        <v>12</v>
      </c>
    </row>
    <row r="92" spans="2:42" x14ac:dyDescent="0.25">
      <c r="B92" s="6">
        <f t="shared" ca="1" si="41"/>
        <v>2037</v>
      </c>
      <c r="C92" s="6">
        <f t="shared" ca="1" si="41"/>
        <v>2</v>
      </c>
      <c r="D92" s="6">
        <f t="shared" ca="1" si="41"/>
        <v>15</v>
      </c>
      <c r="E92" s="6" t="str">
        <f t="shared" ca="1" si="41"/>
        <v>MUSIC</v>
      </c>
      <c r="F92" s="6" t="str">
        <f t="shared" ca="1" si="41"/>
        <v>Candy Pink</v>
      </c>
      <c r="G92" s="6" t="str">
        <f t="shared" ca="1" si="24"/>
        <v>Rapid Sparks</v>
      </c>
      <c r="H92" s="6">
        <f t="shared" ca="1" si="25"/>
        <v>118</v>
      </c>
      <c r="I92" s="6" t="str">
        <f t="shared" ca="1" si="26"/>
        <v>Carnaval, En deh hittie naw gedonn umdettie Hellemonder is</v>
      </c>
      <c r="J92" s="6"/>
      <c r="K92" s="7">
        <v>0</v>
      </c>
      <c r="L92" s="7">
        <f t="shared" ca="1" si="27"/>
        <v>0</v>
      </c>
      <c r="M92" s="7">
        <f t="shared" ca="1" si="28"/>
        <v>0</v>
      </c>
      <c r="N92" s="7">
        <f t="shared" ca="1" si="29"/>
        <v>0</v>
      </c>
      <c r="O92" s="7">
        <f t="shared" ca="1" si="30"/>
        <v>0</v>
      </c>
      <c r="P92" s="7">
        <f t="shared" ca="1" si="31"/>
        <v>0</v>
      </c>
      <c r="Q92" s="7">
        <f t="shared" ca="1" si="32"/>
        <v>0</v>
      </c>
      <c r="R92" s="7">
        <f t="shared" ca="1" si="33"/>
        <v>0</v>
      </c>
      <c r="S92" s="7"/>
      <c r="U92" s="5">
        <f t="shared" ca="1" si="39"/>
        <v>46182.662929050923</v>
      </c>
      <c r="V92">
        <f t="shared" ca="1" si="34"/>
        <v>2026</v>
      </c>
      <c r="W92">
        <f t="shared" ca="1" si="35"/>
        <v>6</v>
      </c>
      <c r="X92">
        <f t="shared" ca="1" si="36"/>
        <v>9</v>
      </c>
      <c r="Z92" t="b">
        <f t="shared" ca="1" si="37"/>
        <v>0</v>
      </c>
      <c r="AA92" t="b">
        <f t="shared" ca="1" si="38"/>
        <v>0</v>
      </c>
      <c r="AI92">
        <v>2028</v>
      </c>
      <c r="AJ92">
        <v>4</v>
      </c>
      <c r="AK92">
        <v>17</v>
      </c>
      <c r="AL92" t="s">
        <v>58</v>
      </c>
      <c r="AM92" t="s">
        <v>198</v>
      </c>
      <c r="AN92" t="s">
        <v>265</v>
      </c>
      <c r="AO92" s="1">
        <v>331</v>
      </c>
      <c r="AP92" t="s">
        <v>1375</v>
      </c>
    </row>
    <row r="93" spans="2:42" x14ac:dyDescent="0.25">
      <c r="B93" s="6">
        <f t="shared" ref="B93:F102" ca="1" si="42">OFFSET(INDIRECT($B$1),ROW(A91),COLUMN(A91))</f>
        <v>2038</v>
      </c>
      <c r="C93" s="6">
        <f t="shared" ca="1" si="42"/>
        <v>3</v>
      </c>
      <c r="D93" s="6">
        <f t="shared" ca="1" si="42"/>
        <v>7</v>
      </c>
      <c r="E93" s="6" t="str">
        <f t="shared" ca="1" si="42"/>
        <v>MUSIC</v>
      </c>
      <c r="F93" s="6" t="str">
        <f t="shared" ca="1" si="42"/>
        <v>Candy Pink</v>
      </c>
      <c r="G93" s="6" t="str">
        <f t="shared" ca="1" si="24"/>
        <v>Rapid Sparks</v>
      </c>
      <c r="H93" s="6">
        <f t="shared" ca="1" si="25"/>
        <v>106</v>
      </c>
      <c r="I93" s="6" t="str">
        <f t="shared" ca="1" si="26"/>
        <v>Carnaval, Agge mar leut heht</v>
      </c>
      <c r="J93" s="6"/>
      <c r="K93" s="7">
        <v>0</v>
      </c>
      <c r="L93" s="7">
        <f t="shared" ca="1" si="27"/>
        <v>0</v>
      </c>
      <c r="M93" s="7">
        <f t="shared" ca="1" si="28"/>
        <v>0</v>
      </c>
      <c r="N93" s="7">
        <f t="shared" ca="1" si="29"/>
        <v>0</v>
      </c>
      <c r="O93" s="7">
        <f t="shared" ca="1" si="30"/>
        <v>0</v>
      </c>
      <c r="P93" s="7">
        <f t="shared" ca="1" si="31"/>
        <v>0</v>
      </c>
      <c r="Q93" s="7">
        <f t="shared" ca="1" si="32"/>
        <v>0</v>
      </c>
      <c r="R93" s="7">
        <f t="shared" ca="1" si="33"/>
        <v>0</v>
      </c>
      <c r="S93" s="7"/>
      <c r="U93" s="5">
        <f t="shared" ca="1" si="39"/>
        <v>46183.662929050923</v>
      </c>
      <c r="V93">
        <f t="shared" ca="1" si="34"/>
        <v>2026</v>
      </c>
      <c r="W93">
        <f t="shared" ca="1" si="35"/>
        <v>6</v>
      </c>
      <c r="X93">
        <f t="shared" ca="1" si="36"/>
        <v>10</v>
      </c>
      <c r="Z93" t="b">
        <f t="shared" ca="1" si="37"/>
        <v>0</v>
      </c>
      <c r="AA93" t="b">
        <f t="shared" ca="1" si="38"/>
        <v>0</v>
      </c>
      <c r="AI93">
        <v>2028</v>
      </c>
      <c r="AJ93">
        <v>4</v>
      </c>
      <c r="AK93">
        <v>30</v>
      </c>
      <c r="AL93" t="s">
        <v>56</v>
      </c>
      <c r="AM93" t="s">
        <v>184</v>
      </c>
      <c r="AN93" t="s">
        <v>84</v>
      </c>
      <c r="AO93" s="1">
        <v>98</v>
      </c>
      <c r="AP93" t="s">
        <v>126</v>
      </c>
    </row>
    <row r="94" spans="2:42" x14ac:dyDescent="0.25">
      <c r="B94" s="6">
        <f t="shared" ca="1" si="42"/>
        <v>2026</v>
      </c>
      <c r="C94" s="6">
        <f t="shared" ca="1" si="42"/>
        <v>2</v>
      </c>
      <c r="D94" s="6">
        <f t="shared" ca="1" si="42"/>
        <v>16</v>
      </c>
      <c r="E94" s="6" t="str">
        <f t="shared" ca="1" si="42"/>
        <v>MUSIC</v>
      </c>
      <c r="F94" s="6" t="str">
        <f t="shared" ca="1" si="42"/>
        <v>Candy Pink</v>
      </c>
      <c r="G94" s="6" t="str">
        <f t="shared" ca="1" si="24"/>
        <v>Rapid Sparks</v>
      </c>
      <c r="H94" s="6">
        <f t="shared" ca="1" si="25"/>
        <v>98</v>
      </c>
      <c r="I94" s="6" t="str">
        <f t="shared" ca="1" si="26"/>
        <v>RosenMoontach, Agge mar leut heht</v>
      </c>
      <c r="J94" s="6"/>
      <c r="K94" s="7">
        <v>0</v>
      </c>
      <c r="L94" s="7">
        <f t="shared" ca="1" si="27"/>
        <v>0</v>
      </c>
      <c r="M94" s="7">
        <f t="shared" ca="1" si="28"/>
        <v>0</v>
      </c>
      <c r="N94" s="7">
        <f t="shared" ca="1" si="29"/>
        <v>0</v>
      </c>
      <c r="O94" s="7">
        <f t="shared" ca="1" si="30"/>
        <v>0</v>
      </c>
      <c r="P94" s="7">
        <f t="shared" ca="1" si="31"/>
        <v>0</v>
      </c>
      <c r="Q94" s="7">
        <f t="shared" ca="1" si="32"/>
        <v>0</v>
      </c>
      <c r="R94" s="7">
        <f t="shared" ca="1" si="33"/>
        <v>0</v>
      </c>
      <c r="S94" s="7"/>
      <c r="U94" s="5">
        <f t="shared" ca="1" si="39"/>
        <v>46184.662929050923</v>
      </c>
      <c r="V94">
        <f t="shared" ca="1" si="34"/>
        <v>2026</v>
      </c>
      <c r="W94">
        <f t="shared" ca="1" si="35"/>
        <v>6</v>
      </c>
      <c r="X94">
        <f t="shared" ca="1" si="36"/>
        <v>11</v>
      </c>
      <c r="Z94" t="b">
        <f t="shared" ca="1" si="37"/>
        <v>0</v>
      </c>
      <c r="AA94" t="b">
        <f t="shared" ca="1" si="38"/>
        <v>0</v>
      </c>
      <c r="AI94">
        <v>2028</v>
      </c>
      <c r="AJ94">
        <v>5</v>
      </c>
      <c r="AK94">
        <v>1</v>
      </c>
      <c r="AL94" t="s">
        <v>91</v>
      </c>
      <c r="AM94" t="s">
        <v>164</v>
      </c>
      <c r="AN94" t="s">
        <v>85</v>
      </c>
      <c r="AO94" s="1">
        <v>202</v>
      </c>
      <c r="AP94" t="s">
        <v>127</v>
      </c>
    </row>
    <row r="95" spans="2:42" x14ac:dyDescent="0.25">
      <c r="B95" s="6">
        <f t="shared" ca="1" si="42"/>
        <v>2027</v>
      </c>
      <c r="C95" s="6">
        <f t="shared" ca="1" si="42"/>
        <v>2</v>
      </c>
      <c r="D95" s="6">
        <f t="shared" ca="1" si="42"/>
        <v>8</v>
      </c>
      <c r="E95" s="6" t="str">
        <f t="shared" ca="1" si="42"/>
        <v>MUSIC</v>
      </c>
      <c r="F95" s="6" t="str">
        <f t="shared" ca="1" si="42"/>
        <v>Candy Pink</v>
      </c>
      <c r="G95" s="6" t="str">
        <f t="shared" ca="1" si="24"/>
        <v>Rapid Sparks</v>
      </c>
      <c r="H95" s="6">
        <f t="shared" ca="1" si="25"/>
        <v>88</v>
      </c>
      <c r="I95" s="6" t="str">
        <f t="shared" ca="1" si="26"/>
        <v>RosenMoontach, Tadaaaaah - tadaaaah</v>
      </c>
      <c r="J95" s="6"/>
      <c r="K95" s="7">
        <v>0</v>
      </c>
      <c r="L95" s="7">
        <f t="shared" ca="1" si="27"/>
        <v>0</v>
      </c>
      <c r="M95" s="7">
        <f t="shared" ca="1" si="28"/>
        <v>0</v>
      </c>
      <c r="N95" s="7">
        <f t="shared" ca="1" si="29"/>
        <v>0</v>
      </c>
      <c r="O95" s="7">
        <f t="shared" ca="1" si="30"/>
        <v>0</v>
      </c>
      <c r="P95" s="7">
        <f t="shared" ca="1" si="31"/>
        <v>0</v>
      </c>
      <c r="Q95" s="7">
        <f t="shared" ca="1" si="32"/>
        <v>0</v>
      </c>
      <c r="R95" s="7">
        <f t="shared" ca="1" si="33"/>
        <v>0</v>
      </c>
      <c r="S95" s="7"/>
      <c r="U95" s="5">
        <f t="shared" ca="1" si="39"/>
        <v>46185.662929050923</v>
      </c>
      <c r="V95">
        <f t="shared" ca="1" si="34"/>
        <v>2026</v>
      </c>
      <c r="W95">
        <f t="shared" ca="1" si="35"/>
        <v>6</v>
      </c>
      <c r="X95">
        <f t="shared" ca="1" si="36"/>
        <v>12</v>
      </c>
      <c r="Z95" t="b">
        <f t="shared" ca="1" si="37"/>
        <v>0</v>
      </c>
      <c r="AA95" t="b">
        <f t="shared" ca="1" si="38"/>
        <v>0</v>
      </c>
      <c r="AI95">
        <v>2028</v>
      </c>
      <c r="AJ95">
        <v>5</v>
      </c>
      <c r="AK95">
        <v>4</v>
      </c>
      <c r="AL95" t="s">
        <v>89</v>
      </c>
      <c r="AM95" t="s">
        <v>233</v>
      </c>
      <c r="AN95" t="s">
        <v>83</v>
      </c>
      <c r="AO95" s="1">
        <v>102</v>
      </c>
      <c r="AP95" t="s">
        <v>1364</v>
      </c>
    </row>
    <row r="96" spans="2:42" x14ac:dyDescent="0.25">
      <c r="B96" s="6">
        <f t="shared" ca="1" si="42"/>
        <v>2028</v>
      </c>
      <c r="C96" s="6">
        <f t="shared" ca="1" si="42"/>
        <v>2</v>
      </c>
      <c r="D96" s="6">
        <f t="shared" ca="1" si="42"/>
        <v>28</v>
      </c>
      <c r="E96" s="6" t="str">
        <f t="shared" ca="1" si="42"/>
        <v>MUSIC</v>
      </c>
      <c r="F96" s="6" t="str">
        <f t="shared" ca="1" si="42"/>
        <v>Candy Pink</v>
      </c>
      <c r="G96" s="6" t="str">
        <f t="shared" ca="1" si="24"/>
        <v>Rapid Sparks</v>
      </c>
      <c r="H96" s="6">
        <f t="shared" ca="1" si="25"/>
        <v>99</v>
      </c>
      <c r="I96" s="6" t="str">
        <f t="shared" ca="1" si="26"/>
        <v>RosenMoontach, Alaaf!!</v>
      </c>
      <c r="J96" s="6"/>
      <c r="K96" s="7">
        <v>0</v>
      </c>
      <c r="L96" s="7">
        <f t="shared" ca="1" si="27"/>
        <v>0</v>
      </c>
      <c r="M96" s="7">
        <f t="shared" ca="1" si="28"/>
        <v>0</v>
      </c>
      <c r="N96" s="7">
        <f t="shared" ca="1" si="29"/>
        <v>0</v>
      </c>
      <c r="O96" s="7">
        <f t="shared" ca="1" si="30"/>
        <v>0</v>
      </c>
      <c r="P96" s="7">
        <f t="shared" ca="1" si="31"/>
        <v>0</v>
      </c>
      <c r="Q96" s="7">
        <f t="shared" ca="1" si="32"/>
        <v>0</v>
      </c>
      <c r="R96" s="7">
        <f t="shared" ca="1" si="33"/>
        <v>0</v>
      </c>
      <c r="S96" s="7"/>
      <c r="U96" s="5">
        <f t="shared" ca="1" si="39"/>
        <v>46186.662929050923</v>
      </c>
      <c r="V96">
        <f t="shared" ca="1" si="34"/>
        <v>2026</v>
      </c>
      <c r="W96">
        <f t="shared" ca="1" si="35"/>
        <v>6</v>
      </c>
      <c r="X96">
        <f t="shared" ca="1" si="36"/>
        <v>13</v>
      </c>
      <c r="Z96" t="b">
        <f t="shared" ca="1" si="37"/>
        <v>0</v>
      </c>
      <c r="AA96" t="b">
        <f t="shared" ca="1" si="38"/>
        <v>0</v>
      </c>
      <c r="AI96">
        <v>2028</v>
      </c>
      <c r="AJ96">
        <v>5</v>
      </c>
      <c r="AK96">
        <v>5</v>
      </c>
      <c r="AL96" t="s">
        <v>93</v>
      </c>
      <c r="AM96" t="s">
        <v>152</v>
      </c>
      <c r="AN96" t="s">
        <v>84</v>
      </c>
      <c r="AO96" s="1">
        <v>64</v>
      </c>
      <c r="AP96" t="s">
        <v>107</v>
      </c>
    </row>
    <row r="97" spans="2:42" x14ac:dyDescent="0.25">
      <c r="B97" s="6">
        <f t="shared" ca="1" si="42"/>
        <v>2029</v>
      </c>
      <c r="C97" s="6">
        <f t="shared" ca="1" si="42"/>
        <v>2</v>
      </c>
      <c r="D97" s="6">
        <f t="shared" ca="1" si="42"/>
        <v>12</v>
      </c>
      <c r="E97" s="6" t="str">
        <f t="shared" ca="1" si="42"/>
        <v>MUSIC</v>
      </c>
      <c r="F97" s="6" t="str">
        <f t="shared" ca="1" si="42"/>
        <v>Candy Pink</v>
      </c>
      <c r="G97" s="6" t="str">
        <f t="shared" ca="1" si="24"/>
        <v>Rapid Sparks</v>
      </c>
      <c r="H97" s="6">
        <f t="shared" ca="1" si="25"/>
        <v>121</v>
      </c>
      <c r="I97" s="6" t="str">
        <f t="shared" ca="1" si="26"/>
        <v>RosenMoontach, Keiebijters!!</v>
      </c>
      <c r="J97" s="6"/>
      <c r="K97" s="7">
        <v>0</v>
      </c>
      <c r="L97" s="7">
        <f t="shared" ca="1" si="27"/>
        <v>0</v>
      </c>
      <c r="M97" s="7">
        <f t="shared" ca="1" si="28"/>
        <v>0</v>
      </c>
      <c r="N97" s="7">
        <f t="shared" ca="1" si="29"/>
        <v>0</v>
      </c>
      <c r="O97" s="7">
        <f t="shared" ca="1" si="30"/>
        <v>0</v>
      </c>
      <c r="P97" s="7">
        <f t="shared" ca="1" si="31"/>
        <v>0</v>
      </c>
      <c r="Q97" s="7">
        <f t="shared" ca="1" si="32"/>
        <v>0</v>
      </c>
      <c r="R97" s="7">
        <f t="shared" ca="1" si="33"/>
        <v>0</v>
      </c>
      <c r="S97" s="7"/>
      <c r="U97" s="5">
        <f t="shared" ca="1" si="39"/>
        <v>46187.662929050923</v>
      </c>
      <c r="V97">
        <f t="shared" ca="1" si="34"/>
        <v>2026</v>
      </c>
      <c r="W97">
        <f t="shared" ca="1" si="35"/>
        <v>6</v>
      </c>
      <c r="X97">
        <f t="shared" ca="1" si="36"/>
        <v>14</v>
      </c>
      <c r="Z97" t="b">
        <f t="shared" ca="1" si="37"/>
        <v>0</v>
      </c>
      <c r="AA97" t="b">
        <f t="shared" ca="1" si="38"/>
        <v>0</v>
      </c>
      <c r="AI97">
        <v>2028</v>
      </c>
      <c r="AJ97">
        <v>5</v>
      </c>
      <c r="AK97">
        <v>10</v>
      </c>
      <c r="AL97" t="s">
        <v>56</v>
      </c>
      <c r="AM97" t="s">
        <v>184</v>
      </c>
      <c r="AN97" t="s">
        <v>84</v>
      </c>
      <c r="AO97" s="1">
        <v>73</v>
      </c>
      <c r="AP97" t="s">
        <v>128</v>
      </c>
    </row>
    <row r="98" spans="2:42" x14ac:dyDescent="0.25">
      <c r="B98" s="6">
        <f t="shared" ca="1" si="42"/>
        <v>2030</v>
      </c>
      <c r="C98" s="6">
        <f t="shared" ca="1" si="42"/>
        <v>3</v>
      </c>
      <c r="D98" s="6">
        <f t="shared" ca="1" si="42"/>
        <v>4</v>
      </c>
      <c r="E98" s="6" t="str">
        <f t="shared" ca="1" si="42"/>
        <v>MUSIC</v>
      </c>
      <c r="F98" s="6" t="str">
        <f t="shared" ca="1" si="42"/>
        <v>Candy Pink</v>
      </c>
      <c r="G98" s="6" t="str">
        <f t="shared" ca="1" si="24"/>
        <v>Rapid Sparks</v>
      </c>
      <c r="H98" s="6">
        <f t="shared" ca="1" si="25"/>
        <v>133</v>
      </c>
      <c r="I98" s="6" t="str">
        <f t="shared" ca="1" si="26"/>
        <v>RosenMoontach, En deh hittie naw gedonn umdettie Hellemonder is</v>
      </c>
      <c r="J98" s="6"/>
      <c r="K98" s="7">
        <v>0</v>
      </c>
      <c r="L98" s="7">
        <f t="shared" ca="1" si="27"/>
        <v>0</v>
      </c>
      <c r="M98" s="7">
        <f t="shared" ca="1" si="28"/>
        <v>0</v>
      </c>
      <c r="N98" s="7">
        <f t="shared" ca="1" si="29"/>
        <v>0</v>
      </c>
      <c r="O98" s="7">
        <f t="shared" ca="1" si="30"/>
        <v>0</v>
      </c>
      <c r="P98" s="7">
        <f t="shared" ca="1" si="31"/>
        <v>0</v>
      </c>
      <c r="Q98" s="7">
        <f t="shared" ca="1" si="32"/>
        <v>0</v>
      </c>
      <c r="R98" s="7">
        <f t="shared" ca="1" si="33"/>
        <v>0</v>
      </c>
      <c r="S98" s="7"/>
      <c r="U98" s="5">
        <f t="shared" ca="1" si="39"/>
        <v>46188.662929050923</v>
      </c>
      <c r="V98">
        <f t="shared" ca="1" si="34"/>
        <v>2026</v>
      </c>
      <c r="W98">
        <f t="shared" ca="1" si="35"/>
        <v>6</v>
      </c>
      <c r="X98">
        <f t="shared" ca="1" si="36"/>
        <v>15</v>
      </c>
      <c r="Z98" t="b">
        <f t="shared" ca="1" si="37"/>
        <v>0</v>
      </c>
      <c r="AA98" t="b">
        <f t="shared" ca="1" si="38"/>
        <v>0</v>
      </c>
      <c r="AI98">
        <v>2028</v>
      </c>
      <c r="AJ98">
        <v>5</v>
      </c>
      <c r="AK98">
        <v>25</v>
      </c>
      <c r="AL98" t="s">
        <v>44</v>
      </c>
      <c r="AM98" t="s">
        <v>227</v>
      </c>
      <c r="AN98" t="s">
        <v>83</v>
      </c>
      <c r="AO98" s="1">
        <v>101</v>
      </c>
      <c r="AP98" t="s">
        <v>14</v>
      </c>
    </row>
    <row r="99" spans="2:42" x14ac:dyDescent="0.25">
      <c r="B99" s="6">
        <f t="shared" ca="1" si="42"/>
        <v>2031</v>
      </c>
      <c r="C99" s="6">
        <f t="shared" ca="1" si="42"/>
        <v>2</v>
      </c>
      <c r="D99" s="6">
        <f t="shared" ca="1" si="42"/>
        <v>24</v>
      </c>
      <c r="E99" s="6" t="str">
        <f t="shared" ca="1" si="42"/>
        <v>MUSIC</v>
      </c>
      <c r="F99" s="6" t="str">
        <f t="shared" ca="1" si="42"/>
        <v>Candy Pink</v>
      </c>
      <c r="G99" s="6" t="str">
        <f t="shared" ca="1" si="24"/>
        <v>Rapid Sparks</v>
      </c>
      <c r="H99" s="6">
        <f t="shared" ca="1" si="25"/>
        <v>124</v>
      </c>
      <c r="I99" s="6" t="str">
        <f t="shared" ca="1" si="26"/>
        <v>RosenMoontach, Agge mar leut heht</v>
      </c>
      <c r="J99" s="6"/>
      <c r="K99" s="7">
        <v>0</v>
      </c>
      <c r="L99" s="7">
        <f t="shared" ca="1" si="27"/>
        <v>0</v>
      </c>
      <c r="M99" s="7">
        <f t="shared" ca="1" si="28"/>
        <v>0</v>
      </c>
      <c r="N99" s="7">
        <f t="shared" ca="1" si="29"/>
        <v>0</v>
      </c>
      <c r="O99" s="7">
        <f t="shared" ca="1" si="30"/>
        <v>0</v>
      </c>
      <c r="P99" s="7">
        <f t="shared" ca="1" si="31"/>
        <v>0</v>
      </c>
      <c r="Q99" s="7">
        <f t="shared" ca="1" si="32"/>
        <v>0</v>
      </c>
      <c r="R99" s="7">
        <f t="shared" ca="1" si="33"/>
        <v>0</v>
      </c>
      <c r="S99" s="7"/>
      <c r="U99" s="5">
        <f t="shared" ca="1" si="39"/>
        <v>46189.662929050923</v>
      </c>
      <c r="V99">
        <f t="shared" ca="1" si="34"/>
        <v>2026</v>
      </c>
      <c r="W99">
        <f t="shared" ca="1" si="35"/>
        <v>6</v>
      </c>
      <c r="X99">
        <f t="shared" ca="1" si="36"/>
        <v>16</v>
      </c>
      <c r="Z99" t="b">
        <f t="shared" ca="1" si="37"/>
        <v>0</v>
      </c>
      <c r="AA99" t="b">
        <f t="shared" ca="1" si="38"/>
        <v>0</v>
      </c>
      <c r="AI99">
        <v>2028</v>
      </c>
      <c r="AJ99">
        <v>6</v>
      </c>
      <c r="AK99">
        <v>1</v>
      </c>
      <c r="AL99" t="s">
        <v>91</v>
      </c>
      <c r="AM99" t="s">
        <v>164</v>
      </c>
      <c r="AN99" t="s">
        <v>85</v>
      </c>
      <c r="AO99" s="1">
        <v>157</v>
      </c>
      <c r="AP99" t="s">
        <v>130</v>
      </c>
    </row>
    <row r="100" spans="2:42" x14ac:dyDescent="0.25">
      <c r="B100" s="6">
        <f t="shared" ca="1" si="42"/>
        <v>2032</v>
      </c>
      <c r="C100" s="6">
        <f t="shared" ca="1" si="42"/>
        <v>2</v>
      </c>
      <c r="D100" s="6">
        <f t="shared" ca="1" si="42"/>
        <v>9</v>
      </c>
      <c r="E100" s="6" t="str">
        <f t="shared" ca="1" si="42"/>
        <v>MUSIC</v>
      </c>
      <c r="F100" s="6" t="str">
        <f t="shared" ca="1" si="42"/>
        <v>Candy Pink</v>
      </c>
      <c r="G100" s="6" t="str">
        <f t="shared" ca="1" si="24"/>
        <v>Rapid Sparks</v>
      </c>
      <c r="H100" s="6">
        <f t="shared" ca="1" si="25"/>
        <v>103</v>
      </c>
      <c r="I100" s="6" t="str">
        <f t="shared" ca="1" si="26"/>
        <v>RosenMoontach, Alaaf!!</v>
      </c>
      <c r="J100" s="6"/>
      <c r="K100" s="7">
        <v>0</v>
      </c>
      <c r="L100" s="7">
        <f t="shared" ca="1" si="27"/>
        <v>0</v>
      </c>
      <c r="M100" s="7">
        <f t="shared" ca="1" si="28"/>
        <v>0</v>
      </c>
      <c r="N100" s="7">
        <f t="shared" ca="1" si="29"/>
        <v>0</v>
      </c>
      <c r="O100" s="7">
        <f t="shared" ca="1" si="30"/>
        <v>0</v>
      </c>
      <c r="P100" s="7">
        <f t="shared" ca="1" si="31"/>
        <v>0</v>
      </c>
      <c r="Q100" s="7">
        <f t="shared" ca="1" si="32"/>
        <v>0</v>
      </c>
      <c r="R100" s="7">
        <f t="shared" ca="1" si="33"/>
        <v>0</v>
      </c>
      <c r="S100" s="7"/>
      <c r="U100" s="5">
        <f t="shared" ca="1" si="39"/>
        <v>46190.662929050923</v>
      </c>
      <c r="V100">
        <f t="shared" ca="1" si="34"/>
        <v>2026</v>
      </c>
      <c r="W100">
        <f t="shared" ca="1" si="35"/>
        <v>6</v>
      </c>
      <c r="X100">
        <f t="shared" ca="1" si="36"/>
        <v>17</v>
      </c>
      <c r="Z100" t="b">
        <f t="shared" ca="1" si="37"/>
        <v>0</v>
      </c>
      <c r="AA100" t="b">
        <f t="shared" ca="1" si="38"/>
        <v>0</v>
      </c>
      <c r="AI100">
        <v>2028</v>
      </c>
      <c r="AJ100">
        <v>6</v>
      </c>
      <c r="AK100">
        <v>4</v>
      </c>
      <c r="AL100" t="s">
        <v>49</v>
      </c>
      <c r="AM100" t="s">
        <v>167</v>
      </c>
      <c r="AN100" t="s">
        <v>85</v>
      </c>
      <c r="AO100" s="1">
        <v>117</v>
      </c>
      <c r="AP100" t="s">
        <v>144</v>
      </c>
    </row>
    <row r="101" spans="2:42" x14ac:dyDescent="0.25">
      <c r="B101" s="6">
        <f t="shared" ca="1" si="42"/>
        <v>2033</v>
      </c>
      <c r="C101" s="6">
        <f t="shared" ca="1" si="42"/>
        <v>2</v>
      </c>
      <c r="D101" s="6">
        <f t="shared" ca="1" si="42"/>
        <v>28</v>
      </c>
      <c r="E101" s="6" t="str">
        <f t="shared" ca="1" si="42"/>
        <v>MUSIC</v>
      </c>
      <c r="F101" s="6" t="str">
        <f t="shared" ca="1" si="42"/>
        <v>Candy Pink</v>
      </c>
      <c r="G101" s="6" t="str">
        <f t="shared" ca="1" si="24"/>
        <v>Rapid Sparks</v>
      </c>
      <c r="H101" s="6">
        <f t="shared" ca="1" si="25"/>
        <v>89</v>
      </c>
      <c r="I101" s="6" t="str">
        <f t="shared" ca="1" si="26"/>
        <v>RosenMoontach, Keiebijters!!</v>
      </c>
      <c r="J101" s="6"/>
      <c r="K101" s="7">
        <v>0</v>
      </c>
      <c r="L101" s="7">
        <f t="shared" ca="1" si="27"/>
        <v>0</v>
      </c>
      <c r="M101" s="7">
        <f t="shared" ca="1" si="28"/>
        <v>0</v>
      </c>
      <c r="N101" s="7">
        <f t="shared" ca="1" si="29"/>
        <v>0</v>
      </c>
      <c r="O101" s="7">
        <f t="shared" ca="1" si="30"/>
        <v>0</v>
      </c>
      <c r="P101" s="7">
        <f t="shared" ca="1" si="31"/>
        <v>0</v>
      </c>
      <c r="Q101" s="7">
        <f t="shared" ca="1" si="32"/>
        <v>0</v>
      </c>
      <c r="R101" s="7">
        <f t="shared" ca="1" si="33"/>
        <v>0</v>
      </c>
      <c r="S101" s="7"/>
      <c r="U101" s="5">
        <f t="shared" ca="1" si="39"/>
        <v>46191.662929050923</v>
      </c>
      <c r="V101">
        <f t="shared" ca="1" si="34"/>
        <v>2026</v>
      </c>
      <c r="W101">
        <f t="shared" ca="1" si="35"/>
        <v>6</v>
      </c>
      <c r="X101">
        <f t="shared" ca="1" si="36"/>
        <v>18</v>
      </c>
      <c r="Z101" t="b">
        <f t="shared" ca="1" si="37"/>
        <v>0</v>
      </c>
      <c r="AA101" t="b">
        <f t="shared" ca="1" si="38"/>
        <v>0</v>
      </c>
      <c r="AI101">
        <v>2028</v>
      </c>
      <c r="AJ101">
        <v>6</v>
      </c>
      <c r="AK101">
        <v>5</v>
      </c>
      <c r="AL101" t="s">
        <v>49</v>
      </c>
      <c r="AM101" t="s">
        <v>167</v>
      </c>
      <c r="AN101" t="s">
        <v>85</v>
      </c>
      <c r="AO101" s="1">
        <v>206</v>
      </c>
      <c r="AP101" t="s">
        <v>1498</v>
      </c>
    </row>
    <row r="102" spans="2:42" x14ac:dyDescent="0.25">
      <c r="B102" s="6">
        <f t="shared" ca="1" si="42"/>
        <v>2034</v>
      </c>
      <c r="C102" s="6">
        <f t="shared" ca="1" si="42"/>
        <v>2</v>
      </c>
      <c r="D102" s="6">
        <f t="shared" ca="1" si="42"/>
        <v>20</v>
      </c>
      <c r="E102" s="6" t="str">
        <f t="shared" ca="1" si="42"/>
        <v>MUSIC</v>
      </c>
      <c r="F102" s="6" t="str">
        <f t="shared" ca="1" si="42"/>
        <v>Candy Pink</v>
      </c>
      <c r="G102" s="6" t="str">
        <f t="shared" ca="1" si="24"/>
        <v>Rapid Sparks</v>
      </c>
      <c r="H102" s="6">
        <f t="shared" ca="1" si="25"/>
        <v>94</v>
      </c>
      <c r="I102" s="6" t="str">
        <f t="shared" ca="1" si="26"/>
        <v>RosenMoontach, En deh hittie naw gedonn umdettie Hellemonder is</v>
      </c>
      <c r="J102" s="6"/>
      <c r="K102" s="7">
        <v>0</v>
      </c>
      <c r="L102" s="7">
        <f t="shared" ca="1" si="27"/>
        <v>0</v>
      </c>
      <c r="M102" s="7">
        <f t="shared" ca="1" si="28"/>
        <v>0</v>
      </c>
      <c r="N102" s="7">
        <f t="shared" ca="1" si="29"/>
        <v>0</v>
      </c>
      <c r="O102" s="7">
        <f t="shared" ca="1" si="30"/>
        <v>0</v>
      </c>
      <c r="P102" s="7">
        <f t="shared" ca="1" si="31"/>
        <v>0</v>
      </c>
      <c r="Q102" s="7">
        <f t="shared" ca="1" si="32"/>
        <v>0</v>
      </c>
      <c r="R102" s="7">
        <f t="shared" ca="1" si="33"/>
        <v>0</v>
      </c>
      <c r="S102" s="7"/>
      <c r="U102" s="5">
        <f t="shared" ca="1" si="39"/>
        <v>46192.662929050923</v>
      </c>
      <c r="V102">
        <f t="shared" ca="1" si="34"/>
        <v>2026</v>
      </c>
      <c r="W102">
        <f t="shared" ca="1" si="35"/>
        <v>6</v>
      </c>
      <c r="X102">
        <f t="shared" ca="1" si="36"/>
        <v>19</v>
      </c>
      <c r="Z102" t="b">
        <f t="shared" ca="1" si="37"/>
        <v>0</v>
      </c>
      <c r="AA102" t="b">
        <f t="shared" ca="1" si="38"/>
        <v>0</v>
      </c>
      <c r="AI102">
        <v>2028</v>
      </c>
      <c r="AJ102">
        <v>6</v>
      </c>
      <c r="AK102">
        <v>24</v>
      </c>
      <c r="AL102" t="s">
        <v>93</v>
      </c>
      <c r="AM102" t="s">
        <v>158</v>
      </c>
      <c r="AN102" t="s">
        <v>1412</v>
      </c>
      <c r="AO102" s="1">
        <v>61</v>
      </c>
      <c r="AP102" t="s">
        <v>1369</v>
      </c>
    </row>
    <row r="103" spans="2:42" x14ac:dyDescent="0.25">
      <c r="B103" s="6">
        <f t="shared" ref="B103:F112" ca="1" si="43">OFFSET(INDIRECT($B$1),ROW(A101),COLUMN(A101))</f>
        <v>2035</v>
      </c>
      <c r="C103" s="6">
        <f t="shared" ca="1" si="43"/>
        <v>2</v>
      </c>
      <c r="D103" s="6">
        <f t="shared" ca="1" si="43"/>
        <v>5</v>
      </c>
      <c r="E103" s="6" t="str">
        <f t="shared" ca="1" si="43"/>
        <v>MUSIC</v>
      </c>
      <c r="F103" s="6" t="str">
        <f t="shared" ca="1" si="43"/>
        <v>Candy Pink</v>
      </c>
      <c r="G103" s="6" t="str">
        <f t="shared" ca="1" si="24"/>
        <v>Rapid Sparks</v>
      </c>
      <c r="H103" s="6">
        <f t="shared" ca="1" si="25"/>
        <v>115</v>
      </c>
      <c r="I103" s="6" t="str">
        <f t="shared" ca="1" si="26"/>
        <v>RosenMoontach, Agge mar leut heht</v>
      </c>
      <c r="J103" s="6"/>
      <c r="K103" s="7">
        <v>0</v>
      </c>
      <c r="L103" s="7">
        <f t="shared" ca="1" si="27"/>
        <v>0</v>
      </c>
      <c r="M103" s="7">
        <f t="shared" ca="1" si="28"/>
        <v>0</v>
      </c>
      <c r="N103" s="7">
        <f t="shared" ca="1" si="29"/>
        <v>0</v>
      </c>
      <c r="O103" s="7">
        <f t="shared" ca="1" si="30"/>
        <v>0</v>
      </c>
      <c r="P103" s="7">
        <f t="shared" ca="1" si="31"/>
        <v>0</v>
      </c>
      <c r="Q103" s="7">
        <f t="shared" ca="1" si="32"/>
        <v>0</v>
      </c>
      <c r="R103" s="7">
        <f t="shared" ca="1" si="33"/>
        <v>0</v>
      </c>
      <c r="S103" s="7"/>
      <c r="U103" s="5">
        <f t="shared" ca="1" si="39"/>
        <v>46193.662929050923</v>
      </c>
      <c r="V103">
        <f t="shared" ca="1" si="34"/>
        <v>2026</v>
      </c>
      <c r="W103">
        <f t="shared" ca="1" si="35"/>
        <v>6</v>
      </c>
      <c r="X103">
        <f t="shared" ca="1" si="36"/>
        <v>20</v>
      </c>
      <c r="Z103" t="b">
        <f t="shared" ca="1" si="37"/>
        <v>0</v>
      </c>
      <c r="AA103" t="b">
        <f t="shared" ca="1" si="38"/>
        <v>0</v>
      </c>
      <c r="AI103">
        <v>2028</v>
      </c>
      <c r="AJ103">
        <v>7</v>
      </c>
      <c r="AK103">
        <v>1</v>
      </c>
      <c r="AL103" t="s">
        <v>91</v>
      </c>
      <c r="AM103" t="s">
        <v>164</v>
      </c>
      <c r="AN103" t="s">
        <v>85</v>
      </c>
      <c r="AO103" s="1">
        <v>171</v>
      </c>
      <c r="AP103" t="s">
        <v>131</v>
      </c>
    </row>
    <row r="104" spans="2:42" x14ac:dyDescent="0.25">
      <c r="B104" s="6">
        <f t="shared" ca="1" si="43"/>
        <v>2036</v>
      </c>
      <c r="C104" s="6">
        <f t="shared" ca="1" si="43"/>
        <v>2</v>
      </c>
      <c r="D104" s="6">
        <f t="shared" ca="1" si="43"/>
        <v>25</v>
      </c>
      <c r="E104" s="6" t="str">
        <f t="shared" ca="1" si="43"/>
        <v>MUSIC</v>
      </c>
      <c r="F104" s="6" t="str">
        <f t="shared" ca="1" si="43"/>
        <v>Candy Pink</v>
      </c>
      <c r="G104" s="6" t="str">
        <f t="shared" ca="1" si="24"/>
        <v>Rapid Sparks</v>
      </c>
      <c r="H104" s="6">
        <f t="shared" ca="1" si="25"/>
        <v>131</v>
      </c>
      <c r="I104" s="6" t="str">
        <f t="shared" ca="1" si="26"/>
        <v>RosenMoontach, Alaaf!!</v>
      </c>
      <c r="J104" s="6"/>
      <c r="K104" s="7">
        <v>0</v>
      </c>
      <c r="L104" s="7">
        <f t="shared" ca="1" si="27"/>
        <v>0</v>
      </c>
      <c r="M104" s="7">
        <f t="shared" ca="1" si="28"/>
        <v>0</v>
      </c>
      <c r="N104" s="7">
        <f t="shared" ca="1" si="29"/>
        <v>0</v>
      </c>
      <c r="O104" s="7">
        <f t="shared" ca="1" si="30"/>
        <v>0</v>
      </c>
      <c r="P104" s="7">
        <f t="shared" ca="1" si="31"/>
        <v>0</v>
      </c>
      <c r="Q104" s="7">
        <f t="shared" ca="1" si="32"/>
        <v>0</v>
      </c>
      <c r="R104" s="7">
        <f t="shared" ca="1" si="33"/>
        <v>0</v>
      </c>
      <c r="S104" s="7"/>
      <c r="U104" s="5">
        <f t="shared" ca="1" si="39"/>
        <v>46194.662929050923</v>
      </c>
      <c r="V104">
        <f t="shared" ca="1" si="34"/>
        <v>2026</v>
      </c>
      <c r="W104">
        <f t="shared" ca="1" si="35"/>
        <v>6</v>
      </c>
      <c r="X104">
        <f t="shared" ca="1" si="36"/>
        <v>21</v>
      </c>
      <c r="Z104" t="b">
        <f t="shared" ca="1" si="37"/>
        <v>0</v>
      </c>
      <c r="AA104" t="b">
        <f t="shared" ca="1" si="38"/>
        <v>0</v>
      </c>
      <c r="AI104">
        <v>2028</v>
      </c>
      <c r="AJ104">
        <v>8</v>
      </c>
      <c r="AK104">
        <v>1</v>
      </c>
      <c r="AL104" t="s">
        <v>91</v>
      </c>
      <c r="AM104" t="s">
        <v>164</v>
      </c>
      <c r="AN104" t="s">
        <v>85</v>
      </c>
      <c r="AO104" s="1">
        <v>231</v>
      </c>
      <c r="AP104" t="s">
        <v>132</v>
      </c>
    </row>
    <row r="105" spans="2:42" x14ac:dyDescent="0.25">
      <c r="B105" s="6">
        <f t="shared" ca="1" si="43"/>
        <v>2037</v>
      </c>
      <c r="C105" s="6">
        <f t="shared" ca="1" si="43"/>
        <v>2</v>
      </c>
      <c r="D105" s="6">
        <f t="shared" ca="1" si="43"/>
        <v>16</v>
      </c>
      <c r="E105" s="6" t="str">
        <f t="shared" ca="1" si="43"/>
        <v>MUSIC</v>
      </c>
      <c r="F105" s="6" t="str">
        <f t="shared" ca="1" si="43"/>
        <v>Candy Pink</v>
      </c>
      <c r="G105" s="6" t="str">
        <f t="shared" ca="1" si="24"/>
        <v>Rapid Sparks</v>
      </c>
      <c r="H105" s="6">
        <f t="shared" ca="1" si="25"/>
        <v>129</v>
      </c>
      <c r="I105" s="6" t="str">
        <f t="shared" ca="1" si="26"/>
        <v>RosenMoontach, Keiebijters!!</v>
      </c>
      <c r="J105" s="6"/>
      <c r="K105" s="7">
        <v>0</v>
      </c>
      <c r="L105" s="7">
        <f t="shared" ca="1" si="27"/>
        <v>0</v>
      </c>
      <c r="M105" s="7">
        <f t="shared" ca="1" si="28"/>
        <v>0</v>
      </c>
      <c r="N105" s="7">
        <f t="shared" ca="1" si="29"/>
        <v>0</v>
      </c>
      <c r="O105" s="7">
        <f t="shared" ca="1" si="30"/>
        <v>0</v>
      </c>
      <c r="P105" s="7">
        <f t="shared" ca="1" si="31"/>
        <v>0</v>
      </c>
      <c r="Q105" s="7">
        <f t="shared" ca="1" si="32"/>
        <v>0</v>
      </c>
      <c r="R105" s="7">
        <f t="shared" ca="1" si="33"/>
        <v>0</v>
      </c>
      <c r="S105" s="7"/>
      <c r="U105" s="5">
        <f t="shared" ca="1" si="39"/>
        <v>46195.662929050923</v>
      </c>
      <c r="V105">
        <f t="shared" ca="1" si="34"/>
        <v>2026</v>
      </c>
      <c r="W105">
        <f t="shared" ca="1" si="35"/>
        <v>6</v>
      </c>
      <c r="X105">
        <f t="shared" ca="1" si="36"/>
        <v>22</v>
      </c>
      <c r="Z105" t="b">
        <f t="shared" ca="1" si="37"/>
        <v>0</v>
      </c>
      <c r="AA105" t="b">
        <f t="shared" ca="1" si="38"/>
        <v>0</v>
      </c>
      <c r="AI105">
        <v>2028</v>
      </c>
      <c r="AJ105">
        <v>9</v>
      </c>
      <c r="AK105">
        <v>1</v>
      </c>
      <c r="AL105" t="s">
        <v>91</v>
      </c>
      <c r="AM105" t="s">
        <v>164</v>
      </c>
      <c r="AN105" t="s">
        <v>85</v>
      </c>
      <c r="AO105" s="1">
        <v>282</v>
      </c>
      <c r="AP105" t="s">
        <v>133</v>
      </c>
    </row>
    <row r="106" spans="2:42" x14ac:dyDescent="0.25">
      <c r="B106" s="6">
        <f t="shared" ca="1" si="43"/>
        <v>2038</v>
      </c>
      <c r="C106" s="6">
        <f t="shared" ca="1" si="43"/>
        <v>3</v>
      </c>
      <c r="D106" s="6">
        <f t="shared" ca="1" si="43"/>
        <v>8</v>
      </c>
      <c r="E106" s="6" t="str">
        <f t="shared" ca="1" si="43"/>
        <v>MUSIC</v>
      </c>
      <c r="F106" s="6" t="str">
        <f t="shared" ca="1" si="43"/>
        <v>Candy Pink</v>
      </c>
      <c r="G106" s="6" t="str">
        <f t="shared" ca="1" si="24"/>
        <v>Rapid Sparks</v>
      </c>
      <c r="H106" s="6">
        <f t="shared" ca="1" si="25"/>
        <v>110</v>
      </c>
      <c r="I106" s="6" t="str">
        <f t="shared" ca="1" si="26"/>
        <v>RosenMoontach, En deh hittie naw gedonn umdettie Hellemonder is</v>
      </c>
      <c r="J106" s="6"/>
      <c r="K106" s="7">
        <v>0</v>
      </c>
      <c r="L106" s="7">
        <f t="shared" ca="1" si="27"/>
        <v>0</v>
      </c>
      <c r="M106" s="7">
        <f t="shared" ca="1" si="28"/>
        <v>0</v>
      </c>
      <c r="N106" s="7">
        <f t="shared" ca="1" si="29"/>
        <v>0</v>
      </c>
      <c r="O106" s="7">
        <f t="shared" ca="1" si="30"/>
        <v>0</v>
      </c>
      <c r="P106" s="7">
        <f t="shared" ca="1" si="31"/>
        <v>0</v>
      </c>
      <c r="Q106" s="7">
        <f t="shared" ca="1" si="32"/>
        <v>0</v>
      </c>
      <c r="R106" s="7">
        <f t="shared" ca="1" si="33"/>
        <v>0</v>
      </c>
      <c r="S106" s="7"/>
      <c r="U106" s="5">
        <f t="shared" ca="1" si="39"/>
        <v>46196.662929050923</v>
      </c>
      <c r="V106">
        <f t="shared" ca="1" si="34"/>
        <v>2026</v>
      </c>
      <c r="W106">
        <f t="shared" ca="1" si="35"/>
        <v>6</v>
      </c>
      <c r="X106">
        <f t="shared" ca="1" si="36"/>
        <v>23</v>
      </c>
      <c r="Z106" t="b">
        <f t="shared" ca="1" si="37"/>
        <v>0</v>
      </c>
      <c r="AA106" t="b">
        <f t="shared" ca="1" si="38"/>
        <v>0</v>
      </c>
      <c r="AI106">
        <v>2028</v>
      </c>
      <c r="AJ106">
        <v>10</v>
      </c>
      <c r="AK106">
        <v>1</v>
      </c>
      <c r="AL106" t="s">
        <v>91</v>
      </c>
      <c r="AM106" t="s">
        <v>164</v>
      </c>
      <c r="AN106" t="s">
        <v>85</v>
      </c>
      <c r="AO106" s="1">
        <v>277</v>
      </c>
      <c r="AP106" t="s">
        <v>134</v>
      </c>
    </row>
    <row r="107" spans="2:42" x14ac:dyDescent="0.25">
      <c r="B107" s="6">
        <f t="shared" ca="1" si="43"/>
        <v>2026</v>
      </c>
      <c r="C107" s="6">
        <f t="shared" ca="1" si="43"/>
        <v>5</v>
      </c>
      <c r="D107" s="6">
        <f t="shared" ca="1" si="43"/>
        <v>25</v>
      </c>
      <c r="E107" s="6" t="str">
        <f t="shared" ca="1" si="43"/>
        <v>ZEN</v>
      </c>
      <c r="F107" s="6" t="str">
        <f t="shared" ca="1" si="43"/>
        <v>Electric Blue</v>
      </c>
      <c r="G107" s="6" t="str">
        <f t="shared" ca="1" si="24"/>
        <v>Wide Sweep</v>
      </c>
      <c r="H107" s="6">
        <f t="shared" ca="1" si="25"/>
        <v>174</v>
      </c>
      <c r="I107" s="6" t="str">
        <f t="shared" ca="1" si="26"/>
        <v>Nog steeds Pinksteren,  - wat is dat ook weer??</v>
      </c>
      <c r="J107" s="6"/>
      <c r="K107" s="7">
        <v>0</v>
      </c>
      <c r="L107" s="7">
        <f t="shared" ca="1" si="27"/>
        <v>0</v>
      </c>
      <c r="M107" s="7">
        <f t="shared" ca="1" si="28"/>
        <v>0</v>
      </c>
      <c r="N107" s="7">
        <f t="shared" ca="1" si="29"/>
        <v>0</v>
      </c>
      <c r="O107" s="7">
        <f t="shared" ca="1" si="30"/>
        <v>0</v>
      </c>
      <c r="P107" s="7">
        <f t="shared" ca="1" si="31"/>
        <v>0</v>
      </c>
      <c r="Q107" s="7">
        <f t="shared" ca="1" si="32"/>
        <v>0</v>
      </c>
      <c r="R107" s="7">
        <f t="shared" ca="1" si="33"/>
        <v>0</v>
      </c>
      <c r="S107" s="7"/>
      <c r="U107" s="5">
        <f t="shared" ca="1" si="39"/>
        <v>46197.662929050923</v>
      </c>
      <c r="V107">
        <f t="shared" ca="1" si="34"/>
        <v>2026</v>
      </c>
      <c r="W107">
        <f t="shared" ca="1" si="35"/>
        <v>6</v>
      </c>
      <c r="X107">
        <f t="shared" ca="1" si="36"/>
        <v>24</v>
      </c>
      <c r="Z107" t="b">
        <f t="shared" ca="1" si="37"/>
        <v>0</v>
      </c>
      <c r="AA107" t="b">
        <f t="shared" ca="1" si="38"/>
        <v>0</v>
      </c>
      <c r="AI107">
        <v>2028</v>
      </c>
      <c r="AJ107">
        <v>10</v>
      </c>
      <c r="AK107">
        <v>8</v>
      </c>
      <c r="AL107" t="s">
        <v>56</v>
      </c>
      <c r="AM107" t="s">
        <v>184</v>
      </c>
      <c r="AN107" t="s">
        <v>84</v>
      </c>
      <c r="AO107" s="1">
        <v>105</v>
      </c>
      <c r="AP107" t="s">
        <v>135</v>
      </c>
    </row>
    <row r="108" spans="2:42" x14ac:dyDescent="0.25">
      <c r="B108" s="6">
        <f t="shared" ca="1" si="43"/>
        <v>2027</v>
      </c>
      <c r="C108" s="6">
        <f t="shared" ca="1" si="43"/>
        <v>5</v>
      </c>
      <c r="D108" s="6">
        <f t="shared" ca="1" si="43"/>
        <v>17</v>
      </c>
      <c r="E108" s="6" t="str">
        <f t="shared" ca="1" si="43"/>
        <v>ZEN</v>
      </c>
      <c r="F108" s="6" t="str">
        <f t="shared" ca="1" si="43"/>
        <v>Electric Blue</v>
      </c>
      <c r="G108" s="6" t="str">
        <f t="shared" ca="1" si="24"/>
        <v>Wide Sweep</v>
      </c>
      <c r="H108" s="6">
        <f t="shared" ca="1" si="25"/>
        <v>173</v>
      </c>
      <c r="I108" s="6" t="str">
        <f t="shared" ca="1" si="26"/>
        <v>Nog steeds Pinksteren,  - iets met vurige tongen?</v>
      </c>
      <c r="J108" s="6"/>
      <c r="K108" s="7">
        <v>0</v>
      </c>
      <c r="L108" s="7">
        <f t="shared" ca="1" si="27"/>
        <v>0</v>
      </c>
      <c r="M108" s="7">
        <f t="shared" ca="1" si="28"/>
        <v>0</v>
      </c>
      <c r="N108" s="7">
        <f t="shared" ca="1" si="29"/>
        <v>0</v>
      </c>
      <c r="O108" s="7">
        <f t="shared" ca="1" si="30"/>
        <v>0</v>
      </c>
      <c r="P108" s="7">
        <f t="shared" ca="1" si="31"/>
        <v>0</v>
      </c>
      <c r="Q108" s="7">
        <f t="shared" ca="1" si="32"/>
        <v>0</v>
      </c>
      <c r="R108" s="7">
        <f t="shared" ca="1" si="33"/>
        <v>0</v>
      </c>
      <c r="S108" s="7"/>
      <c r="U108" s="5">
        <f t="shared" ca="1" si="39"/>
        <v>46198.662929050923</v>
      </c>
      <c r="V108">
        <f t="shared" ca="1" si="34"/>
        <v>2026</v>
      </c>
      <c r="W108">
        <f t="shared" ca="1" si="35"/>
        <v>6</v>
      </c>
      <c r="X108">
        <f t="shared" ca="1" si="36"/>
        <v>25</v>
      </c>
      <c r="Z108" t="b">
        <f t="shared" ca="1" si="37"/>
        <v>0</v>
      </c>
      <c r="AA108" t="b">
        <f t="shared" ca="1" si="38"/>
        <v>0</v>
      </c>
      <c r="AI108">
        <v>2028</v>
      </c>
      <c r="AJ108">
        <v>11</v>
      </c>
      <c r="AK108">
        <v>1</v>
      </c>
      <c r="AL108" t="s">
        <v>91</v>
      </c>
      <c r="AM108" t="s">
        <v>164</v>
      </c>
      <c r="AN108" t="s">
        <v>85</v>
      </c>
      <c r="AO108" s="1">
        <v>221</v>
      </c>
      <c r="AP108" t="s">
        <v>136</v>
      </c>
    </row>
    <row r="109" spans="2:42" x14ac:dyDescent="0.25">
      <c r="B109" s="6">
        <f t="shared" ca="1" si="43"/>
        <v>2028</v>
      </c>
      <c r="C109" s="6">
        <f t="shared" ca="1" si="43"/>
        <v>6</v>
      </c>
      <c r="D109" s="6">
        <f t="shared" ca="1" si="43"/>
        <v>5</v>
      </c>
      <c r="E109" s="6" t="str">
        <f t="shared" ca="1" si="43"/>
        <v>ZEN</v>
      </c>
      <c r="F109" s="6" t="str">
        <f t="shared" ca="1" si="43"/>
        <v>Electric Blue</v>
      </c>
      <c r="G109" s="6" t="str">
        <f t="shared" ca="1" si="24"/>
        <v>Wide Sweep</v>
      </c>
      <c r="H109" s="6">
        <f t="shared" ca="1" si="25"/>
        <v>206</v>
      </c>
      <c r="I109" s="6" t="str">
        <f t="shared" ca="1" si="26"/>
        <v>Nog steeds Pinksteren,  - de Heilige Geest zien vliegen???</v>
      </c>
      <c r="J109" s="6"/>
      <c r="K109" s="7">
        <v>0</v>
      </c>
      <c r="L109" s="7">
        <f t="shared" ca="1" si="27"/>
        <v>0</v>
      </c>
      <c r="M109" s="7">
        <f t="shared" ca="1" si="28"/>
        <v>0</v>
      </c>
      <c r="N109" s="7">
        <f t="shared" ca="1" si="29"/>
        <v>0</v>
      </c>
      <c r="O109" s="7">
        <f t="shared" ca="1" si="30"/>
        <v>0</v>
      </c>
      <c r="P109" s="7">
        <f t="shared" ca="1" si="31"/>
        <v>0</v>
      </c>
      <c r="Q109" s="7">
        <f t="shared" ca="1" si="32"/>
        <v>0</v>
      </c>
      <c r="R109" s="7">
        <f t="shared" ca="1" si="33"/>
        <v>0</v>
      </c>
      <c r="S109" s="7"/>
      <c r="U109" s="5">
        <f t="shared" ca="1" si="39"/>
        <v>46199.662929050923</v>
      </c>
      <c r="V109">
        <f t="shared" ca="1" si="34"/>
        <v>2026</v>
      </c>
      <c r="W109">
        <f t="shared" ca="1" si="35"/>
        <v>6</v>
      </c>
      <c r="X109">
        <f t="shared" ca="1" si="36"/>
        <v>26</v>
      </c>
      <c r="Z109" t="b">
        <f t="shared" ca="1" si="37"/>
        <v>0</v>
      </c>
      <c r="AA109" t="b">
        <f t="shared" ca="1" si="38"/>
        <v>0</v>
      </c>
      <c r="AI109">
        <v>2028</v>
      </c>
      <c r="AJ109">
        <v>12</v>
      </c>
      <c r="AK109">
        <v>1</v>
      </c>
      <c r="AL109" t="s">
        <v>91</v>
      </c>
      <c r="AM109" t="s">
        <v>164</v>
      </c>
      <c r="AN109" t="s">
        <v>85</v>
      </c>
      <c r="AO109" s="1">
        <v>165</v>
      </c>
      <c r="AP109" t="s">
        <v>137</v>
      </c>
    </row>
    <row r="110" spans="2:42" x14ac:dyDescent="0.25">
      <c r="B110" s="6">
        <f t="shared" ca="1" si="43"/>
        <v>2029</v>
      </c>
      <c r="C110" s="6">
        <f t="shared" ca="1" si="43"/>
        <v>5</v>
      </c>
      <c r="D110" s="6">
        <f t="shared" ca="1" si="43"/>
        <v>21</v>
      </c>
      <c r="E110" s="6" t="str">
        <f t="shared" ca="1" si="43"/>
        <v>ZEN</v>
      </c>
      <c r="F110" s="6" t="str">
        <f t="shared" ca="1" si="43"/>
        <v>Electric Blue</v>
      </c>
      <c r="G110" s="6" t="str">
        <f t="shared" ca="1" si="24"/>
        <v>Wide Sweep</v>
      </c>
      <c r="H110" s="6">
        <f t="shared" ca="1" si="25"/>
        <v>244</v>
      </c>
      <c r="I110" s="6" t="str">
        <f t="shared" ca="1" si="26"/>
        <v>Nog steeds Pinksteren</v>
      </c>
      <c r="J110" s="6"/>
      <c r="K110" s="7">
        <v>0</v>
      </c>
      <c r="L110" s="7">
        <f t="shared" ca="1" si="27"/>
        <v>0</v>
      </c>
      <c r="M110" s="7">
        <f t="shared" ca="1" si="28"/>
        <v>0</v>
      </c>
      <c r="N110" s="7">
        <f t="shared" ca="1" si="29"/>
        <v>0</v>
      </c>
      <c r="O110" s="7">
        <f t="shared" ca="1" si="30"/>
        <v>0</v>
      </c>
      <c r="P110" s="7">
        <f t="shared" ca="1" si="31"/>
        <v>0</v>
      </c>
      <c r="Q110" s="7">
        <f t="shared" ca="1" si="32"/>
        <v>0</v>
      </c>
      <c r="R110" s="7">
        <f t="shared" ca="1" si="33"/>
        <v>0</v>
      </c>
      <c r="S110" s="7"/>
      <c r="U110" s="5">
        <f t="shared" ca="1" si="39"/>
        <v>46200.662929050923</v>
      </c>
      <c r="V110">
        <f t="shared" ca="1" si="34"/>
        <v>2026</v>
      </c>
      <c r="W110">
        <f t="shared" ca="1" si="35"/>
        <v>6</v>
      </c>
      <c r="X110">
        <f t="shared" ca="1" si="36"/>
        <v>27</v>
      </c>
      <c r="Z110" t="b">
        <f t="shared" ca="1" si="37"/>
        <v>0</v>
      </c>
      <c r="AA110" t="b">
        <f t="shared" ca="1" si="38"/>
        <v>0</v>
      </c>
      <c r="AI110">
        <v>2028</v>
      </c>
      <c r="AJ110">
        <v>12</v>
      </c>
      <c r="AK110">
        <v>5</v>
      </c>
      <c r="AL110" t="s">
        <v>53</v>
      </c>
      <c r="AM110" t="s">
        <v>224</v>
      </c>
      <c r="AN110" t="s">
        <v>258</v>
      </c>
      <c r="AO110" s="1">
        <v>113</v>
      </c>
      <c r="AP110" t="s">
        <v>1234</v>
      </c>
    </row>
    <row r="111" spans="2:42" x14ac:dyDescent="0.25">
      <c r="B111" s="6">
        <f t="shared" ca="1" si="43"/>
        <v>2030</v>
      </c>
      <c r="C111" s="6">
        <f t="shared" ca="1" si="43"/>
        <v>6</v>
      </c>
      <c r="D111" s="6">
        <f t="shared" ca="1" si="43"/>
        <v>10</v>
      </c>
      <c r="E111" s="6" t="str">
        <f t="shared" ca="1" si="43"/>
        <v>ZEN</v>
      </c>
      <c r="F111" s="6" t="str">
        <f t="shared" ca="1" si="43"/>
        <v>Electric Blue</v>
      </c>
      <c r="G111" s="6" t="str">
        <f t="shared" ca="1" si="24"/>
        <v>Wide Sweep</v>
      </c>
      <c r="H111" s="6">
        <f t="shared" ca="1" si="25"/>
        <v>250</v>
      </c>
      <c r="I111" s="6" t="str">
        <f t="shared" ca="1" si="26"/>
        <v>Nog steeds Pinksteren,  - wat is dat ook weer??</v>
      </c>
      <c r="J111" s="6"/>
      <c r="K111" s="7">
        <v>0</v>
      </c>
      <c r="L111" s="7">
        <f t="shared" ca="1" si="27"/>
        <v>0</v>
      </c>
      <c r="M111" s="7">
        <f t="shared" ca="1" si="28"/>
        <v>0</v>
      </c>
      <c r="N111" s="7">
        <f t="shared" ca="1" si="29"/>
        <v>0</v>
      </c>
      <c r="O111" s="7">
        <f t="shared" ca="1" si="30"/>
        <v>0</v>
      </c>
      <c r="P111" s="7">
        <f t="shared" ca="1" si="31"/>
        <v>0</v>
      </c>
      <c r="Q111" s="7">
        <f t="shared" ca="1" si="32"/>
        <v>0</v>
      </c>
      <c r="R111" s="7">
        <f t="shared" ca="1" si="33"/>
        <v>0</v>
      </c>
      <c r="S111" s="7"/>
      <c r="U111" s="5">
        <f t="shared" ca="1" si="39"/>
        <v>46201.662929050923</v>
      </c>
      <c r="V111">
        <f t="shared" ca="1" si="34"/>
        <v>2026</v>
      </c>
      <c r="W111">
        <f t="shared" ca="1" si="35"/>
        <v>6</v>
      </c>
      <c r="X111">
        <f t="shared" ca="1" si="36"/>
        <v>28</v>
      </c>
      <c r="Z111" t="b">
        <f t="shared" ca="1" si="37"/>
        <v>0</v>
      </c>
      <c r="AA111" t="b">
        <f t="shared" ca="1" si="38"/>
        <v>0</v>
      </c>
      <c r="AI111">
        <v>2028</v>
      </c>
      <c r="AJ111">
        <v>12</v>
      </c>
      <c r="AK111">
        <v>13</v>
      </c>
      <c r="AL111" t="s">
        <v>56</v>
      </c>
      <c r="AM111" t="s">
        <v>184</v>
      </c>
      <c r="AN111" t="s">
        <v>84</v>
      </c>
      <c r="AO111" s="1">
        <v>114</v>
      </c>
      <c r="AP111" t="s">
        <v>138</v>
      </c>
    </row>
    <row r="112" spans="2:42" x14ac:dyDescent="0.25">
      <c r="B112" s="6">
        <f t="shared" ca="1" si="43"/>
        <v>2031</v>
      </c>
      <c r="C112" s="6">
        <f t="shared" ca="1" si="43"/>
        <v>6</v>
      </c>
      <c r="D112" s="6">
        <f t="shared" ca="1" si="43"/>
        <v>2</v>
      </c>
      <c r="E112" s="6" t="str">
        <f t="shared" ca="1" si="43"/>
        <v>ZEN</v>
      </c>
      <c r="F112" s="6" t="str">
        <f t="shared" ca="1" si="43"/>
        <v>Electric Blue</v>
      </c>
      <c r="G112" s="6" t="str">
        <f t="shared" ca="1" si="24"/>
        <v>Wide Sweep</v>
      </c>
      <c r="H112" s="6">
        <f t="shared" ca="1" si="25"/>
        <v>220</v>
      </c>
      <c r="I112" s="6" t="str">
        <f t="shared" ca="1" si="26"/>
        <v>Nog steeds Pinksteren,  - iets met vurige tongen?</v>
      </c>
      <c r="J112" s="6"/>
      <c r="K112" s="7">
        <v>0</v>
      </c>
      <c r="L112" s="7">
        <f t="shared" ca="1" si="27"/>
        <v>0</v>
      </c>
      <c r="M112" s="7">
        <f t="shared" ca="1" si="28"/>
        <v>0</v>
      </c>
      <c r="N112" s="7">
        <f t="shared" ca="1" si="29"/>
        <v>0</v>
      </c>
      <c r="O112" s="7">
        <f t="shared" ca="1" si="30"/>
        <v>0</v>
      </c>
      <c r="P112" s="7">
        <f t="shared" ca="1" si="31"/>
        <v>0</v>
      </c>
      <c r="Q112" s="7">
        <f t="shared" ca="1" si="32"/>
        <v>0</v>
      </c>
      <c r="R112" s="7">
        <f t="shared" ca="1" si="33"/>
        <v>0</v>
      </c>
      <c r="S112" s="7"/>
      <c r="U112" s="5">
        <f t="shared" ca="1" si="39"/>
        <v>46202.662929050923</v>
      </c>
      <c r="V112">
        <f t="shared" ca="1" si="34"/>
        <v>2026</v>
      </c>
      <c r="W112">
        <f t="shared" ca="1" si="35"/>
        <v>6</v>
      </c>
      <c r="X112">
        <f t="shared" ca="1" si="36"/>
        <v>29</v>
      </c>
      <c r="Z112" t="b">
        <f t="shared" ca="1" si="37"/>
        <v>0</v>
      </c>
      <c r="AA112" t="b">
        <f t="shared" ca="1" si="38"/>
        <v>0</v>
      </c>
      <c r="AI112">
        <v>2028</v>
      </c>
      <c r="AJ112">
        <v>12</v>
      </c>
      <c r="AK112">
        <v>25</v>
      </c>
      <c r="AL112" t="s">
        <v>43</v>
      </c>
      <c r="AM112" t="s">
        <v>230</v>
      </c>
      <c r="AN112" t="s">
        <v>1411</v>
      </c>
      <c r="AO112" s="1">
        <v>95</v>
      </c>
      <c r="AP112" t="s">
        <v>7</v>
      </c>
    </row>
    <row r="113" spans="2:42" x14ac:dyDescent="0.25">
      <c r="B113" s="6">
        <f t="shared" ref="B113:F122" ca="1" si="44">OFFSET(INDIRECT($B$1),ROW(A111),COLUMN(A111))</f>
        <v>2032</v>
      </c>
      <c r="C113" s="6">
        <f t="shared" ca="1" si="44"/>
        <v>5</v>
      </c>
      <c r="D113" s="6">
        <f t="shared" ca="1" si="44"/>
        <v>17</v>
      </c>
      <c r="E113" s="6" t="str">
        <f t="shared" ca="1" si="44"/>
        <v>ZEN</v>
      </c>
      <c r="F113" s="6" t="str">
        <f t="shared" ca="1" si="44"/>
        <v>Electric Blue</v>
      </c>
      <c r="G113" s="6" t="str">
        <f t="shared" ca="1" si="24"/>
        <v>Wide Sweep</v>
      </c>
      <c r="H113" s="6">
        <f t="shared" ca="1" si="25"/>
        <v>181</v>
      </c>
      <c r="I113" s="6" t="str">
        <f t="shared" ca="1" si="26"/>
        <v>Nog steeds Pinksteren,  - de Heilige Geest zien vliegen???</v>
      </c>
      <c r="J113" s="6"/>
      <c r="K113" s="7">
        <v>0</v>
      </c>
      <c r="L113" s="7">
        <f t="shared" ca="1" si="27"/>
        <v>0</v>
      </c>
      <c r="M113" s="7">
        <f t="shared" ca="1" si="28"/>
        <v>0</v>
      </c>
      <c r="N113" s="7">
        <f t="shared" ca="1" si="29"/>
        <v>0</v>
      </c>
      <c r="O113" s="7">
        <f t="shared" ca="1" si="30"/>
        <v>0</v>
      </c>
      <c r="P113" s="7">
        <f t="shared" ca="1" si="31"/>
        <v>0</v>
      </c>
      <c r="Q113" s="7">
        <f t="shared" ca="1" si="32"/>
        <v>0</v>
      </c>
      <c r="R113" s="7">
        <f t="shared" ca="1" si="33"/>
        <v>0</v>
      </c>
      <c r="S113" s="7"/>
      <c r="U113" s="5">
        <f t="shared" ca="1" si="39"/>
        <v>46203.662929050923</v>
      </c>
      <c r="V113">
        <f t="shared" ca="1" si="34"/>
        <v>2026</v>
      </c>
      <c r="W113">
        <f t="shared" ca="1" si="35"/>
        <v>6</v>
      </c>
      <c r="X113">
        <f t="shared" ca="1" si="36"/>
        <v>30</v>
      </c>
      <c r="Z113" t="b">
        <f t="shared" ca="1" si="37"/>
        <v>0</v>
      </c>
      <c r="AA113" t="b">
        <f t="shared" ca="1" si="38"/>
        <v>0</v>
      </c>
      <c r="AI113">
        <v>2028</v>
      </c>
      <c r="AJ113">
        <v>12</v>
      </c>
      <c r="AK113">
        <v>26</v>
      </c>
      <c r="AL113" t="s">
        <v>43</v>
      </c>
      <c r="AM113" t="s">
        <v>201</v>
      </c>
      <c r="AN113" t="s">
        <v>86</v>
      </c>
      <c r="AO113" s="1">
        <v>108</v>
      </c>
      <c r="AP113" t="s">
        <v>78</v>
      </c>
    </row>
    <row r="114" spans="2:42" x14ac:dyDescent="0.25">
      <c r="B114" s="6">
        <f t="shared" ca="1" si="44"/>
        <v>2033</v>
      </c>
      <c r="C114" s="6">
        <f t="shared" ca="1" si="44"/>
        <v>6</v>
      </c>
      <c r="D114" s="6">
        <f t="shared" ca="1" si="44"/>
        <v>6</v>
      </c>
      <c r="E114" s="6" t="str">
        <f t="shared" ca="1" si="44"/>
        <v>ZEN</v>
      </c>
      <c r="F114" s="6" t="str">
        <f t="shared" ca="1" si="44"/>
        <v>Electric Blue</v>
      </c>
      <c r="G114" s="6" t="str">
        <f t="shared" ca="1" si="24"/>
        <v>Wide Sweep</v>
      </c>
      <c r="H114" s="6">
        <f t="shared" ca="1" si="25"/>
        <v>169</v>
      </c>
      <c r="I114" s="6" t="str">
        <f t="shared" ca="1" si="26"/>
        <v>Nog steeds Pinksteren</v>
      </c>
      <c r="J114" s="6"/>
      <c r="K114" s="7">
        <v>0</v>
      </c>
      <c r="L114" s="7">
        <f t="shared" ca="1" si="27"/>
        <v>0</v>
      </c>
      <c r="M114" s="7">
        <f t="shared" ca="1" si="28"/>
        <v>0</v>
      </c>
      <c r="N114" s="7">
        <f t="shared" ca="1" si="29"/>
        <v>0</v>
      </c>
      <c r="O114" s="7">
        <f t="shared" ca="1" si="30"/>
        <v>0</v>
      </c>
      <c r="P114" s="7">
        <f t="shared" ca="1" si="31"/>
        <v>0</v>
      </c>
      <c r="Q114" s="7">
        <f t="shared" ca="1" si="32"/>
        <v>0</v>
      </c>
      <c r="R114" s="7">
        <f t="shared" ca="1" si="33"/>
        <v>0</v>
      </c>
      <c r="S114" s="7"/>
      <c r="U114" s="5">
        <f t="shared" ca="1" si="39"/>
        <v>46204.662929050923</v>
      </c>
      <c r="V114">
        <f t="shared" ca="1" si="34"/>
        <v>2026</v>
      </c>
      <c r="W114">
        <f t="shared" ca="1" si="35"/>
        <v>7</v>
      </c>
      <c r="X114">
        <f t="shared" ca="1" si="36"/>
        <v>1</v>
      </c>
      <c r="Z114" t="b">
        <f t="shared" ca="1" si="37"/>
        <v>0</v>
      </c>
      <c r="AA114" t="b">
        <f t="shared" ca="1" si="38"/>
        <v>0</v>
      </c>
      <c r="AI114">
        <v>2028</v>
      </c>
      <c r="AJ114">
        <v>12</v>
      </c>
      <c r="AK114">
        <v>28</v>
      </c>
      <c r="AL114" t="s">
        <v>52</v>
      </c>
      <c r="AM114" t="s">
        <v>245</v>
      </c>
      <c r="AN114" t="s">
        <v>1411</v>
      </c>
      <c r="AO114" s="1">
        <v>77</v>
      </c>
      <c r="AP114" t="s">
        <v>1367</v>
      </c>
    </row>
    <row r="115" spans="2:42" x14ac:dyDescent="0.25">
      <c r="B115" s="6">
        <f t="shared" ca="1" si="44"/>
        <v>2034</v>
      </c>
      <c r="C115" s="6">
        <f t="shared" ca="1" si="44"/>
        <v>5</v>
      </c>
      <c r="D115" s="6">
        <f t="shared" ca="1" si="44"/>
        <v>29</v>
      </c>
      <c r="E115" s="6" t="str">
        <f t="shared" ca="1" si="44"/>
        <v>ZEN</v>
      </c>
      <c r="F115" s="6" t="str">
        <f t="shared" ca="1" si="44"/>
        <v>Electric Blue</v>
      </c>
      <c r="G115" s="6" t="str">
        <f t="shared" ca="1" si="24"/>
        <v>Wide Sweep</v>
      </c>
      <c r="H115" s="6">
        <f t="shared" ca="1" si="25"/>
        <v>195</v>
      </c>
      <c r="I115" s="6" t="str">
        <f t="shared" ca="1" si="26"/>
        <v>Nog steeds Pinksteren,  - wat is dat ook weer??</v>
      </c>
      <c r="J115" s="6"/>
      <c r="K115" s="7">
        <v>0</v>
      </c>
      <c r="L115" s="7">
        <f t="shared" ca="1" si="27"/>
        <v>0</v>
      </c>
      <c r="M115" s="7">
        <f t="shared" ca="1" si="28"/>
        <v>0</v>
      </c>
      <c r="N115" s="7">
        <f t="shared" ca="1" si="29"/>
        <v>0</v>
      </c>
      <c r="O115" s="7">
        <f t="shared" ca="1" si="30"/>
        <v>0</v>
      </c>
      <c r="P115" s="7">
        <f t="shared" ca="1" si="31"/>
        <v>0</v>
      </c>
      <c r="Q115" s="7">
        <f t="shared" ca="1" si="32"/>
        <v>0</v>
      </c>
      <c r="R115" s="7">
        <f t="shared" ca="1" si="33"/>
        <v>0</v>
      </c>
      <c r="S115" s="7"/>
      <c r="U115" s="5">
        <f t="shared" ca="1" si="39"/>
        <v>46205.662929050923</v>
      </c>
      <c r="V115">
        <f t="shared" ca="1" si="34"/>
        <v>2026</v>
      </c>
      <c r="W115">
        <f t="shared" ca="1" si="35"/>
        <v>7</v>
      </c>
      <c r="X115">
        <f t="shared" ca="1" si="36"/>
        <v>2</v>
      </c>
      <c r="Z115" t="b">
        <f t="shared" ca="1" si="37"/>
        <v>0</v>
      </c>
      <c r="AA115" t="b">
        <f t="shared" ca="1" si="38"/>
        <v>0</v>
      </c>
      <c r="AI115">
        <v>2029</v>
      </c>
      <c r="AJ115">
        <v>1</v>
      </c>
      <c r="AK115">
        <v>1</v>
      </c>
      <c r="AL115" t="s">
        <v>93</v>
      </c>
      <c r="AM115" t="s">
        <v>256</v>
      </c>
      <c r="AN115" t="s">
        <v>83</v>
      </c>
      <c r="AO115" s="1">
        <v>77</v>
      </c>
      <c r="AP115" t="s">
        <v>8</v>
      </c>
    </row>
    <row r="116" spans="2:42" x14ac:dyDescent="0.25">
      <c r="B116" s="6">
        <f t="shared" ca="1" si="44"/>
        <v>2035</v>
      </c>
      <c r="C116" s="6">
        <f t="shared" ca="1" si="44"/>
        <v>5</v>
      </c>
      <c r="D116" s="6">
        <f t="shared" ca="1" si="44"/>
        <v>14</v>
      </c>
      <c r="E116" s="6" t="str">
        <f t="shared" ca="1" si="44"/>
        <v>ZEN</v>
      </c>
      <c r="F116" s="6" t="str">
        <f t="shared" ca="1" si="44"/>
        <v>Electric Blue</v>
      </c>
      <c r="G116" s="6" t="str">
        <f t="shared" ca="1" si="24"/>
        <v>Wide Sweep</v>
      </c>
      <c r="H116" s="6">
        <f t="shared" ca="1" si="25"/>
        <v>235</v>
      </c>
      <c r="I116" s="6" t="str">
        <f t="shared" ca="1" si="26"/>
        <v>Nog steeds Pinksteren,  - iets met vurige tongen?</v>
      </c>
      <c r="J116" s="6"/>
      <c r="K116" s="7">
        <v>0</v>
      </c>
      <c r="L116" s="7">
        <f t="shared" ca="1" si="27"/>
        <v>0</v>
      </c>
      <c r="M116" s="7">
        <f t="shared" ca="1" si="28"/>
        <v>0</v>
      </c>
      <c r="N116" s="7">
        <f t="shared" ca="1" si="29"/>
        <v>0</v>
      </c>
      <c r="O116" s="7">
        <f t="shared" ca="1" si="30"/>
        <v>0</v>
      </c>
      <c r="P116" s="7">
        <f t="shared" ca="1" si="31"/>
        <v>0</v>
      </c>
      <c r="Q116" s="7">
        <f t="shared" ca="1" si="32"/>
        <v>0</v>
      </c>
      <c r="R116" s="7">
        <f t="shared" ca="1" si="33"/>
        <v>0</v>
      </c>
      <c r="S116" s="7"/>
      <c r="U116" s="5">
        <f t="shared" ca="1" si="39"/>
        <v>46206.662929050923</v>
      </c>
      <c r="V116">
        <f t="shared" ca="1" si="34"/>
        <v>2026</v>
      </c>
      <c r="W116">
        <f t="shared" ca="1" si="35"/>
        <v>7</v>
      </c>
      <c r="X116">
        <f t="shared" ca="1" si="36"/>
        <v>3</v>
      </c>
      <c r="Z116" t="b">
        <f t="shared" ca="1" si="37"/>
        <v>0</v>
      </c>
      <c r="AA116" t="b">
        <f t="shared" ca="1" si="38"/>
        <v>0</v>
      </c>
      <c r="AI116">
        <v>2029</v>
      </c>
      <c r="AJ116">
        <v>2</v>
      </c>
      <c r="AK116">
        <v>1</v>
      </c>
      <c r="AL116" t="s">
        <v>91</v>
      </c>
      <c r="AM116" t="s">
        <v>164</v>
      </c>
      <c r="AN116" t="s">
        <v>85</v>
      </c>
      <c r="AO116" s="1">
        <v>249</v>
      </c>
      <c r="AP116" t="s">
        <v>1487</v>
      </c>
    </row>
    <row r="117" spans="2:42" x14ac:dyDescent="0.25">
      <c r="B117" s="6">
        <f t="shared" ca="1" si="44"/>
        <v>2036</v>
      </c>
      <c r="C117" s="6">
        <f t="shared" ca="1" si="44"/>
        <v>6</v>
      </c>
      <c r="D117" s="6">
        <f t="shared" ca="1" si="44"/>
        <v>2</v>
      </c>
      <c r="E117" s="6" t="str">
        <f t="shared" ca="1" si="44"/>
        <v>ZEN</v>
      </c>
      <c r="F117" s="6" t="str">
        <f t="shared" ca="1" si="44"/>
        <v>Electric Blue</v>
      </c>
      <c r="G117" s="6" t="str">
        <f t="shared" ca="1" si="24"/>
        <v>Wide Sweep</v>
      </c>
      <c r="H117" s="6">
        <f t="shared" ca="1" si="25"/>
        <v>253</v>
      </c>
      <c r="I117" s="6" t="str">
        <f t="shared" ca="1" si="26"/>
        <v>Nog steeds Pinksteren,  - de Heilige Geest zien vliegen???</v>
      </c>
      <c r="J117" s="6"/>
      <c r="K117" s="7">
        <v>0</v>
      </c>
      <c r="L117" s="7">
        <f t="shared" ca="1" si="27"/>
        <v>0</v>
      </c>
      <c r="M117" s="7">
        <f t="shared" ca="1" si="28"/>
        <v>0</v>
      </c>
      <c r="N117" s="7">
        <f t="shared" ca="1" si="29"/>
        <v>0</v>
      </c>
      <c r="O117" s="7">
        <f t="shared" ca="1" si="30"/>
        <v>0</v>
      </c>
      <c r="P117" s="7">
        <f t="shared" ca="1" si="31"/>
        <v>0</v>
      </c>
      <c r="Q117" s="7">
        <f t="shared" ca="1" si="32"/>
        <v>0</v>
      </c>
      <c r="R117" s="7">
        <f t="shared" ca="1" si="33"/>
        <v>0</v>
      </c>
      <c r="S117" s="7"/>
      <c r="U117" s="5">
        <f t="shared" ca="1" si="39"/>
        <v>46207.662929050923</v>
      </c>
      <c r="V117">
        <f t="shared" ca="1" si="34"/>
        <v>2026</v>
      </c>
      <c r="W117">
        <f t="shared" ca="1" si="35"/>
        <v>7</v>
      </c>
      <c r="X117">
        <f t="shared" ca="1" si="36"/>
        <v>4</v>
      </c>
      <c r="Z117" t="b">
        <f t="shared" ca="1" si="37"/>
        <v>0</v>
      </c>
      <c r="AA117" t="b">
        <f t="shared" ca="1" si="38"/>
        <v>0</v>
      </c>
      <c r="AI117">
        <v>2029</v>
      </c>
      <c r="AJ117">
        <v>2</v>
      </c>
      <c r="AK117">
        <v>11</v>
      </c>
      <c r="AL117" t="s">
        <v>93</v>
      </c>
      <c r="AM117" t="s">
        <v>164</v>
      </c>
      <c r="AN117" t="s">
        <v>84</v>
      </c>
      <c r="AO117" s="1">
        <v>82</v>
      </c>
      <c r="AP117" t="s">
        <v>1499</v>
      </c>
    </row>
    <row r="118" spans="2:42" x14ac:dyDescent="0.25">
      <c r="B118" s="6">
        <f t="shared" ca="1" si="44"/>
        <v>2037</v>
      </c>
      <c r="C118" s="6">
        <f t="shared" ca="1" si="44"/>
        <v>5</v>
      </c>
      <c r="D118" s="6">
        <f t="shared" ca="1" si="44"/>
        <v>25</v>
      </c>
      <c r="E118" s="6" t="str">
        <f t="shared" ca="1" si="44"/>
        <v>ZEN</v>
      </c>
      <c r="F118" s="6" t="str">
        <f t="shared" ca="1" si="44"/>
        <v>Electric Blue</v>
      </c>
      <c r="G118" s="6" t="str">
        <f t="shared" ca="1" si="24"/>
        <v>Wide Sweep</v>
      </c>
      <c r="H118" s="6">
        <f t="shared" ca="1" si="25"/>
        <v>232</v>
      </c>
      <c r="I118" s="6" t="str">
        <f t="shared" ca="1" si="26"/>
        <v>Nog steeds Pinksteren</v>
      </c>
      <c r="J118" s="6"/>
      <c r="K118" s="7">
        <v>0</v>
      </c>
      <c r="L118" s="7">
        <f t="shared" ca="1" si="27"/>
        <v>0</v>
      </c>
      <c r="M118" s="7">
        <f t="shared" ca="1" si="28"/>
        <v>0</v>
      </c>
      <c r="N118" s="7">
        <f t="shared" ca="1" si="29"/>
        <v>0</v>
      </c>
      <c r="O118" s="7">
        <f t="shared" ca="1" si="30"/>
        <v>0</v>
      </c>
      <c r="P118" s="7">
        <f t="shared" ca="1" si="31"/>
        <v>0</v>
      </c>
      <c r="Q118" s="7">
        <f t="shared" ca="1" si="32"/>
        <v>0</v>
      </c>
      <c r="R118" s="7">
        <f t="shared" ca="1" si="33"/>
        <v>0</v>
      </c>
      <c r="S118" s="7"/>
      <c r="U118" s="5">
        <f t="shared" ca="1" si="39"/>
        <v>46208.662929050923</v>
      </c>
      <c r="V118">
        <f t="shared" ca="1" si="34"/>
        <v>2026</v>
      </c>
      <c r="W118">
        <f t="shared" ca="1" si="35"/>
        <v>7</v>
      </c>
      <c r="X118">
        <f t="shared" ca="1" si="36"/>
        <v>5</v>
      </c>
      <c r="Z118" t="b">
        <f t="shared" ca="1" si="37"/>
        <v>0</v>
      </c>
      <c r="AA118" t="b">
        <f t="shared" ca="1" si="38"/>
        <v>0</v>
      </c>
      <c r="AI118">
        <v>2029</v>
      </c>
      <c r="AJ118">
        <v>2</v>
      </c>
      <c r="AK118">
        <v>11</v>
      </c>
      <c r="AL118" t="s">
        <v>93</v>
      </c>
      <c r="AM118" t="s">
        <v>164</v>
      </c>
      <c r="AN118" t="s">
        <v>84</v>
      </c>
      <c r="AO118" s="1">
        <v>99</v>
      </c>
      <c r="AP118" t="s">
        <v>1496</v>
      </c>
    </row>
    <row r="119" spans="2:42" x14ac:dyDescent="0.25">
      <c r="B119" s="6">
        <f t="shared" ca="1" si="44"/>
        <v>2038</v>
      </c>
      <c r="C119" s="6">
        <f t="shared" ca="1" si="44"/>
        <v>6</v>
      </c>
      <c r="D119" s="6">
        <f t="shared" ca="1" si="44"/>
        <v>14</v>
      </c>
      <c r="E119" s="6" t="str">
        <f t="shared" ca="1" si="44"/>
        <v>ZEN</v>
      </c>
      <c r="F119" s="6" t="str">
        <f t="shared" ca="1" si="44"/>
        <v>Electric Blue</v>
      </c>
      <c r="G119" s="6" t="str">
        <f t="shared" ca="1" si="24"/>
        <v>Wide Sweep</v>
      </c>
      <c r="H119" s="6">
        <f t="shared" ca="1" si="25"/>
        <v>191</v>
      </c>
      <c r="I119" s="6" t="str">
        <f t="shared" ca="1" si="26"/>
        <v>Nog steeds Pinksteren,  - wat is dat ook weer??</v>
      </c>
      <c r="J119" s="6"/>
      <c r="K119" s="7">
        <v>0</v>
      </c>
      <c r="L119" s="7">
        <f t="shared" ca="1" si="27"/>
        <v>0</v>
      </c>
      <c r="M119" s="7">
        <f t="shared" ca="1" si="28"/>
        <v>0</v>
      </c>
      <c r="N119" s="7">
        <f t="shared" ca="1" si="29"/>
        <v>0</v>
      </c>
      <c r="O119" s="7">
        <f t="shared" ca="1" si="30"/>
        <v>0</v>
      </c>
      <c r="P119" s="7">
        <f t="shared" ca="1" si="31"/>
        <v>0</v>
      </c>
      <c r="Q119" s="7">
        <f t="shared" ca="1" si="32"/>
        <v>0</v>
      </c>
      <c r="R119" s="7">
        <f t="shared" ca="1" si="33"/>
        <v>0</v>
      </c>
      <c r="S119" s="7"/>
      <c r="U119" s="5">
        <f t="shared" ca="1" si="39"/>
        <v>46209.662929050923</v>
      </c>
      <c r="V119">
        <f t="shared" ca="1" si="34"/>
        <v>2026</v>
      </c>
      <c r="W119">
        <f t="shared" ca="1" si="35"/>
        <v>7</v>
      </c>
      <c r="X119">
        <f t="shared" ca="1" si="36"/>
        <v>6</v>
      </c>
      <c r="Z119" t="b">
        <f t="shared" ca="1" si="37"/>
        <v>0</v>
      </c>
      <c r="AA119" t="b">
        <f t="shared" ca="1" si="38"/>
        <v>0</v>
      </c>
      <c r="AI119">
        <v>2029</v>
      </c>
      <c r="AJ119">
        <v>2</v>
      </c>
      <c r="AK119">
        <v>12</v>
      </c>
      <c r="AL119" t="s">
        <v>93</v>
      </c>
      <c r="AM119" t="s">
        <v>164</v>
      </c>
      <c r="AN119" t="s">
        <v>84</v>
      </c>
      <c r="AO119" s="1">
        <v>121</v>
      </c>
      <c r="AP119" t="s">
        <v>1500</v>
      </c>
    </row>
    <row r="120" spans="2:42" x14ac:dyDescent="0.25">
      <c r="B120" s="6">
        <f t="shared" ca="1" si="44"/>
        <v>2026</v>
      </c>
      <c r="C120" s="6">
        <f t="shared" ca="1" si="44"/>
        <v>4</v>
      </c>
      <c r="D120" s="6">
        <f t="shared" ca="1" si="44"/>
        <v>6</v>
      </c>
      <c r="E120" s="6" t="str">
        <f t="shared" ca="1" si="44"/>
        <v>SATIE</v>
      </c>
      <c r="F120" s="6" t="str">
        <f t="shared" ca="1" si="44"/>
        <v>Turquoise Wave</v>
      </c>
      <c r="G120" s="6" t="str">
        <f t="shared" ca="1" si="24"/>
        <v>Serene Fade</v>
      </c>
      <c r="H120" s="6">
        <f t="shared" ca="1" si="25"/>
        <v>249</v>
      </c>
      <c r="I120" s="6" t="str">
        <f t="shared" ca="1" si="26"/>
        <v>Tweede Paasdag</v>
      </c>
      <c r="J120" s="6"/>
      <c r="K120" s="7">
        <v>0</v>
      </c>
      <c r="L120" s="7">
        <f t="shared" ca="1" si="27"/>
        <v>0</v>
      </c>
      <c r="M120" s="7">
        <f t="shared" ca="1" si="28"/>
        <v>0</v>
      </c>
      <c r="N120" s="7">
        <f t="shared" ca="1" si="29"/>
        <v>0</v>
      </c>
      <c r="O120" s="7">
        <f t="shared" ca="1" si="30"/>
        <v>0</v>
      </c>
      <c r="P120" s="7">
        <f t="shared" ca="1" si="31"/>
        <v>0</v>
      </c>
      <c r="Q120" s="7">
        <f t="shared" ca="1" si="32"/>
        <v>0</v>
      </c>
      <c r="R120" s="7">
        <f t="shared" ca="1" si="33"/>
        <v>0</v>
      </c>
      <c r="S120" s="7"/>
      <c r="U120" s="5">
        <f t="shared" ca="1" si="39"/>
        <v>46210.662929050923</v>
      </c>
      <c r="V120">
        <f t="shared" ca="1" si="34"/>
        <v>2026</v>
      </c>
      <c r="W120">
        <f t="shared" ca="1" si="35"/>
        <v>7</v>
      </c>
      <c r="X120">
        <f t="shared" ca="1" si="36"/>
        <v>7</v>
      </c>
      <c r="Z120" t="b">
        <f t="shared" ca="1" si="37"/>
        <v>0</v>
      </c>
      <c r="AA120" t="b">
        <f t="shared" ca="1" si="38"/>
        <v>0</v>
      </c>
      <c r="AI120">
        <v>2029</v>
      </c>
      <c r="AJ120">
        <v>2</v>
      </c>
      <c r="AK120">
        <v>14</v>
      </c>
      <c r="AL120" t="s">
        <v>52</v>
      </c>
      <c r="AM120" t="s">
        <v>79</v>
      </c>
      <c r="AN120" t="s">
        <v>259</v>
      </c>
      <c r="AO120" s="1">
        <v>252</v>
      </c>
      <c r="AP120" t="s">
        <v>1388</v>
      </c>
    </row>
    <row r="121" spans="2:42" x14ac:dyDescent="0.25">
      <c r="B121" s="6">
        <f t="shared" ca="1" si="44"/>
        <v>2027</v>
      </c>
      <c r="C121" s="6">
        <f t="shared" ca="1" si="44"/>
        <v>3</v>
      </c>
      <c r="D121" s="6">
        <f t="shared" ca="1" si="44"/>
        <v>29</v>
      </c>
      <c r="E121" s="6" t="str">
        <f t="shared" ca="1" si="44"/>
        <v>SATIE</v>
      </c>
      <c r="F121" s="6" t="str">
        <f t="shared" ca="1" si="44"/>
        <v>Turquoise Wave</v>
      </c>
      <c r="G121" s="6" t="str">
        <f t="shared" ca="1" si="24"/>
        <v>Serene Fade</v>
      </c>
      <c r="H121" s="6">
        <f t="shared" ca="1" si="25"/>
        <v>272</v>
      </c>
      <c r="I121" s="6" t="str">
        <f t="shared" ca="1" si="26"/>
        <v>Tweede Paasdag, zoek de eitjes</v>
      </c>
      <c r="J121" s="6"/>
      <c r="K121" s="7">
        <v>0</v>
      </c>
      <c r="L121" s="7">
        <f t="shared" ca="1" si="27"/>
        <v>0</v>
      </c>
      <c r="M121" s="7">
        <f t="shared" ca="1" si="28"/>
        <v>0</v>
      </c>
      <c r="N121" s="7">
        <f t="shared" ca="1" si="29"/>
        <v>0</v>
      </c>
      <c r="O121" s="7">
        <f t="shared" ca="1" si="30"/>
        <v>0</v>
      </c>
      <c r="P121" s="7">
        <f t="shared" ca="1" si="31"/>
        <v>0</v>
      </c>
      <c r="Q121" s="7">
        <f t="shared" ca="1" si="32"/>
        <v>0</v>
      </c>
      <c r="R121" s="7">
        <f t="shared" ca="1" si="33"/>
        <v>0</v>
      </c>
      <c r="S121" s="7"/>
      <c r="U121" s="5">
        <f t="shared" ca="1" si="39"/>
        <v>46211.662929050923</v>
      </c>
      <c r="V121">
        <f t="shared" ca="1" si="34"/>
        <v>2026</v>
      </c>
      <c r="W121">
        <f t="shared" ca="1" si="35"/>
        <v>7</v>
      </c>
      <c r="X121">
        <f t="shared" ca="1" si="36"/>
        <v>8</v>
      </c>
      <c r="Z121" t="b">
        <f t="shared" ca="1" si="37"/>
        <v>0</v>
      </c>
      <c r="AA121" t="b">
        <f t="shared" ca="1" si="38"/>
        <v>0</v>
      </c>
      <c r="AI121">
        <v>2029</v>
      </c>
      <c r="AJ121">
        <v>2</v>
      </c>
      <c r="AK121">
        <v>14</v>
      </c>
      <c r="AL121" t="s">
        <v>89</v>
      </c>
      <c r="AM121" t="s">
        <v>204</v>
      </c>
      <c r="AN121" t="s">
        <v>86</v>
      </c>
      <c r="AO121" s="1">
        <v>179</v>
      </c>
      <c r="AP121" t="s">
        <v>121</v>
      </c>
    </row>
    <row r="122" spans="2:42" x14ac:dyDescent="0.25">
      <c r="B122" s="6">
        <f t="shared" ca="1" si="44"/>
        <v>2028</v>
      </c>
      <c r="C122" s="6">
        <f t="shared" ca="1" si="44"/>
        <v>4</v>
      </c>
      <c r="D122" s="6">
        <f t="shared" ca="1" si="44"/>
        <v>17</v>
      </c>
      <c r="E122" s="6" t="str">
        <f t="shared" ca="1" si="44"/>
        <v>SATIE</v>
      </c>
      <c r="F122" s="6" t="str">
        <f t="shared" ca="1" si="44"/>
        <v>Turquoise Wave</v>
      </c>
      <c r="G122" s="6" t="str">
        <f t="shared" ca="1" si="24"/>
        <v>Serene Fade</v>
      </c>
      <c r="H122" s="6">
        <f t="shared" ca="1" si="25"/>
        <v>331</v>
      </c>
      <c r="I122" s="6" t="str">
        <f t="shared" ca="1" si="26"/>
        <v>Tweede Paasdag</v>
      </c>
      <c r="J122" s="6"/>
      <c r="K122" s="7">
        <v>0</v>
      </c>
      <c r="L122" s="7">
        <f t="shared" ca="1" si="27"/>
        <v>0</v>
      </c>
      <c r="M122" s="7">
        <f t="shared" ca="1" si="28"/>
        <v>0</v>
      </c>
      <c r="N122" s="7">
        <f t="shared" ca="1" si="29"/>
        <v>0</v>
      </c>
      <c r="O122" s="7">
        <f t="shared" ca="1" si="30"/>
        <v>0</v>
      </c>
      <c r="P122" s="7">
        <f t="shared" ca="1" si="31"/>
        <v>0</v>
      </c>
      <c r="Q122" s="7">
        <f t="shared" ca="1" si="32"/>
        <v>0</v>
      </c>
      <c r="R122" s="7">
        <f t="shared" ca="1" si="33"/>
        <v>0</v>
      </c>
      <c r="S122" s="7"/>
      <c r="U122" s="5">
        <f t="shared" ca="1" si="39"/>
        <v>46212.662929050923</v>
      </c>
      <c r="V122">
        <f t="shared" ca="1" si="34"/>
        <v>2026</v>
      </c>
      <c r="W122">
        <f t="shared" ca="1" si="35"/>
        <v>7</v>
      </c>
      <c r="X122">
        <f t="shared" ca="1" si="36"/>
        <v>9</v>
      </c>
      <c r="Z122" t="b">
        <f t="shared" ca="1" si="37"/>
        <v>0</v>
      </c>
      <c r="AA122" t="b">
        <f t="shared" ca="1" si="38"/>
        <v>0</v>
      </c>
      <c r="AI122">
        <v>2029</v>
      </c>
      <c r="AJ122">
        <v>2</v>
      </c>
      <c r="AK122">
        <v>14</v>
      </c>
      <c r="AL122" t="s">
        <v>93</v>
      </c>
      <c r="AM122" t="s">
        <v>1392</v>
      </c>
      <c r="AN122" t="s">
        <v>258</v>
      </c>
      <c r="AO122" s="1">
        <v>70</v>
      </c>
      <c r="AP122" t="s">
        <v>1371</v>
      </c>
    </row>
    <row r="123" spans="2:42" x14ac:dyDescent="0.25">
      <c r="B123" s="6">
        <f t="shared" ref="B123:F132" ca="1" si="45">OFFSET(INDIRECT($B$1),ROW(A121),COLUMN(A121))</f>
        <v>2029</v>
      </c>
      <c r="C123" s="6">
        <f t="shared" ca="1" si="45"/>
        <v>4</v>
      </c>
      <c r="D123" s="6">
        <f t="shared" ca="1" si="45"/>
        <v>2</v>
      </c>
      <c r="E123" s="6" t="str">
        <f t="shared" ca="1" si="45"/>
        <v>SATIE</v>
      </c>
      <c r="F123" s="6" t="str">
        <f t="shared" ca="1" si="45"/>
        <v>Turquoise Wave</v>
      </c>
      <c r="G123" s="6" t="str">
        <f t="shared" ca="1" si="24"/>
        <v>Serene Fade</v>
      </c>
      <c r="H123" s="6">
        <f t="shared" ca="1" si="25"/>
        <v>371</v>
      </c>
      <c r="I123" s="6" t="str">
        <f t="shared" ca="1" si="26"/>
        <v>Tweede Paasdag, zoek de eitjes</v>
      </c>
      <c r="J123" s="6"/>
      <c r="K123" s="7">
        <v>0</v>
      </c>
      <c r="L123" s="7">
        <f t="shared" ca="1" si="27"/>
        <v>0</v>
      </c>
      <c r="M123" s="7">
        <f t="shared" ca="1" si="28"/>
        <v>0</v>
      </c>
      <c r="N123" s="7">
        <f t="shared" ca="1" si="29"/>
        <v>0</v>
      </c>
      <c r="O123" s="7">
        <f t="shared" ca="1" si="30"/>
        <v>0</v>
      </c>
      <c r="P123" s="7">
        <f t="shared" ca="1" si="31"/>
        <v>0</v>
      </c>
      <c r="Q123" s="7">
        <f t="shared" ca="1" si="32"/>
        <v>0</v>
      </c>
      <c r="R123" s="7">
        <f t="shared" ca="1" si="33"/>
        <v>0</v>
      </c>
      <c r="S123" s="7"/>
      <c r="U123" s="5">
        <f t="shared" ca="1" si="39"/>
        <v>46213.662929050923</v>
      </c>
      <c r="V123">
        <f t="shared" ca="1" si="34"/>
        <v>2026</v>
      </c>
      <c r="W123">
        <f t="shared" ca="1" si="35"/>
        <v>7</v>
      </c>
      <c r="X123">
        <f t="shared" ca="1" si="36"/>
        <v>10</v>
      </c>
      <c r="Z123" t="b">
        <f t="shared" ca="1" si="37"/>
        <v>0</v>
      </c>
      <c r="AA123" t="b">
        <f t="shared" ca="1" si="38"/>
        <v>0</v>
      </c>
      <c r="AI123">
        <v>2029</v>
      </c>
      <c r="AJ123">
        <v>3</v>
      </c>
      <c r="AK123">
        <v>1</v>
      </c>
      <c r="AL123" t="s">
        <v>91</v>
      </c>
      <c r="AM123" t="s">
        <v>164</v>
      </c>
      <c r="AN123" t="s">
        <v>85</v>
      </c>
      <c r="AO123" s="1">
        <v>287</v>
      </c>
      <c r="AP123" t="s">
        <v>122</v>
      </c>
    </row>
    <row r="124" spans="2:42" x14ac:dyDescent="0.25">
      <c r="B124" s="6">
        <f t="shared" ca="1" si="45"/>
        <v>2030</v>
      </c>
      <c r="C124" s="6">
        <f t="shared" ca="1" si="45"/>
        <v>4</v>
      </c>
      <c r="D124" s="6">
        <f t="shared" ca="1" si="45"/>
        <v>22</v>
      </c>
      <c r="E124" s="6" t="str">
        <f t="shared" ca="1" si="45"/>
        <v>SATIE</v>
      </c>
      <c r="F124" s="6" t="str">
        <f t="shared" ca="1" si="45"/>
        <v>Turquoise Wave</v>
      </c>
      <c r="G124" s="6" t="str">
        <f t="shared" ca="1" si="24"/>
        <v>Serene Fade</v>
      </c>
      <c r="H124" s="6">
        <f t="shared" ca="1" si="25"/>
        <v>355</v>
      </c>
      <c r="I124" s="6" t="str">
        <f t="shared" ca="1" si="26"/>
        <v>Tweede Paasdag, waar is de paashaas??</v>
      </c>
      <c r="J124" s="6"/>
      <c r="K124" s="7">
        <v>0</v>
      </c>
      <c r="L124" s="7">
        <f t="shared" ca="1" si="27"/>
        <v>0</v>
      </c>
      <c r="M124" s="7">
        <f t="shared" ca="1" si="28"/>
        <v>0</v>
      </c>
      <c r="N124" s="7">
        <f t="shared" ca="1" si="29"/>
        <v>0</v>
      </c>
      <c r="O124" s="7">
        <f t="shared" ca="1" si="30"/>
        <v>0</v>
      </c>
      <c r="P124" s="7">
        <f t="shared" ca="1" si="31"/>
        <v>0</v>
      </c>
      <c r="Q124" s="7">
        <f t="shared" ca="1" si="32"/>
        <v>0</v>
      </c>
      <c r="R124" s="7">
        <f t="shared" ca="1" si="33"/>
        <v>0</v>
      </c>
      <c r="S124" s="7"/>
      <c r="U124" s="5">
        <f t="shared" ca="1" si="39"/>
        <v>46214.662929050923</v>
      </c>
      <c r="V124">
        <f t="shared" ca="1" si="34"/>
        <v>2026</v>
      </c>
      <c r="W124">
        <f t="shared" ca="1" si="35"/>
        <v>7</v>
      </c>
      <c r="X124">
        <f t="shared" ca="1" si="36"/>
        <v>11</v>
      </c>
      <c r="Z124" t="b">
        <f t="shared" ca="1" si="37"/>
        <v>0</v>
      </c>
      <c r="AA124" t="b">
        <f t="shared" ca="1" si="38"/>
        <v>0</v>
      </c>
      <c r="AI124">
        <v>2029</v>
      </c>
      <c r="AJ124">
        <v>3</v>
      </c>
      <c r="AK124">
        <v>14</v>
      </c>
      <c r="AL124" t="s">
        <v>45</v>
      </c>
      <c r="AM124" t="s">
        <v>161</v>
      </c>
      <c r="AN124" t="s">
        <v>1413</v>
      </c>
      <c r="AO124" s="1">
        <v>95</v>
      </c>
      <c r="AP124" t="s">
        <v>1524</v>
      </c>
    </row>
    <row r="125" spans="2:42" x14ac:dyDescent="0.25">
      <c r="B125" s="6">
        <f t="shared" ca="1" si="45"/>
        <v>2031</v>
      </c>
      <c r="C125" s="6">
        <f t="shared" ca="1" si="45"/>
        <v>4</v>
      </c>
      <c r="D125" s="6">
        <f t="shared" ca="1" si="45"/>
        <v>14</v>
      </c>
      <c r="E125" s="6" t="str">
        <f t="shared" ca="1" si="45"/>
        <v>SATIE</v>
      </c>
      <c r="F125" s="6" t="str">
        <f t="shared" ca="1" si="45"/>
        <v>Turquoise Wave</v>
      </c>
      <c r="G125" s="6" t="str">
        <f t="shared" ca="1" si="24"/>
        <v>Serene Fade</v>
      </c>
      <c r="H125" s="6">
        <f t="shared" ca="1" si="25"/>
        <v>298</v>
      </c>
      <c r="I125" s="6" t="str">
        <f t="shared" ca="1" si="26"/>
        <v>Tweede Paasdag</v>
      </c>
      <c r="J125" s="6"/>
      <c r="K125" s="7">
        <v>0</v>
      </c>
      <c r="L125" s="7">
        <f t="shared" ca="1" si="27"/>
        <v>0</v>
      </c>
      <c r="M125" s="7">
        <f t="shared" ca="1" si="28"/>
        <v>0</v>
      </c>
      <c r="N125" s="7">
        <f t="shared" ca="1" si="29"/>
        <v>0</v>
      </c>
      <c r="O125" s="7">
        <f t="shared" ca="1" si="30"/>
        <v>0</v>
      </c>
      <c r="P125" s="7">
        <f t="shared" ca="1" si="31"/>
        <v>0</v>
      </c>
      <c r="Q125" s="7">
        <f t="shared" ca="1" si="32"/>
        <v>0</v>
      </c>
      <c r="R125" s="7">
        <f t="shared" ca="1" si="33"/>
        <v>0</v>
      </c>
      <c r="S125" s="7"/>
      <c r="U125" s="5">
        <f t="shared" ca="1" si="39"/>
        <v>46215.662929050923</v>
      </c>
      <c r="V125">
        <f t="shared" ca="1" si="34"/>
        <v>2026</v>
      </c>
      <c r="W125">
        <f t="shared" ca="1" si="35"/>
        <v>7</v>
      </c>
      <c r="X125">
        <f t="shared" ca="1" si="36"/>
        <v>12</v>
      </c>
      <c r="Z125" t="b">
        <f t="shared" ca="1" si="37"/>
        <v>0</v>
      </c>
      <c r="AA125" t="b">
        <f t="shared" ca="1" si="38"/>
        <v>0</v>
      </c>
      <c r="AI125">
        <v>2029</v>
      </c>
      <c r="AJ125">
        <v>3</v>
      </c>
      <c r="AK125">
        <v>21</v>
      </c>
      <c r="AL125" t="s">
        <v>56</v>
      </c>
      <c r="AM125" t="s">
        <v>184</v>
      </c>
      <c r="AN125" t="s">
        <v>84</v>
      </c>
      <c r="AO125" s="1">
        <v>73</v>
      </c>
      <c r="AP125" t="s">
        <v>123</v>
      </c>
    </row>
    <row r="126" spans="2:42" x14ac:dyDescent="0.25">
      <c r="B126" s="6">
        <f t="shared" ca="1" si="45"/>
        <v>2032</v>
      </c>
      <c r="C126" s="6">
        <f t="shared" ca="1" si="45"/>
        <v>3</v>
      </c>
      <c r="D126" s="6">
        <f t="shared" ca="1" si="45"/>
        <v>29</v>
      </c>
      <c r="E126" s="6" t="str">
        <f t="shared" ca="1" si="45"/>
        <v>SATIE</v>
      </c>
      <c r="F126" s="6" t="str">
        <f t="shared" ca="1" si="45"/>
        <v>Turquoise Wave</v>
      </c>
      <c r="G126" s="6" t="str">
        <f t="shared" ca="1" si="24"/>
        <v>Serene Fade</v>
      </c>
      <c r="H126" s="6">
        <f t="shared" ca="1" si="25"/>
        <v>253</v>
      </c>
      <c r="I126" s="6" t="str">
        <f t="shared" ca="1" si="26"/>
        <v>Tweede Paasdag</v>
      </c>
      <c r="J126" s="6"/>
      <c r="K126" s="7">
        <v>0</v>
      </c>
      <c r="L126" s="7">
        <f t="shared" ca="1" si="27"/>
        <v>0</v>
      </c>
      <c r="M126" s="7">
        <f t="shared" ca="1" si="28"/>
        <v>0</v>
      </c>
      <c r="N126" s="7">
        <f t="shared" ca="1" si="29"/>
        <v>0</v>
      </c>
      <c r="O126" s="7">
        <f t="shared" ca="1" si="30"/>
        <v>0</v>
      </c>
      <c r="P126" s="7">
        <f t="shared" ca="1" si="31"/>
        <v>0</v>
      </c>
      <c r="Q126" s="7">
        <f t="shared" ca="1" si="32"/>
        <v>0</v>
      </c>
      <c r="R126" s="7">
        <f t="shared" ca="1" si="33"/>
        <v>0</v>
      </c>
      <c r="S126" s="7"/>
      <c r="U126" s="5">
        <f t="shared" ca="1" si="39"/>
        <v>46216.662929050923</v>
      </c>
      <c r="V126">
        <f t="shared" ca="1" si="34"/>
        <v>2026</v>
      </c>
      <c r="W126">
        <f t="shared" ca="1" si="35"/>
        <v>7</v>
      </c>
      <c r="X126">
        <f t="shared" ca="1" si="36"/>
        <v>13</v>
      </c>
      <c r="Z126" t="b">
        <f t="shared" ca="1" si="37"/>
        <v>0</v>
      </c>
      <c r="AA126" t="b">
        <f t="shared" ca="1" si="38"/>
        <v>0</v>
      </c>
      <c r="AI126">
        <v>2029</v>
      </c>
      <c r="AJ126">
        <v>3</v>
      </c>
      <c r="AK126">
        <v>30</v>
      </c>
      <c r="AL126" t="s">
        <v>54</v>
      </c>
      <c r="AM126" t="s">
        <v>181</v>
      </c>
      <c r="AN126" t="s">
        <v>83</v>
      </c>
      <c r="AO126" s="1">
        <v>215</v>
      </c>
      <c r="AP126" t="s">
        <v>145</v>
      </c>
    </row>
    <row r="127" spans="2:42" x14ac:dyDescent="0.25">
      <c r="B127" s="6">
        <f t="shared" ca="1" si="45"/>
        <v>2033</v>
      </c>
      <c r="C127" s="6">
        <f t="shared" ca="1" si="45"/>
        <v>4</v>
      </c>
      <c r="D127" s="6">
        <f t="shared" ca="1" si="45"/>
        <v>18</v>
      </c>
      <c r="E127" s="6" t="str">
        <f t="shared" ca="1" si="45"/>
        <v>SATIE</v>
      </c>
      <c r="F127" s="6" t="str">
        <f t="shared" ca="1" si="45"/>
        <v>Turquoise Wave</v>
      </c>
      <c r="G127" s="6" t="str">
        <f t="shared" ca="1" si="24"/>
        <v>Serene Fade</v>
      </c>
      <c r="H127" s="6">
        <f t="shared" ca="1" si="25"/>
        <v>260</v>
      </c>
      <c r="I127" s="6" t="str">
        <f t="shared" ca="1" si="26"/>
        <v>Tweede Paasdag, waar is de paashaas??</v>
      </c>
      <c r="J127" s="6"/>
      <c r="K127" s="7">
        <v>0</v>
      </c>
      <c r="L127" s="7">
        <f t="shared" ca="1" si="27"/>
        <v>0</v>
      </c>
      <c r="M127" s="7">
        <f t="shared" ca="1" si="28"/>
        <v>0</v>
      </c>
      <c r="N127" s="7">
        <f t="shared" ca="1" si="29"/>
        <v>0</v>
      </c>
      <c r="O127" s="7">
        <f t="shared" ca="1" si="30"/>
        <v>0</v>
      </c>
      <c r="P127" s="7">
        <f t="shared" ca="1" si="31"/>
        <v>0</v>
      </c>
      <c r="Q127" s="7">
        <f t="shared" ca="1" si="32"/>
        <v>0</v>
      </c>
      <c r="R127" s="7">
        <f t="shared" ca="1" si="33"/>
        <v>0</v>
      </c>
      <c r="S127" s="7"/>
      <c r="U127" s="5">
        <f t="shared" ca="1" si="39"/>
        <v>46217.662929050923</v>
      </c>
      <c r="V127">
        <f t="shared" ca="1" si="34"/>
        <v>2026</v>
      </c>
      <c r="W127">
        <f t="shared" ca="1" si="35"/>
        <v>7</v>
      </c>
      <c r="X127">
        <f t="shared" ca="1" si="36"/>
        <v>14</v>
      </c>
      <c r="Z127" t="b">
        <f t="shared" ca="1" si="37"/>
        <v>0</v>
      </c>
      <c r="AA127" t="b">
        <f t="shared" ca="1" si="38"/>
        <v>0</v>
      </c>
      <c r="AI127">
        <v>2029</v>
      </c>
      <c r="AJ127">
        <v>4</v>
      </c>
      <c r="AK127">
        <v>1</v>
      </c>
      <c r="AL127" t="s">
        <v>91</v>
      </c>
      <c r="AM127" t="s">
        <v>164</v>
      </c>
      <c r="AN127" t="s">
        <v>85</v>
      </c>
      <c r="AO127" s="1">
        <v>265</v>
      </c>
      <c r="AP127" t="s">
        <v>124</v>
      </c>
    </row>
    <row r="128" spans="2:42" x14ac:dyDescent="0.25">
      <c r="B128" s="6">
        <f t="shared" ca="1" si="45"/>
        <v>2034</v>
      </c>
      <c r="C128" s="6">
        <f t="shared" ca="1" si="45"/>
        <v>4</v>
      </c>
      <c r="D128" s="6">
        <f t="shared" ca="1" si="45"/>
        <v>10</v>
      </c>
      <c r="E128" s="6" t="str">
        <f t="shared" ca="1" si="45"/>
        <v>SATIE</v>
      </c>
      <c r="F128" s="6" t="str">
        <f t="shared" ca="1" si="45"/>
        <v>Turquoise Wave</v>
      </c>
      <c r="G128" s="6" t="str">
        <f t="shared" ca="1" si="24"/>
        <v>Serene Fade</v>
      </c>
      <c r="H128" s="6">
        <f t="shared" ca="1" si="25"/>
        <v>314</v>
      </c>
      <c r="I128" s="6" t="str">
        <f t="shared" ca="1" si="26"/>
        <v>Tweede Paasdag</v>
      </c>
      <c r="J128" s="6"/>
      <c r="K128" s="7">
        <v>0</v>
      </c>
      <c r="L128" s="7">
        <f t="shared" ca="1" si="27"/>
        <v>0</v>
      </c>
      <c r="M128" s="7">
        <f t="shared" ca="1" si="28"/>
        <v>0</v>
      </c>
      <c r="N128" s="7">
        <f t="shared" ca="1" si="29"/>
        <v>0</v>
      </c>
      <c r="O128" s="7">
        <f t="shared" ca="1" si="30"/>
        <v>0</v>
      </c>
      <c r="P128" s="7">
        <f t="shared" ca="1" si="31"/>
        <v>0</v>
      </c>
      <c r="Q128" s="7">
        <f t="shared" ca="1" si="32"/>
        <v>0</v>
      </c>
      <c r="R128" s="7">
        <f t="shared" ca="1" si="33"/>
        <v>0</v>
      </c>
      <c r="S128" s="7"/>
      <c r="U128" s="5">
        <f t="shared" ca="1" si="39"/>
        <v>46218.662929050923</v>
      </c>
      <c r="V128">
        <f t="shared" ca="1" si="34"/>
        <v>2026</v>
      </c>
      <c r="W128">
        <f t="shared" ca="1" si="35"/>
        <v>7</v>
      </c>
      <c r="X128">
        <f t="shared" ca="1" si="36"/>
        <v>15</v>
      </c>
      <c r="Z128" t="b">
        <f t="shared" ca="1" si="37"/>
        <v>0</v>
      </c>
      <c r="AA128" t="b">
        <f t="shared" ca="1" si="38"/>
        <v>0</v>
      </c>
      <c r="AI128">
        <v>2029</v>
      </c>
      <c r="AJ128">
        <v>4</v>
      </c>
      <c r="AK128">
        <v>1</v>
      </c>
      <c r="AL128" t="s">
        <v>58</v>
      </c>
      <c r="AM128" t="s">
        <v>158</v>
      </c>
      <c r="AN128" t="s">
        <v>261</v>
      </c>
      <c r="AO128" s="1">
        <v>71</v>
      </c>
      <c r="AP128" t="s">
        <v>12</v>
      </c>
    </row>
    <row r="129" spans="2:42" x14ac:dyDescent="0.25">
      <c r="B129" s="6">
        <f t="shared" ca="1" si="45"/>
        <v>2035</v>
      </c>
      <c r="C129" s="6">
        <f t="shared" ca="1" si="45"/>
        <v>3</v>
      </c>
      <c r="D129" s="6">
        <f t="shared" ca="1" si="45"/>
        <v>26</v>
      </c>
      <c r="E129" s="6" t="str">
        <f t="shared" ca="1" si="45"/>
        <v>SATIE</v>
      </c>
      <c r="F129" s="6" t="str">
        <f t="shared" ca="1" si="45"/>
        <v>Turquoise Wave</v>
      </c>
      <c r="G129" s="6" t="str">
        <f t="shared" ca="1" si="24"/>
        <v>Serene Fade</v>
      </c>
      <c r="H129" s="6">
        <f t="shared" ca="1" si="25"/>
        <v>365</v>
      </c>
      <c r="I129" s="6" t="str">
        <f t="shared" ca="1" si="26"/>
        <v>Tweede Paasdag</v>
      </c>
      <c r="J129" s="6"/>
      <c r="K129" s="7">
        <v>0</v>
      </c>
      <c r="L129" s="7">
        <f t="shared" ca="1" si="27"/>
        <v>0</v>
      </c>
      <c r="M129" s="7">
        <f t="shared" ca="1" si="28"/>
        <v>0</v>
      </c>
      <c r="N129" s="7">
        <f t="shared" ca="1" si="29"/>
        <v>0</v>
      </c>
      <c r="O129" s="7">
        <f t="shared" ca="1" si="30"/>
        <v>0</v>
      </c>
      <c r="P129" s="7">
        <f t="shared" ca="1" si="31"/>
        <v>0</v>
      </c>
      <c r="Q129" s="7">
        <f t="shared" ca="1" si="32"/>
        <v>0</v>
      </c>
      <c r="R129" s="7">
        <f t="shared" ca="1" si="33"/>
        <v>0</v>
      </c>
      <c r="S129" s="7"/>
      <c r="U129" s="5">
        <f t="shared" ca="1" si="39"/>
        <v>46219.662929050923</v>
      </c>
      <c r="V129">
        <f t="shared" ca="1" si="34"/>
        <v>2026</v>
      </c>
      <c r="W129">
        <f t="shared" ca="1" si="35"/>
        <v>7</v>
      </c>
      <c r="X129">
        <f t="shared" ca="1" si="36"/>
        <v>16</v>
      </c>
      <c r="Z129" t="b">
        <f t="shared" ca="1" si="37"/>
        <v>0</v>
      </c>
      <c r="AA129" t="b">
        <f t="shared" ca="1" si="38"/>
        <v>0</v>
      </c>
      <c r="AI129">
        <v>2029</v>
      </c>
      <c r="AJ129">
        <v>4</v>
      </c>
      <c r="AK129">
        <v>2</v>
      </c>
      <c r="AL129" t="s">
        <v>58</v>
      </c>
      <c r="AM129" t="s">
        <v>198</v>
      </c>
      <c r="AN129" t="s">
        <v>265</v>
      </c>
      <c r="AO129" s="1">
        <v>371</v>
      </c>
      <c r="AP129" t="s">
        <v>1494</v>
      </c>
    </row>
    <row r="130" spans="2:42" x14ac:dyDescent="0.25">
      <c r="B130" s="6">
        <f t="shared" ca="1" si="45"/>
        <v>2036</v>
      </c>
      <c r="C130" s="6">
        <f t="shared" ca="1" si="45"/>
        <v>4</v>
      </c>
      <c r="D130" s="6">
        <f t="shared" ca="1" si="45"/>
        <v>14</v>
      </c>
      <c r="E130" s="6" t="str">
        <f t="shared" ca="1" si="45"/>
        <v>SATIE</v>
      </c>
      <c r="F130" s="6" t="str">
        <f t="shared" ca="1" si="45"/>
        <v>Turquoise Wave</v>
      </c>
      <c r="G130" s="6" t="str">
        <f t="shared" ca="1" si="24"/>
        <v>Serene Fade</v>
      </c>
      <c r="H130" s="6">
        <f t="shared" ca="1" si="25"/>
        <v>366</v>
      </c>
      <c r="I130" s="6" t="str">
        <f t="shared" ca="1" si="26"/>
        <v>Tweede Paasdag</v>
      </c>
      <c r="J130" s="6"/>
      <c r="K130" s="7">
        <v>0</v>
      </c>
      <c r="L130" s="7">
        <f t="shared" ca="1" si="27"/>
        <v>0</v>
      </c>
      <c r="M130" s="7">
        <f t="shared" ca="1" si="28"/>
        <v>0</v>
      </c>
      <c r="N130" s="7">
        <f t="shared" ca="1" si="29"/>
        <v>0</v>
      </c>
      <c r="O130" s="7">
        <f t="shared" ca="1" si="30"/>
        <v>0</v>
      </c>
      <c r="P130" s="7">
        <f t="shared" ca="1" si="31"/>
        <v>0</v>
      </c>
      <c r="Q130" s="7">
        <f t="shared" ca="1" si="32"/>
        <v>0</v>
      </c>
      <c r="R130" s="7">
        <f t="shared" ca="1" si="33"/>
        <v>0</v>
      </c>
      <c r="S130" s="7"/>
      <c r="U130" s="5">
        <f t="shared" ca="1" si="39"/>
        <v>46220.662929050923</v>
      </c>
      <c r="V130">
        <f t="shared" ca="1" si="34"/>
        <v>2026</v>
      </c>
      <c r="W130">
        <f t="shared" ca="1" si="35"/>
        <v>7</v>
      </c>
      <c r="X130">
        <f t="shared" ca="1" si="36"/>
        <v>17</v>
      </c>
      <c r="Z130" t="b">
        <f t="shared" ca="1" si="37"/>
        <v>0</v>
      </c>
      <c r="AA130" t="b">
        <f t="shared" ca="1" si="38"/>
        <v>0</v>
      </c>
      <c r="AI130">
        <v>2029</v>
      </c>
      <c r="AJ130">
        <v>4</v>
      </c>
      <c r="AK130">
        <v>30</v>
      </c>
      <c r="AL130" t="s">
        <v>56</v>
      </c>
      <c r="AM130" t="s">
        <v>184</v>
      </c>
      <c r="AN130" t="s">
        <v>84</v>
      </c>
      <c r="AO130" s="1">
        <v>98</v>
      </c>
      <c r="AP130" t="s">
        <v>126</v>
      </c>
    </row>
    <row r="131" spans="2:42" x14ac:dyDescent="0.25">
      <c r="B131" s="6">
        <f t="shared" ca="1" si="45"/>
        <v>2037</v>
      </c>
      <c r="C131" s="6">
        <f t="shared" ca="1" si="45"/>
        <v>4</v>
      </c>
      <c r="D131" s="6">
        <f t="shared" ca="1" si="45"/>
        <v>6</v>
      </c>
      <c r="E131" s="6" t="str">
        <f t="shared" ca="1" si="45"/>
        <v>SATIE</v>
      </c>
      <c r="F131" s="6" t="str">
        <f t="shared" ca="1" si="45"/>
        <v>Turquoise Wave</v>
      </c>
      <c r="G131" s="6" t="str">
        <f t="shared" ca="1" si="24"/>
        <v>Serene Fade</v>
      </c>
      <c r="H131" s="6">
        <f t="shared" ca="1" si="25"/>
        <v>316</v>
      </c>
      <c r="I131" s="6" t="str">
        <f t="shared" ca="1" si="26"/>
        <v>Tweede Paasdag</v>
      </c>
      <c r="J131" s="6"/>
      <c r="K131" s="7">
        <v>0</v>
      </c>
      <c r="L131" s="7">
        <f t="shared" ca="1" si="27"/>
        <v>0</v>
      </c>
      <c r="M131" s="7">
        <f t="shared" ca="1" si="28"/>
        <v>0</v>
      </c>
      <c r="N131" s="7">
        <f t="shared" ca="1" si="29"/>
        <v>0</v>
      </c>
      <c r="O131" s="7">
        <f t="shared" ca="1" si="30"/>
        <v>0</v>
      </c>
      <c r="P131" s="7">
        <f t="shared" ca="1" si="31"/>
        <v>0</v>
      </c>
      <c r="Q131" s="7">
        <f t="shared" ca="1" si="32"/>
        <v>0</v>
      </c>
      <c r="R131" s="7">
        <f t="shared" ca="1" si="33"/>
        <v>0</v>
      </c>
      <c r="S131" s="7"/>
      <c r="U131" s="5">
        <f t="shared" ca="1" si="39"/>
        <v>46221.662929050923</v>
      </c>
      <c r="V131">
        <f t="shared" ca="1" si="34"/>
        <v>2026</v>
      </c>
      <c r="W131">
        <f t="shared" ca="1" si="35"/>
        <v>7</v>
      </c>
      <c r="X131">
        <f t="shared" ca="1" si="36"/>
        <v>18</v>
      </c>
      <c r="Z131" t="b">
        <f t="shared" ca="1" si="37"/>
        <v>0</v>
      </c>
      <c r="AA131" t="b">
        <f t="shared" ca="1" si="38"/>
        <v>0</v>
      </c>
      <c r="AI131">
        <v>2029</v>
      </c>
      <c r="AJ131">
        <v>5</v>
      </c>
      <c r="AK131">
        <v>1</v>
      </c>
      <c r="AL131" t="s">
        <v>91</v>
      </c>
      <c r="AM131" t="s">
        <v>164</v>
      </c>
      <c r="AN131" t="s">
        <v>85</v>
      </c>
      <c r="AO131" s="1">
        <v>202</v>
      </c>
      <c r="AP131" t="s">
        <v>127</v>
      </c>
    </row>
    <row r="132" spans="2:42" x14ac:dyDescent="0.25">
      <c r="B132" s="6">
        <f t="shared" ca="1" si="45"/>
        <v>2038</v>
      </c>
      <c r="C132" s="6">
        <f t="shared" ca="1" si="45"/>
        <v>4</v>
      </c>
      <c r="D132" s="6">
        <f t="shared" ca="1" si="45"/>
        <v>26</v>
      </c>
      <c r="E132" s="6" t="str">
        <f t="shared" ca="1" si="45"/>
        <v>SATIE</v>
      </c>
      <c r="F132" s="6" t="str">
        <f t="shared" ca="1" si="45"/>
        <v>Turquoise Wave</v>
      </c>
      <c r="G132" s="6" t="str">
        <f t="shared" ref="G132:G155" ca="1" si="46">OFFSET(INDIRECT($B$1),ROW(F130),COLUMN(F130))</f>
        <v>Serene Fade</v>
      </c>
      <c r="H132" s="6">
        <f t="shared" ref="H132:H155" ca="1" si="47">OFFSET(INDIRECT($B$1),ROW(G130),COLUMN(G130))</f>
        <v>261</v>
      </c>
      <c r="I132" s="6" t="str">
        <f t="shared" ref="I132:I155" ca="1" si="48">OFFSET(INDIRECT($B$1),ROW(H130),COLUMN(H130))</f>
        <v>Tweede Paasdag</v>
      </c>
      <c r="J132" s="6"/>
      <c r="K132" s="7">
        <v>0</v>
      </c>
      <c r="L132" s="7">
        <f t="shared" ref="L132:L195" ca="1" si="49">OFFSET(INDIRECT($L$1),ROW(B130),COLUMN(B130))</f>
        <v>0</v>
      </c>
      <c r="M132" s="7">
        <f t="shared" ref="M132:M195" ca="1" si="50">OFFSET(INDIRECT($L$1),ROW(C130),COLUMN(C130))</f>
        <v>0</v>
      </c>
      <c r="N132" s="7">
        <f t="shared" ref="N132:N195" ca="1" si="51">OFFSET(INDIRECT($L$1),ROW(D130),COLUMN(D130))</f>
        <v>0</v>
      </c>
      <c r="O132" s="7">
        <f t="shared" ref="O132:O195" ca="1" si="52">OFFSET(INDIRECT($L$1),ROW(E130),COLUMN(E130))</f>
        <v>0</v>
      </c>
      <c r="P132" s="7">
        <f t="shared" ref="P132:P195" ca="1" si="53">OFFSET(INDIRECT($L$1),ROW(F130),COLUMN(F130))</f>
        <v>0</v>
      </c>
      <c r="Q132" s="7">
        <f t="shared" ref="Q132:Q195" ca="1" si="54">OFFSET(INDIRECT($L$1),ROW(G130),COLUMN(G130))</f>
        <v>0</v>
      </c>
      <c r="R132" s="7">
        <f t="shared" ref="R132:R195" ca="1" si="55">OFFSET(INDIRECT($L$1),ROW(H130),COLUMN(H130))</f>
        <v>0</v>
      </c>
      <c r="S132" s="7"/>
      <c r="U132" s="5">
        <f t="shared" ca="1" si="39"/>
        <v>46222.662929050923</v>
      </c>
      <c r="V132">
        <f t="shared" ref="V132:V195" ca="1" si="56">YEAR(U132)</f>
        <v>2026</v>
      </c>
      <c r="W132">
        <f t="shared" ref="W132:W195" ca="1" si="57">MONTH(U132)</f>
        <v>7</v>
      </c>
      <c r="X132">
        <f t="shared" ref="X132:X195" ca="1" si="58">DAY(U132)</f>
        <v>19</v>
      </c>
      <c r="Z132" t="b">
        <f t="shared" ref="Z132:Z195" ca="1" si="59">AND(V132=B132,W132=C132,X132=D132)</f>
        <v>0</v>
      </c>
      <c r="AA132" t="b">
        <f t="shared" ref="AA132:AA195" ca="1" si="60">AND(W132=M132,X132=N132)</f>
        <v>0</v>
      </c>
      <c r="AI132">
        <v>2029</v>
      </c>
      <c r="AJ132">
        <v>5</v>
      </c>
      <c r="AK132">
        <v>4</v>
      </c>
      <c r="AL132" t="s">
        <v>89</v>
      </c>
      <c r="AM132" t="s">
        <v>233</v>
      </c>
      <c r="AN132" t="s">
        <v>83</v>
      </c>
      <c r="AO132" s="1">
        <v>102</v>
      </c>
      <c r="AP132" t="s">
        <v>1364</v>
      </c>
    </row>
    <row r="133" spans="2:42" x14ac:dyDescent="0.25">
      <c r="B133" s="6">
        <f t="shared" ref="B133:F139" ca="1" si="61">OFFSET(INDIRECT($B$1),ROW(A131),COLUMN(A131))</f>
        <v>2026</v>
      </c>
      <c r="C133" s="6">
        <f t="shared" ca="1" si="61"/>
        <v>3</v>
      </c>
      <c r="D133" s="6">
        <f t="shared" ca="1" si="61"/>
        <v>19</v>
      </c>
      <c r="E133" s="6" t="str">
        <f t="shared" ca="1" si="61"/>
        <v>GUITAR</v>
      </c>
      <c r="F133" s="6" t="str">
        <f t="shared" ca="1" si="61"/>
        <v>Warm Sunset</v>
      </c>
      <c r="G133" s="6" t="str">
        <f t="shared" ca="1" si="46"/>
        <v>Radiant Glow</v>
      </c>
      <c r="H133" s="6">
        <f t="shared" ca="1" si="47"/>
        <v>171</v>
      </c>
      <c r="I133" s="6" t="str">
        <f t="shared" ca="1" si="48"/>
        <v>Suikerfeest</v>
      </c>
      <c r="J133" s="6"/>
      <c r="K133" s="7">
        <v>0</v>
      </c>
      <c r="L133" s="7">
        <f t="shared" ca="1" si="49"/>
        <v>0</v>
      </c>
      <c r="M133" s="7">
        <f t="shared" ca="1" si="50"/>
        <v>0</v>
      </c>
      <c r="N133" s="7">
        <f t="shared" ca="1" si="51"/>
        <v>0</v>
      </c>
      <c r="O133" s="7">
        <f t="shared" ca="1" si="52"/>
        <v>0</v>
      </c>
      <c r="P133" s="7">
        <f t="shared" ca="1" si="53"/>
        <v>0</v>
      </c>
      <c r="Q133" s="7">
        <f t="shared" ca="1" si="54"/>
        <v>0</v>
      </c>
      <c r="R133" s="7">
        <f t="shared" ca="1" si="55"/>
        <v>0</v>
      </c>
      <c r="S133" s="7"/>
      <c r="U133" s="5">
        <f t="shared" ref="U133:U196" ca="1" si="62">U132+1</f>
        <v>46223.662929050923</v>
      </c>
      <c r="V133">
        <f t="shared" ca="1" si="56"/>
        <v>2026</v>
      </c>
      <c r="W133">
        <f t="shared" ca="1" si="57"/>
        <v>7</v>
      </c>
      <c r="X133">
        <f t="shared" ca="1" si="58"/>
        <v>20</v>
      </c>
      <c r="Z133" t="b">
        <f t="shared" ca="1" si="59"/>
        <v>0</v>
      </c>
      <c r="AA133" t="b">
        <f t="shared" ca="1" si="60"/>
        <v>0</v>
      </c>
      <c r="AI133">
        <v>2029</v>
      </c>
      <c r="AJ133">
        <v>5</v>
      </c>
      <c r="AK133">
        <v>5</v>
      </c>
      <c r="AL133" t="s">
        <v>93</v>
      </c>
      <c r="AM133" t="s">
        <v>152</v>
      </c>
      <c r="AN133" t="s">
        <v>84</v>
      </c>
      <c r="AO133" s="1">
        <v>64</v>
      </c>
      <c r="AP133" t="s">
        <v>107</v>
      </c>
    </row>
    <row r="134" spans="2:42" x14ac:dyDescent="0.25">
      <c r="B134" s="6">
        <f t="shared" ca="1" si="61"/>
        <v>2027</v>
      </c>
      <c r="C134" s="6">
        <f t="shared" ca="1" si="61"/>
        <v>3</v>
      </c>
      <c r="D134" s="6">
        <f t="shared" ca="1" si="61"/>
        <v>9</v>
      </c>
      <c r="E134" s="6" t="str">
        <f t="shared" ca="1" si="61"/>
        <v>GUITAR</v>
      </c>
      <c r="F134" s="6" t="str">
        <f t="shared" ca="1" si="61"/>
        <v>Warm Sunset</v>
      </c>
      <c r="G134" s="6" t="str">
        <f t="shared" ca="1" si="46"/>
        <v>Radiant Glow</v>
      </c>
      <c r="H134" s="6">
        <f t="shared" ca="1" si="47"/>
        <v>201</v>
      </c>
      <c r="I134" s="6" t="str">
        <f t="shared" ca="1" si="48"/>
        <v>Suikerfeest</v>
      </c>
      <c r="J134" s="6"/>
      <c r="K134" s="7">
        <v>0</v>
      </c>
      <c r="L134" s="7">
        <f t="shared" ca="1" si="49"/>
        <v>0</v>
      </c>
      <c r="M134" s="7">
        <f t="shared" ca="1" si="50"/>
        <v>0</v>
      </c>
      <c r="N134" s="7">
        <f t="shared" ca="1" si="51"/>
        <v>0</v>
      </c>
      <c r="O134" s="7">
        <f t="shared" ca="1" si="52"/>
        <v>0</v>
      </c>
      <c r="P134" s="7">
        <f t="shared" ca="1" si="53"/>
        <v>0</v>
      </c>
      <c r="Q134" s="7">
        <f t="shared" ca="1" si="54"/>
        <v>0</v>
      </c>
      <c r="R134" s="7">
        <f t="shared" ca="1" si="55"/>
        <v>0</v>
      </c>
      <c r="S134" s="7"/>
      <c r="U134" s="5">
        <f t="shared" ca="1" si="62"/>
        <v>46224.662929050923</v>
      </c>
      <c r="V134">
        <f t="shared" ca="1" si="56"/>
        <v>2026</v>
      </c>
      <c r="W134">
        <f t="shared" ca="1" si="57"/>
        <v>7</v>
      </c>
      <c r="X134">
        <f t="shared" ca="1" si="58"/>
        <v>21</v>
      </c>
      <c r="Z134" t="b">
        <f t="shared" ca="1" si="59"/>
        <v>0</v>
      </c>
      <c r="AA134" t="b">
        <f t="shared" ca="1" si="60"/>
        <v>0</v>
      </c>
      <c r="AI134">
        <v>2029</v>
      </c>
      <c r="AJ134">
        <v>5</v>
      </c>
      <c r="AK134">
        <v>10</v>
      </c>
      <c r="AL134" t="s">
        <v>44</v>
      </c>
      <c r="AM134" t="s">
        <v>227</v>
      </c>
      <c r="AN134" t="s">
        <v>83</v>
      </c>
      <c r="AO134" s="1">
        <v>88</v>
      </c>
      <c r="AP134" t="s">
        <v>14</v>
      </c>
    </row>
    <row r="135" spans="2:42" x14ac:dyDescent="0.25">
      <c r="B135" s="6">
        <f t="shared" ca="1" si="61"/>
        <v>2028</v>
      </c>
      <c r="C135" s="6">
        <f t="shared" ca="1" si="61"/>
        <v>2</v>
      </c>
      <c r="D135" s="6">
        <f t="shared" ca="1" si="61"/>
        <v>26</v>
      </c>
      <c r="E135" s="6" t="str">
        <f t="shared" ca="1" si="61"/>
        <v>GUITAR</v>
      </c>
      <c r="F135" s="6" t="str">
        <f t="shared" ca="1" si="61"/>
        <v>Warm Sunset</v>
      </c>
      <c r="G135" s="6" t="str">
        <f t="shared" ca="1" si="46"/>
        <v>Radiant Glow</v>
      </c>
      <c r="H135" s="6">
        <f t="shared" ca="1" si="47"/>
        <v>240</v>
      </c>
      <c r="I135" s="6" t="str">
        <f t="shared" ca="1" si="48"/>
        <v>Suikerfeest</v>
      </c>
      <c r="J135" s="6"/>
      <c r="K135" s="7">
        <v>0</v>
      </c>
      <c r="L135" s="7">
        <f t="shared" ca="1" si="49"/>
        <v>0</v>
      </c>
      <c r="M135" s="7">
        <f t="shared" ca="1" si="50"/>
        <v>0</v>
      </c>
      <c r="N135" s="7">
        <f t="shared" ca="1" si="51"/>
        <v>0</v>
      </c>
      <c r="O135" s="7">
        <f t="shared" ca="1" si="52"/>
        <v>0</v>
      </c>
      <c r="P135" s="7">
        <f t="shared" ca="1" si="53"/>
        <v>0</v>
      </c>
      <c r="Q135" s="7">
        <f t="shared" ca="1" si="54"/>
        <v>0</v>
      </c>
      <c r="R135" s="7">
        <f t="shared" ca="1" si="55"/>
        <v>0</v>
      </c>
      <c r="S135" s="7"/>
      <c r="U135" s="5">
        <f t="shared" ca="1" si="62"/>
        <v>46225.662929050923</v>
      </c>
      <c r="V135">
        <f t="shared" ca="1" si="56"/>
        <v>2026</v>
      </c>
      <c r="W135">
        <f t="shared" ca="1" si="57"/>
        <v>7</v>
      </c>
      <c r="X135">
        <f t="shared" ca="1" si="58"/>
        <v>22</v>
      </c>
      <c r="Z135" t="b">
        <f t="shared" ca="1" si="59"/>
        <v>0</v>
      </c>
      <c r="AA135" t="b">
        <f t="shared" ca="1" si="60"/>
        <v>0</v>
      </c>
      <c r="AI135">
        <v>2029</v>
      </c>
      <c r="AJ135">
        <v>5</v>
      </c>
      <c r="AK135">
        <v>10</v>
      </c>
      <c r="AL135" t="s">
        <v>56</v>
      </c>
      <c r="AM135" t="s">
        <v>184</v>
      </c>
      <c r="AN135" t="s">
        <v>84</v>
      </c>
      <c r="AO135" s="1">
        <v>73</v>
      </c>
      <c r="AP135" t="s">
        <v>128</v>
      </c>
    </row>
    <row r="136" spans="2:42" x14ac:dyDescent="0.25">
      <c r="B136" s="6">
        <f t="shared" ca="1" si="61"/>
        <v>2029</v>
      </c>
      <c r="C136" s="6">
        <f t="shared" ca="1" si="61"/>
        <v>2</v>
      </c>
      <c r="D136" s="6">
        <f t="shared" ca="1" si="61"/>
        <v>14</v>
      </c>
      <c r="E136" s="6" t="str">
        <f t="shared" ca="1" si="61"/>
        <v>GUITAR</v>
      </c>
      <c r="F136" s="6" t="str">
        <f t="shared" ca="1" si="61"/>
        <v>Warm Sunset</v>
      </c>
      <c r="G136" s="6" t="str">
        <f t="shared" ca="1" si="46"/>
        <v>Radiant Glow</v>
      </c>
      <c r="H136" s="6">
        <f t="shared" ca="1" si="47"/>
        <v>252</v>
      </c>
      <c r="I136" s="6" t="str">
        <f t="shared" ca="1" si="48"/>
        <v>Suikerfeest</v>
      </c>
      <c r="J136" s="6"/>
      <c r="K136" s="7">
        <v>0</v>
      </c>
      <c r="L136" s="7">
        <f t="shared" ca="1" si="49"/>
        <v>0</v>
      </c>
      <c r="M136" s="7">
        <f t="shared" ca="1" si="50"/>
        <v>0</v>
      </c>
      <c r="N136" s="7">
        <f t="shared" ca="1" si="51"/>
        <v>0</v>
      </c>
      <c r="O136" s="7">
        <f t="shared" ca="1" si="52"/>
        <v>0</v>
      </c>
      <c r="P136" s="7">
        <f t="shared" ca="1" si="53"/>
        <v>0</v>
      </c>
      <c r="Q136" s="7">
        <f t="shared" ca="1" si="54"/>
        <v>0</v>
      </c>
      <c r="R136" s="7">
        <f t="shared" ca="1" si="55"/>
        <v>0</v>
      </c>
      <c r="S136" s="7"/>
      <c r="U136" s="5">
        <f t="shared" ca="1" si="62"/>
        <v>46226.662929050923</v>
      </c>
      <c r="V136">
        <f t="shared" ca="1" si="56"/>
        <v>2026</v>
      </c>
      <c r="W136">
        <f t="shared" ca="1" si="57"/>
        <v>7</v>
      </c>
      <c r="X136">
        <f t="shared" ca="1" si="58"/>
        <v>23</v>
      </c>
      <c r="Z136" t="b">
        <f t="shared" ca="1" si="59"/>
        <v>0</v>
      </c>
      <c r="AA136" t="b">
        <f t="shared" ca="1" si="60"/>
        <v>0</v>
      </c>
      <c r="AI136">
        <v>2029</v>
      </c>
      <c r="AJ136">
        <v>5</v>
      </c>
      <c r="AK136">
        <v>20</v>
      </c>
      <c r="AL136" t="s">
        <v>49</v>
      </c>
      <c r="AM136" t="s">
        <v>167</v>
      </c>
      <c r="AN136" t="s">
        <v>85</v>
      </c>
      <c r="AO136" s="1">
        <v>124</v>
      </c>
      <c r="AP136" t="s">
        <v>24</v>
      </c>
    </row>
    <row r="137" spans="2:42" x14ac:dyDescent="0.25">
      <c r="B137" s="6">
        <f t="shared" ca="1" si="61"/>
        <v>2030</v>
      </c>
      <c r="C137" s="6">
        <f t="shared" ca="1" si="61"/>
        <v>2</v>
      </c>
      <c r="D137" s="6">
        <f t="shared" ca="1" si="61"/>
        <v>4</v>
      </c>
      <c r="E137" s="6" t="str">
        <f t="shared" ca="1" si="61"/>
        <v>GUITAR</v>
      </c>
      <c r="F137" s="6" t="str">
        <f t="shared" ca="1" si="61"/>
        <v>Warm Sunset</v>
      </c>
      <c r="G137" s="6" t="str">
        <f t="shared" ca="1" si="46"/>
        <v>Radiant Glow</v>
      </c>
      <c r="H137" s="6">
        <f t="shared" ca="1" si="47"/>
        <v>226</v>
      </c>
      <c r="I137" s="6" t="str">
        <f t="shared" ca="1" si="48"/>
        <v>Suikerfeest</v>
      </c>
      <c r="J137" s="6"/>
      <c r="K137" s="7">
        <v>0</v>
      </c>
      <c r="L137" s="7">
        <f t="shared" ca="1" si="49"/>
        <v>0</v>
      </c>
      <c r="M137" s="7">
        <f t="shared" ca="1" si="50"/>
        <v>0</v>
      </c>
      <c r="N137" s="7">
        <f t="shared" ca="1" si="51"/>
        <v>0</v>
      </c>
      <c r="O137" s="7">
        <f t="shared" ca="1" si="52"/>
        <v>0</v>
      </c>
      <c r="P137" s="7">
        <f t="shared" ca="1" si="53"/>
        <v>0</v>
      </c>
      <c r="Q137" s="7">
        <f t="shared" ca="1" si="54"/>
        <v>0</v>
      </c>
      <c r="R137" s="7">
        <f t="shared" ca="1" si="55"/>
        <v>0</v>
      </c>
      <c r="S137" s="7"/>
      <c r="U137" s="5">
        <f t="shared" ca="1" si="62"/>
        <v>46227.662929050923</v>
      </c>
      <c r="V137">
        <f t="shared" ca="1" si="56"/>
        <v>2026</v>
      </c>
      <c r="W137">
        <f t="shared" ca="1" si="57"/>
        <v>7</v>
      </c>
      <c r="X137">
        <f t="shared" ca="1" si="58"/>
        <v>24</v>
      </c>
      <c r="Z137" t="b">
        <f t="shared" ca="1" si="59"/>
        <v>0</v>
      </c>
      <c r="AA137" t="b">
        <f t="shared" ca="1" si="60"/>
        <v>0</v>
      </c>
      <c r="AI137">
        <v>2029</v>
      </c>
      <c r="AJ137">
        <v>5</v>
      </c>
      <c r="AK137">
        <v>21</v>
      </c>
      <c r="AL137" t="s">
        <v>49</v>
      </c>
      <c r="AM137" t="s">
        <v>167</v>
      </c>
      <c r="AN137" t="s">
        <v>85</v>
      </c>
      <c r="AO137" s="1">
        <v>244</v>
      </c>
      <c r="AP137" t="s">
        <v>1391</v>
      </c>
    </row>
    <row r="138" spans="2:42" x14ac:dyDescent="0.25">
      <c r="B138" s="6">
        <f t="shared" ca="1" si="61"/>
        <v>2031</v>
      </c>
      <c r="C138" s="6">
        <f t="shared" ca="1" si="61"/>
        <v>1</v>
      </c>
      <c r="D138" s="6">
        <f t="shared" ca="1" si="61"/>
        <v>24</v>
      </c>
      <c r="E138" s="6" t="str">
        <f t="shared" ca="1" si="61"/>
        <v>GUITAR</v>
      </c>
      <c r="F138" s="6" t="str">
        <f t="shared" ca="1" si="61"/>
        <v>Warm Sunset</v>
      </c>
      <c r="G138" s="6" t="str">
        <f t="shared" ca="1" si="46"/>
        <v>Radiant Glow</v>
      </c>
      <c r="H138" s="6">
        <f t="shared" ca="1" si="47"/>
        <v>186</v>
      </c>
      <c r="I138" s="6" t="str">
        <f t="shared" ca="1" si="48"/>
        <v>Suikerfeest</v>
      </c>
      <c r="J138" s="6"/>
      <c r="K138" s="7">
        <v>0</v>
      </c>
      <c r="L138" s="7">
        <f t="shared" ca="1" si="49"/>
        <v>0</v>
      </c>
      <c r="M138" s="7">
        <f t="shared" ca="1" si="50"/>
        <v>0</v>
      </c>
      <c r="N138" s="7">
        <f t="shared" ca="1" si="51"/>
        <v>0</v>
      </c>
      <c r="O138" s="7">
        <f t="shared" ca="1" si="52"/>
        <v>0</v>
      </c>
      <c r="P138" s="7">
        <f t="shared" ca="1" si="53"/>
        <v>0</v>
      </c>
      <c r="Q138" s="7">
        <f t="shared" ca="1" si="54"/>
        <v>0</v>
      </c>
      <c r="R138" s="7">
        <f t="shared" ca="1" si="55"/>
        <v>0</v>
      </c>
      <c r="S138" s="7"/>
      <c r="U138" s="5">
        <f t="shared" ca="1" si="62"/>
        <v>46228.662929050923</v>
      </c>
      <c r="V138">
        <f t="shared" ca="1" si="56"/>
        <v>2026</v>
      </c>
      <c r="W138">
        <f t="shared" ca="1" si="57"/>
        <v>7</v>
      </c>
      <c r="X138">
        <f t="shared" ca="1" si="58"/>
        <v>25</v>
      </c>
      <c r="Z138" t="b">
        <f t="shared" ca="1" si="59"/>
        <v>0</v>
      </c>
      <c r="AA138" t="b">
        <f t="shared" ca="1" si="60"/>
        <v>0</v>
      </c>
      <c r="AI138">
        <v>2029</v>
      </c>
      <c r="AJ138">
        <v>6</v>
      </c>
      <c r="AK138">
        <v>1</v>
      </c>
      <c r="AL138" t="s">
        <v>91</v>
      </c>
      <c r="AM138" t="s">
        <v>164</v>
      </c>
      <c r="AN138" t="s">
        <v>85</v>
      </c>
      <c r="AO138" s="1">
        <v>157</v>
      </c>
      <c r="AP138" t="s">
        <v>130</v>
      </c>
    </row>
    <row r="139" spans="2:42" x14ac:dyDescent="0.25">
      <c r="B139" s="6">
        <f t="shared" ca="1" si="61"/>
        <v>2032</v>
      </c>
      <c r="C139" s="6">
        <f t="shared" ca="1" si="61"/>
        <v>1</v>
      </c>
      <c r="D139" s="6">
        <f t="shared" ca="1" si="61"/>
        <v>13</v>
      </c>
      <c r="E139" s="6" t="str">
        <f t="shared" ca="1" si="61"/>
        <v>GUITAR</v>
      </c>
      <c r="F139" s="6" t="str">
        <f t="shared" ca="1" si="61"/>
        <v>Warm Sunset</v>
      </c>
      <c r="G139" s="6" t="str">
        <f t="shared" ca="1" si="46"/>
        <v>Radiant Glow</v>
      </c>
      <c r="H139" s="6">
        <f t="shared" ca="1" si="47"/>
        <v>168</v>
      </c>
      <c r="I139" s="6" t="str">
        <f t="shared" ca="1" si="48"/>
        <v>Suikerfeest</v>
      </c>
      <c r="J139" s="6"/>
      <c r="K139" s="7">
        <v>0</v>
      </c>
      <c r="L139" s="7">
        <f t="shared" ca="1" si="49"/>
        <v>0</v>
      </c>
      <c r="M139" s="7">
        <f t="shared" ca="1" si="50"/>
        <v>0</v>
      </c>
      <c r="N139" s="7">
        <f t="shared" ca="1" si="51"/>
        <v>0</v>
      </c>
      <c r="O139" s="7">
        <f t="shared" ca="1" si="52"/>
        <v>0</v>
      </c>
      <c r="P139" s="7">
        <f t="shared" ca="1" si="53"/>
        <v>0</v>
      </c>
      <c r="Q139" s="7">
        <f t="shared" ca="1" si="54"/>
        <v>0</v>
      </c>
      <c r="R139" s="7">
        <f t="shared" ca="1" si="55"/>
        <v>0</v>
      </c>
      <c r="S139" s="7"/>
      <c r="U139" s="5">
        <f t="shared" ca="1" si="62"/>
        <v>46229.662929050923</v>
      </c>
      <c r="V139">
        <f t="shared" ca="1" si="56"/>
        <v>2026</v>
      </c>
      <c r="W139">
        <f t="shared" ca="1" si="57"/>
        <v>7</v>
      </c>
      <c r="X139">
        <f t="shared" ca="1" si="58"/>
        <v>26</v>
      </c>
      <c r="Z139" t="b">
        <f t="shared" ca="1" si="59"/>
        <v>0</v>
      </c>
      <c r="AA139" t="b">
        <f t="shared" ca="1" si="60"/>
        <v>0</v>
      </c>
      <c r="AI139">
        <v>2029</v>
      </c>
      <c r="AJ139">
        <v>6</v>
      </c>
      <c r="AK139">
        <v>24</v>
      </c>
      <c r="AL139" t="s">
        <v>93</v>
      </c>
      <c r="AM139" t="s">
        <v>158</v>
      </c>
      <c r="AN139" t="s">
        <v>1412</v>
      </c>
      <c r="AO139" s="1">
        <v>61</v>
      </c>
      <c r="AP139" t="s">
        <v>1369</v>
      </c>
    </row>
    <row r="140" spans="2:42" x14ac:dyDescent="0.25">
      <c r="B140" s="6"/>
      <c r="C140" s="6"/>
      <c r="D140" s="6"/>
      <c r="E140" s="6"/>
      <c r="F140" s="6"/>
      <c r="G140" s="6" t="str">
        <f t="shared" ca="1" si="46"/>
        <v>Radiant Glow</v>
      </c>
      <c r="H140" s="6">
        <f t="shared" ca="1" si="47"/>
        <v>190</v>
      </c>
      <c r="I140" s="6" t="str">
        <f t="shared" ca="1" si="48"/>
        <v>Suikerfeest</v>
      </c>
      <c r="J140" s="6"/>
      <c r="K140" s="7">
        <v>0</v>
      </c>
      <c r="L140" s="7">
        <f t="shared" ca="1" si="49"/>
        <v>0</v>
      </c>
      <c r="M140" s="7">
        <f t="shared" ca="1" si="50"/>
        <v>0</v>
      </c>
      <c r="N140" s="7">
        <f t="shared" ca="1" si="51"/>
        <v>0</v>
      </c>
      <c r="O140" s="7">
        <f t="shared" ca="1" si="52"/>
        <v>0</v>
      </c>
      <c r="P140" s="7">
        <f t="shared" ca="1" si="53"/>
        <v>0</v>
      </c>
      <c r="Q140" s="7">
        <f t="shared" ca="1" si="54"/>
        <v>0</v>
      </c>
      <c r="R140" s="7">
        <f t="shared" ca="1" si="55"/>
        <v>0</v>
      </c>
      <c r="S140" s="7"/>
      <c r="U140" s="5">
        <f t="shared" ca="1" si="62"/>
        <v>46230.662929050923</v>
      </c>
      <c r="V140">
        <f t="shared" ca="1" si="56"/>
        <v>2026</v>
      </c>
      <c r="W140">
        <f t="shared" ca="1" si="57"/>
        <v>7</v>
      </c>
      <c r="X140">
        <f t="shared" ca="1" si="58"/>
        <v>27</v>
      </c>
      <c r="Z140" t="b">
        <f t="shared" ca="1" si="59"/>
        <v>0</v>
      </c>
      <c r="AA140" t="b">
        <f t="shared" ca="1" si="60"/>
        <v>0</v>
      </c>
      <c r="AI140">
        <v>2029</v>
      </c>
      <c r="AJ140">
        <v>7</v>
      </c>
      <c r="AK140">
        <v>1</v>
      </c>
      <c r="AL140" t="s">
        <v>91</v>
      </c>
      <c r="AM140" t="s">
        <v>164</v>
      </c>
      <c r="AN140" t="s">
        <v>85</v>
      </c>
      <c r="AO140" s="1">
        <v>171</v>
      </c>
      <c r="AP140" t="s">
        <v>131</v>
      </c>
    </row>
    <row r="141" spans="2:42" x14ac:dyDescent="0.25">
      <c r="B141" s="6"/>
      <c r="C141" s="6"/>
      <c r="D141" s="6"/>
      <c r="E141" s="6"/>
      <c r="F141" s="6"/>
      <c r="G141" s="6" t="str">
        <f t="shared" ca="1" si="46"/>
        <v>Radiant Glow</v>
      </c>
      <c r="H141" s="6">
        <f t="shared" ca="1" si="47"/>
        <v>230</v>
      </c>
      <c r="I141" s="6" t="str">
        <f t="shared" ca="1" si="48"/>
        <v>Suikerfeest</v>
      </c>
      <c r="J141" s="6"/>
      <c r="K141" s="7">
        <v>0</v>
      </c>
      <c r="L141" s="7">
        <f t="shared" ca="1" si="49"/>
        <v>0</v>
      </c>
      <c r="M141" s="7">
        <f t="shared" ca="1" si="50"/>
        <v>0</v>
      </c>
      <c r="N141" s="7">
        <f t="shared" ca="1" si="51"/>
        <v>0</v>
      </c>
      <c r="O141" s="7">
        <f t="shared" ca="1" si="52"/>
        <v>0</v>
      </c>
      <c r="P141" s="7">
        <f t="shared" ca="1" si="53"/>
        <v>0</v>
      </c>
      <c r="Q141" s="7">
        <f t="shared" ca="1" si="54"/>
        <v>0</v>
      </c>
      <c r="R141" s="7">
        <f t="shared" ca="1" si="55"/>
        <v>0</v>
      </c>
      <c r="S141" s="7"/>
      <c r="U141" s="5">
        <f t="shared" ca="1" si="62"/>
        <v>46231.662929050923</v>
      </c>
      <c r="V141">
        <f t="shared" ca="1" si="56"/>
        <v>2026</v>
      </c>
      <c r="W141">
        <f t="shared" ca="1" si="57"/>
        <v>7</v>
      </c>
      <c r="X141">
        <f t="shared" ca="1" si="58"/>
        <v>28</v>
      </c>
      <c r="Z141" t="b">
        <f t="shared" ca="1" si="59"/>
        <v>0</v>
      </c>
      <c r="AA141" t="b">
        <f t="shared" ca="1" si="60"/>
        <v>0</v>
      </c>
      <c r="AI141">
        <v>2029</v>
      </c>
      <c r="AJ141">
        <v>8</v>
      </c>
      <c r="AK141">
        <v>1</v>
      </c>
      <c r="AL141" t="s">
        <v>91</v>
      </c>
      <c r="AM141" t="s">
        <v>164</v>
      </c>
      <c r="AN141" t="s">
        <v>85</v>
      </c>
      <c r="AO141" s="1">
        <v>231</v>
      </c>
      <c r="AP141" t="s">
        <v>132</v>
      </c>
    </row>
    <row r="142" spans="2:42" x14ac:dyDescent="0.25">
      <c r="B142" s="6"/>
      <c r="C142" s="6"/>
      <c r="D142" s="6"/>
      <c r="E142" s="6"/>
      <c r="F142" s="6"/>
      <c r="G142" s="6" t="str">
        <f t="shared" ca="1" si="46"/>
        <v>Radiant Glow</v>
      </c>
      <c r="H142" s="6">
        <f t="shared" ca="1" si="47"/>
        <v>253</v>
      </c>
      <c r="I142" s="6" t="str">
        <f t="shared" ca="1" si="48"/>
        <v>Suikerfeest</v>
      </c>
      <c r="J142" s="6"/>
      <c r="K142" s="7">
        <v>0</v>
      </c>
      <c r="L142" s="7">
        <f t="shared" ca="1" si="49"/>
        <v>0</v>
      </c>
      <c r="M142" s="7">
        <f t="shared" ca="1" si="50"/>
        <v>0</v>
      </c>
      <c r="N142" s="7">
        <f t="shared" ca="1" si="51"/>
        <v>0</v>
      </c>
      <c r="O142" s="7">
        <f t="shared" ca="1" si="52"/>
        <v>0</v>
      </c>
      <c r="P142" s="7">
        <f t="shared" ca="1" si="53"/>
        <v>0</v>
      </c>
      <c r="Q142" s="7">
        <f t="shared" ca="1" si="54"/>
        <v>0</v>
      </c>
      <c r="R142" s="7">
        <f t="shared" ca="1" si="55"/>
        <v>0</v>
      </c>
      <c r="S142" s="7"/>
      <c r="U142" s="5">
        <f t="shared" ca="1" si="62"/>
        <v>46232.662929050923</v>
      </c>
      <c r="V142">
        <f t="shared" ca="1" si="56"/>
        <v>2026</v>
      </c>
      <c r="W142">
        <f t="shared" ca="1" si="57"/>
        <v>7</v>
      </c>
      <c r="X142">
        <f t="shared" ca="1" si="58"/>
        <v>29</v>
      </c>
      <c r="Z142" t="b">
        <f t="shared" ca="1" si="59"/>
        <v>0</v>
      </c>
      <c r="AA142" t="b">
        <f t="shared" ca="1" si="60"/>
        <v>0</v>
      </c>
      <c r="AI142">
        <v>2029</v>
      </c>
      <c r="AJ142">
        <v>9</v>
      </c>
      <c r="AK142">
        <v>1</v>
      </c>
      <c r="AL142" t="s">
        <v>91</v>
      </c>
      <c r="AM142" t="s">
        <v>164</v>
      </c>
      <c r="AN142" t="s">
        <v>85</v>
      </c>
      <c r="AO142" s="1">
        <v>282</v>
      </c>
      <c r="AP142" t="s">
        <v>133</v>
      </c>
    </row>
    <row r="143" spans="2:42" x14ac:dyDescent="0.25">
      <c r="G143" s="6" t="str">
        <f t="shared" ca="1" si="46"/>
        <v>Radiant Glow</v>
      </c>
      <c r="H143" s="6">
        <f t="shared" ca="1" si="47"/>
        <v>236</v>
      </c>
      <c r="I143" s="6" t="str">
        <f t="shared" ca="1" si="48"/>
        <v>Suikerfeest</v>
      </c>
      <c r="J143" s="6"/>
      <c r="K143" s="7">
        <v>0</v>
      </c>
      <c r="L143" s="7">
        <f t="shared" ca="1" si="49"/>
        <v>0</v>
      </c>
      <c r="M143" s="7">
        <f t="shared" ca="1" si="50"/>
        <v>0</v>
      </c>
      <c r="N143" s="7">
        <f t="shared" ca="1" si="51"/>
        <v>0</v>
      </c>
      <c r="O143" s="7">
        <f t="shared" ca="1" si="52"/>
        <v>0</v>
      </c>
      <c r="P143" s="7">
        <f t="shared" ca="1" si="53"/>
        <v>0</v>
      </c>
      <c r="Q143" s="7">
        <f t="shared" ca="1" si="54"/>
        <v>0</v>
      </c>
      <c r="R143" s="7">
        <f t="shared" ca="1" si="55"/>
        <v>0</v>
      </c>
      <c r="S143" s="7"/>
      <c r="U143" s="5">
        <f t="shared" ca="1" si="62"/>
        <v>46233.662929050923</v>
      </c>
      <c r="V143">
        <f t="shared" ca="1" si="56"/>
        <v>2026</v>
      </c>
      <c r="W143">
        <f t="shared" ca="1" si="57"/>
        <v>7</v>
      </c>
      <c r="X143">
        <f t="shared" ca="1" si="58"/>
        <v>30</v>
      </c>
      <c r="Z143" t="b">
        <f t="shared" ca="1" si="59"/>
        <v>0</v>
      </c>
      <c r="AA143" t="b">
        <f t="shared" ca="1" si="60"/>
        <v>0</v>
      </c>
      <c r="AI143">
        <v>2029</v>
      </c>
      <c r="AJ143">
        <v>10</v>
      </c>
      <c r="AK143">
        <v>1</v>
      </c>
      <c r="AL143" t="s">
        <v>91</v>
      </c>
      <c r="AM143" t="s">
        <v>164</v>
      </c>
      <c r="AN143" t="s">
        <v>85</v>
      </c>
      <c r="AO143" s="1">
        <v>277</v>
      </c>
      <c r="AP143" t="s">
        <v>134</v>
      </c>
    </row>
    <row r="144" spans="2:42" x14ac:dyDescent="0.25">
      <c r="G144" s="6" t="str">
        <f t="shared" ca="1" si="46"/>
        <v>Radiant Glow</v>
      </c>
      <c r="H144" s="6">
        <f t="shared" ca="1" si="47"/>
        <v>196</v>
      </c>
      <c r="I144" s="6" t="str">
        <f t="shared" ca="1" si="48"/>
        <v>Suikerfeest</v>
      </c>
      <c r="J144" s="6"/>
      <c r="K144" s="7">
        <v>0</v>
      </c>
      <c r="L144" s="7">
        <f t="shared" ca="1" si="49"/>
        <v>0</v>
      </c>
      <c r="M144" s="7">
        <f t="shared" ca="1" si="50"/>
        <v>0</v>
      </c>
      <c r="N144" s="7">
        <f t="shared" ca="1" si="51"/>
        <v>0</v>
      </c>
      <c r="O144" s="7">
        <f t="shared" ca="1" si="52"/>
        <v>0</v>
      </c>
      <c r="P144" s="7">
        <f t="shared" ca="1" si="53"/>
        <v>0</v>
      </c>
      <c r="Q144" s="7">
        <f t="shared" ca="1" si="54"/>
        <v>0</v>
      </c>
      <c r="R144" s="7">
        <f t="shared" ca="1" si="55"/>
        <v>0</v>
      </c>
      <c r="S144" s="7"/>
      <c r="U144" s="5">
        <f t="shared" ca="1" si="62"/>
        <v>46234.662929050923</v>
      </c>
      <c r="V144">
        <f t="shared" ca="1" si="56"/>
        <v>2026</v>
      </c>
      <c r="W144">
        <f t="shared" ca="1" si="57"/>
        <v>7</v>
      </c>
      <c r="X144">
        <f t="shared" ca="1" si="58"/>
        <v>31</v>
      </c>
      <c r="Z144" t="b">
        <f t="shared" ca="1" si="59"/>
        <v>0</v>
      </c>
      <c r="AA144" t="b">
        <f t="shared" ca="1" si="60"/>
        <v>0</v>
      </c>
      <c r="AI144">
        <v>2029</v>
      </c>
      <c r="AJ144">
        <v>10</v>
      </c>
      <c r="AK144">
        <v>8</v>
      </c>
      <c r="AL144" t="s">
        <v>56</v>
      </c>
      <c r="AM144" t="s">
        <v>184</v>
      </c>
      <c r="AN144" t="s">
        <v>84</v>
      </c>
      <c r="AO144" s="1">
        <v>105</v>
      </c>
      <c r="AP144" t="s">
        <v>135</v>
      </c>
    </row>
    <row r="145" spans="7:42" x14ac:dyDescent="0.25">
      <c r="G145" s="6" t="str">
        <f t="shared" ca="1" si="46"/>
        <v>Radiant Glow</v>
      </c>
      <c r="H145" s="6">
        <f t="shared" ca="1" si="47"/>
        <v>169</v>
      </c>
      <c r="I145" s="6" t="str">
        <f t="shared" ca="1" si="48"/>
        <v>Suikerfeest</v>
      </c>
      <c r="J145" s="6"/>
      <c r="K145" s="7">
        <v>0</v>
      </c>
      <c r="L145" s="7">
        <f t="shared" ca="1" si="49"/>
        <v>0</v>
      </c>
      <c r="M145" s="7">
        <f t="shared" ca="1" si="50"/>
        <v>0</v>
      </c>
      <c r="N145" s="7">
        <f t="shared" ca="1" si="51"/>
        <v>0</v>
      </c>
      <c r="O145" s="7">
        <f t="shared" ca="1" si="52"/>
        <v>0</v>
      </c>
      <c r="P145" s="7">
        <f t="shared" ca="1" si="53"/>
        <v>0</v>
      </c>
      <c r="Q145" s="7">
        <f t="shared" ca="1" si="54"/>
        <v>0</v>
      </c>
      <c r="R145" s="7">
        <f t="shared" ca="1" si="55"/>
        <v>0</v>
      </c>
      <c r="S145" s="7"/>
      <c r="U145" s="5">
        <f t="shared" ca="1" si="62"/>
        <v>46235.662929050923</v>
      </c>
      <c r="V145">
        <f t="shared" ca="1" si="56"/>
        <v>2026</v>
      </c>
      <c r="W145">
        <f t="shared" ca="1" si="57"/>
        <v>8</v>
      </c>
      <c r="X145">
        <f t="shared" ca="1" si="58"/>
        <v>1</v>
      </c>
      <c r="Z145" t="b">
        <f t="shared" ca="1" si="59"/>
        <v>0</v>
      </c>
      <c r="AA145" t="b">
        <f t="shared" ca="1" si="60"/>
        <v>0</v>
      </c>
      <c r="AI145">
        <v>2029</v>
      </c>
      <c r="AJ145">
        <v>11</v>
      </c>
      <c r="AK145">
        <v>1</v>
      </c>
      <c r="AL145" t="s">
        <v>91</v>
      </c>
      <c r="AM145" t="s">
        <v>164</v>
      </c>
      <c r="AN145" t="s">
        <v>85</v>
      </c>
      <c r="AO145" s="1">
        <v>221</v>
      </c>
      <c r="AP145" t="s">
        <v>136</v>
      </c>
    </row>
    <row r="146" spans="7:42" x14ac:dyDescent="0.25">
      <c r="G146" s="6" t="str">
        <f t="shared" ca="1" si="46"/>
        <v/>
      </c>
      <c r="H146" s="6" t="str">
        <f t="shared" ca="1" si="47"/>
        <v/>
      </c>
      <c r="I146" s="6" t="str">
        <f t="shared" ca="1" si="48"/>
        <v/>
      </c>
      <c r="J146" s="6"/>
      <c r="K146" s="7">
        <v>0</v>
      </c>
      <c r="L146" s="7">
        <f t="shared" ca="1" si="49"/>
        <v>0</v>
      </c>
      <c r="M146" s="7">
        <f t="shared" ca="1" si="50"/>
        <v>0</v>
      </c>
      <c r="N146" s="7">
        <f t="shared" ca="1" si="51"/>
        <v>0</v>
      </c>
      <c r="O146" s="7">
        <f t="shared" ca="1" si="52"/>
        <v>0</v>
      </c>
      <c r="P146" s="7">
        <f t="shared" ca="1" si="53"/>
        <v>0</v>
      </c>
      <c r="Q146" s="7">
        <f t="shared" ca="1" si="54"/>
        <v>0</v>
      </c>
      <c r="R146" s="7">
        <f t="shared" ca="1" si="55"/>
        <v>0</v>
      </c>
      <c r="S146" s="7"/>
      <c r="U146" s="5">
        <f t="shared" ca="1" si="62"/>
        <v>46236.662929050923</v>
      </c>
      <c r="V146">
        <f t="shared" ca="1" si="56"/>
        <v>2026</v>
      </c>
      <c r="W146">
        <f t="shared" ca="1" si="57"/>
        <v>8</v>
      </c>
      <c r="X146">
        <f t="shared" ca="1" si="58"/>
        <v>2</v>
      </c>
      <c r="Z146" t="b">
        <f t="shared" ca="1" si="59"/>
        <v>0</v>
      </c>
      <c r="AA146" t="b">
        <f t="shared" ca="1" si="60"/>
        <v>0</v>
      </c>
      <c r="AI146">
        <v>2029</v>
      </c>
      <c r="AJ146">
        <v>12</v>
      </c>
      <c r="AK146">
        <v>1</v>
      </c>
      <c r="AL146" t="s">
        <v>91</v>
      </c>
      <c r="AM146" t="s">
        <v>164</v>
      </c>
      <c r="AN146" t="s">
        <v>85</v>
      </c>
      <c r="AO146" s="1">
        <v>165</v>
      </c>
      <c r="AP146" t="s">
        <v>137</v>
      </c>
    </row>
    <row r="147" spans="7:42" x14ac:dyDescent="0.25">
      <c r="G147" s="6" t="str">
        <f t="shared" ca="1" si="46"/>
        <v/>
      </c>
      <c r="H147" s="6" t="str">
        <f t="shared" ca="1" si="47"/>
        <v/>
      </c>
      <c r="I147" s="6" t="str">
        <f t="shared" ca="1" si="48"/>
        <v/>
      </c>
      <c r="J147" s="6"/>
      <c r="K147" s="7">
        <v>0</v>
      </c>
      <c r="L147" s="7">
        <f t="shared" ca="1" si="49"/>
        <v>0</v>
      </c>
      <c r="M147" s="7">
        <f t="shared" ca="1" si="50"/>
        <v>0</v>
      </c>
      <c r="N147" s="7">
        <f t="shared" ca="1" si="51"/>
        <v>0</v>
      </c>
      <c r="O147" s="7">
        <f t="shared" ca="1" si="52"/>
        <v>0</v>
      </c>
      <c r="P147" s="7">
        <f t="shared" ca="1" si="53"/>
        <v>0</v>
      </c>
      <c r="Q147" s="7">
        <f t="shared" ca="1" si="54"/>
        <v>0</v>
      </c>
      <c r="R147" s="7">
        <f t="shared" ca="1" si="55"/>
        <v>0</v>
      </c>
      <c r="S147" s="7"/>
      <c r="U147" s="5">
        <f t="shared" ca="1" si="62"/>
        <v>46237.662929050923</v>
      </c>
      <c r="V147">
        <f t="shared" ca="1" si="56"/>
        <v>2026</v>
      </c>
      <c r="W147">
        <f t="shared" ca="1" si="57"/>
        <v>8</v>
      </c>
      <c r="X147">
        <f t="shared" ca="1" si="58"/>
        <v>3</v>
      </c>
      <c r="Z147" t="b">
        <f t="shared" ca="1" si="59"/>
        <v>0</v>
      </c>
      <c r="AA147" t="b">
        <f t="shared" ca="1" si="60"/>
        <v>0</v>
      </c>
      <c r="AI147">
        <v>2029</v>
      </c>
      <c r="AJ147">
        <v>12</v>
      </c>
      <c r="AK147">
        <v>5</v>
      </c>
      <c r="AL147" t="s">
        <v>53</v>
      </c>
      <c r="AM147" t="s">
        <v>224</v>
      </c>
      <c r="AN147" t="s">
        <v>258</v>
      </c>
      <c r="AO147" s="1">
        <v>113</v>
      </c>
      <c r="AP147" t="s">
        <v>1234</v>
      </c>
    </row>
    <row r="148" spans="7:42" x14ac:dyDescent="0.25">
      <c r="G148" s="6" t="str">
        <f t="shared" ca="1" si="46"/>
        <v/>
      </c>
      <c r="H148" s="6" t="str">
        <f t="shared" ca="1" si="47"/>
        <v/>
      </c>
      <c r="I148" s="6" t="str">
        <f t="shared" ca="1" si="48"/>
        <v/>
      </c>
      <c r="J148" s="6"/>
      <c r="K148" s="7">
        <v>0</v>
      </c>
      <c r="L148" s="7">
        <f t="shared" ca="1" si="49"/>
        <v>0</v>
      </c>
      <c r="M148" s="7">
        <f t="shared" ca="1" si="50"/>
        <v>0</v>
      </c>
      <c r="N148" s="7">
        <f t="shared" ca="1" si="51"/>
        <v>0</v>
      </c>
      <c r="O148" s="7">
        <f t="shared" ca="1" si="52"/>
        <v>0</v>
      </c>
      <c r="P148" s="7">
        <f t="shared" ca="1" si="53"/>
        <v>0</v>
      </c>
      <c r="Q148" s="7">
        <f t="shared" ca="1" si="54"/>
        <v>0</v>
      </c>
      <c r="R148" s="7">
        <f t="shared" ca="1" si="55"/>
        <v>0</v>
      </c>
      <c r="S148" s="7"/>
      <c r="U148" s="5">
        <f t="shared" ca="1" si="62"/>
        <v>46238.662929050923</v>
      </c>
      <c r="V148">
        <f t="shared" ca="1" si="56"/>
        <v>2026</v>
      </c>
      <c r="W148">
        <f t="shared" ca="1" si="57"/>
        <v>8</v>
      </c>
      <c r="X148">
        <f t="shared" ca="1" si="58"/>
        <v>4</v>
      </c>
      <c r="Z148" t="b">
        <f t="shared" ca="1" si="59"/>
        <v>0</v>
      </c>
      <c r="AA148" t="b">
        <f t="shared" ca="1" si="60"/>
        <v>0</v>
      </c>
      <c r="AI148">
        <v>2029</v>
      </c>
      <c r="AJ148">
        <v>12</v>
      </c>
      <c r="AK148">
        <v>13</v>
      </c>
      <c r="AL148" t="s">
        <v>56</v>
      </c>
      <c r="AM148" t="s">
        <v>184</v>
      </c>
      <c r="AN148" t="s">
        <v>84</v>
      </c>
      <c r="AO148" s="1">
        <v>114</v>
      </c>
      <c r="AP148" t="s">
        <v>138</v>
      </c>
    </row>
    <row r="149" spans="7:42" x14ac:dyDescent="0.25">
      <c r="G149" s="6" t="str">
        <f t="shared" ca="1" si="46"/>
        <v/>
      </c>
      <c r="H149" s="6" t="str">
        <f t="shared" ca="1" si="47"/>
        <v/>
      </c>
      <c r="I149" s="6" t="str">
        <f t="shared" ca="1" si="48"/>
        <v/>
      </c>
      <c r="J149" s="6"/>
      <c r="K149" s="7">
        <v>0</v>
      </c>
      <c r="L149" s="7">
        <f t="shared" ca="1" si="49"/>
        <v>0</v>
      </c>
      <c r="M149" s="7">
        <f t="shared" ca="1" si="50"/>
        <v>0</v>
      </c>
      <c r="N149" s="7">
        <f t="shared" ca="1" si="51"/>
        <v>0</v>
      </c>
      <c r="O149" s="7">
        <f t="shared" ca="1" si="52"/>
        <v>0</v>
      </c>
      <c r="P149" s="7">
        <f t="shared" ca="1" si="53"/>
        <v>0</v>
      </c>
      <c r="Q149" s="7">
        <f t="shared" ca="1" si="54"/>
        <v>0</v>
      </c>
      <c r="R149" s="7">
        <f t="shared" ca="1" si="55"/>
        <v>0</v>
      </c>
      <c r="S149" s="7"/>
      <c r="U149" s="5">
        <f t="shared" ca="1" si="62"/>
        <v>46239.662929050923</v>
      </c>
      <c r="V149">
        <f t="shared" ca="1" si="56"/>
        <v>2026</v>
      </c>
      <c r="W149">
        <f t="shared" ca="1" si="57"/>
        <v>8</v>
      </c>
      <c r="X149">
        <f t="shared" ca="1" si="58"/>
        <v>5</v>
      </c>
      <c r="Z149" t="b">
        <f t="shared" ca="1" si="59"/>
        <v>0</v>
      </c>
      <c r="AA149" t="b">
        <f t="shared" ca="1" si="60"/>
        <v>0</v>
      </c>
      <c r="AI149">
        <v>2029</v>
      </c>
      <c r="AJ149">
        <v>12</v>
      </c>
      <c r="AK149">
        <v>25</v>
      </c>
      <c r="AL149" t="s">
        <v>43</v>
      </c>
      <c r="AM149" t="s">
        <v>230</v>
      </c>
      <c r="AN149" t="s">
        <v>1411</v>
      </c>
      <c r="AO149" s="1">
        <v>95</v>
      </c>
      <c r="AP149" t="s">
        <v>7</v>
      </c>
    </row>
    <row r="150" spans="7:42" x14ac:dyDescent="0.25">
      <c r="G150" s="6" t="str">
        <f t="shared" ca="1" si="46"/>
        <v/>
      </c>
      <c r="H150" s="6" t="str">
        <f t="shared" ca="1" si="47"/>
        <v/>
      </c>
      <c r="I150" s="6" t="str">
        <f t="shared" ca="1" si="48"/>
        <v/>
      </c>
      <c r="J150" s="6"/>
      <c r="K150" s="7">
        <v>0</v>
      </c>
      <c r="L150" s="7">
        <f t="shared" ca="1" si="49"/>
        <v>0</v>
      </c>
      <c r="M150" s="7">
        <f t="shared" ca="1" si="50"/>
        <v>0</v>
      </c>
      <c r="N150" s="7">
        <f t="shared" ca="1" si="51"/>
        <v>0</v>
      </c>
      <c r="O150" s="7">
        <f t="shared" ca="1" si="52"/>
        <v>0</v>
      </c>
      <c r="P150" s="7">
        <f t="shared" ca="1" si="53"/>
        <v>0</v>
      </c>
      <c r="Q150" s="7">
        <f t="shared" ca="1" si="54"/>
        <v>0</v>
      </c>
      <c r="R150" s="7">
        <f t="shared" ca="1" si="55"/>
        <v>0</v>
      </c>
      <c r="S150" s="7"/>
      <c r="U150" s="5">
        <f t="shared" ca="1" si="62"/>
        <v>46240.662929050923</v>
      </c>
      <c r="V150">
        <f t="shared" ca="1" si="56"/>
        <v>2026</v>
      </c>
      <c r="W150">
        <f t="shared" ca="1" si="57"/>
        <v>8</v>
      </c>
      <c r="X150">
        <f t="shared" ca="1" si="58"/>
        <v>6</v>
      </c>
      <c r="Z150" t="b">
        <f t="shared" ca="1" si="59"/>
        <v>0</v>
      </c>
      <c r="AA150" t="b">
        <f t="shared" ca="1" si="60"/>
        <v>0</v>
      </c>
      <c r="AI150">
        <v>2029</v>
      </c>
      <c r="AJ150">
        <v>12</v>
      </c>
      <c r="AK150">
        <v>26</v>
      </c>
      <c r="AL150" t="s">
        <v>43</v>
      </c>
      <c r="AM150" t="s">
        <v>201</v>
      </c>
      <c r="AN150" t="s">
        <v>86</v>
      </c>
      <c r="AO150" s="1">
        <v>108</v>
      </c>
      <c r="AP150" t="s">
        <v>78</v>
      </c>
    </row>
    <row r="151" spans="7:42" x14ac:dyDescent="0.25">
      <c r="G151" s="6" t="str">
        <f t="shared" ca="1" si="46"/>
        <v/>
      </c>
      <c r="H151" s="6" t="str">
        <f t="shared" ca="1" si="47"/>
        <v/>
      </c>
      <c r="I151" s="6" t="str">
        <f t="shared" ca="1" si="48"/>
        <v/>
      </c>
      <c r="J151" s="6"/>
      <c r="K151" s="7">
        <v>0</v>
      </c>
      <c r="L151" s="7">
        <f t="shared" ca="1" si="49"/>
        <v>0</v>
      </c>
      <c r="M151" s="7">
        <f t="shared" ca="1" si="50"/>
        <v>0</v>
      </c>
      <c r="N151" s="7">
        <f t="shared" ca="1" si="51"/>
        <v>0</v>
      </c>
      <c r="O151" s="7">
        <f t="shared" ca="1" si="52"/>
        <v>0</v>
      </c>
      <c r="P151" s="7">
        <f t="shared" ca="1" si="53"/>
        <v>0</v>
      </c>
      <c r="Q151" s="7">
        <f t="shared" ca="1" si="54"/>
        <v>0</v>
      </c>
      <c r="R151" s="7">
        <f t="shared" ca="1" si="55"/>
        <v>0</v>
      </c>
      <c r="S151" s="7"/>
      <c r="U151" s="5">
        <f t="shared" ca="1" si="62"/>
        <v>46241.662929050923</v>
      </c>
      <c r="V151">
        <f t="shared" ca="1" si="56"/>
        <v>2026</v>
      </c>
      <c r="W151">
        <f t="shared" ca="1" si="57"/>
        <v>8</v>
      </c>
      <c r="X151">
        <f t="shared" ca="1" si="58"/>
        <v>7</v>
      </c>
      <c r="Z151" t="b">
        <f t="shared" ca="1" si="59"/>
        <v>0</v>
      </c>
      <c r="AA151" t="b">
        <f t="shared" ca="1" si="60"/>
        <v>0</v>
      </c>
      <c r="AI151">
        <v>2029</v>
      </c>
      <c r="AJ151">
        <v>12</v>
      </c>
      <c r="AK151">
        <v>28</v>
      </c>
      <c r="AL151" t="s">
        <v>52</v>
      </c>
      <c r="AM151" t="s">
        <v>245</v>
      </c>
      <c r="AN151" t="s">
        <v>1411</v>
      </c>
      <c r="AO151" s="1">
        <v>77</v>
      </c>
      <c r="AP151" t="s">
        <v>1367</v>
      </c>
    </row>
    <row r="152" spans="7:42" x14ac:dyDescent="0.25">
      <c r="G152" s="6" t="str">
        <f t="shared" ca="1" si="46"/>
        <v/>
      </c>
      <c r="H152" s="6" t="str">
        <f t="shared" ca="1" si="47"/>
        <v/>
      </c>
      <c r="I152" s="6" t="str">
        <f t="shared" ca="1" si="48"/>
        <v/>
      </c>
      <c r="J152" s="6"/>
      <c r="K152" s="7">
        <v>0</v>
      </c>
      <c r="L152" s="7">
        <f t="shared" ca="1" si="49"/>
        <v>0</v>
      </c>
      <c r="M152" s="7">
        <f t="shared" ca="1" si="50"/>
        <v>0</v>
      </c>
      <c r="N152" s="7">
        <f t="shared" ca="1" si="51"/>
        <v>0</v>
      </c>
      <c r="O152" s="7">
        <f t="shared" ca="1" si="52"/>
        <v>0</v>
      </c>
      <c r="P152" s="7">
        <f t="shared" ca="1" si="53"/>
        <v>0</v>
      </c>
      <c r="Q152" s="7">
        <f t="shared" ca="1" si="54"/>
        <v>0</v>
      </c>
      <c r="R152" s="7">
        <f t="shared" ca="1" si="55"/>
        <v>0</v>
      </c>
      <c r="S152" s="7"/>
      <c r="U152" s="5">
        <f t="shared" ca="1" si="62"/>
        <v>46242.662929050923</v>
      </c>
      <c r="V152">
        <f t="shared" ca="1" si="56"/>
        <v>2026</v>
      </c>
      <c r="W152">
        <f t="shared" ca="1" si="57"/>
        <v>8</v>
      </c>
      <c r="X152">
        <f t="shared" ca="1" si="58"/>
        <v>8</v>
      </c>
      <c r="Z152" t="b">
        <f t="shared" ca="1" si="59"/>
        <v>0</v>
      </c>
      <c r="AA152" t="b">
        <f t="shared" ca="1" si="60"/>
        <v>0</v>
      </c>
      <c r="AI152">
        <v>2030</v>
      </c>
      <c r="AJ152">
        <v>1</v>
      </c>
      <c r="AK152">
        <v>1</v>
      </c>
      <c r="AL152" t="s">
        <v>93</v>
      </c>
      <c r="AM152" t="s">
        <v>256</v>
      </c>
      <c r="AN152" t="s">
        <v>83</v>
      </c>
      <c r="AO152" s="1">
        <v>77</v>
      </c>
      <c r="AP152" t="s">
        <v>8</v>
      </c>
    </row>
    <row r="153" spans="7:42" x14ac:dyDescent="0.25">
      <c r="G153" s="6">
        <f t="shared" ca="1" si="46"/>
        <v>0</v>
      </c>
      <c r="H153" s="6">
        <f t="shared" ca="1" si="47"/>
        <v>0</v>
      </c>
      <c r="I153" s="6">
        <f t="shared" ca="1" si="48"/>
        <v>0</v>
      </c>
      <c r="J153" s="6"/>
      <c r="K153" s="7">
        <v>0</v>
      </c>
      <c r="L153" s="7">
        <f t="shared" ca="1" si="49"/>
        <v>0</v>
      </c>
      <c r="M153" s="7">
        <f t="shared" ca="1" si="50"/>
        <v>0</v>
      </c>
      <c r="N153" s="7">
        <f t="shared" ca="1" si="51"/>
        <v>0</v>
      </c>
      <c r="O153" s="7">
        <f t="shared" ca="1" si="52"/>
        <v>0</v>
      </c>
      <c r="P153" s="7">
        <f t="shared" ca="1" si="53"/>
        <v>0</v>
      </c>
      <c r="Q153" s="7">
        <f t="shared" ca="1" si="54"/>
        <v>0</v>
      </c>
      <c r="R153" s="7">
        <f t="shared" ca="1" si="55"/>
        <v>0</v>
      </c>
      <c r="S153" s="7"/>
      <c r="U153" s="5">
        <f t="shared" ca="1" si="62"/>
        <v>46243.662929050923</v>
      </c>
      <c r="V153">
        <f t="shared" ca="1" si="56"/>
        <v>2026</v>
      </c>
      <c r="W153">
        <f t="shared" ca="1" si="57"/>
        <v>8</v>
      </c>
      <c r="X153">
        <f t="shared" ca="1" si="58"/>
        <v>9</v>
      </c>
      <c r="Z153" t="b">
        <f t="shared" ca="1" si="59"/>
        <v>0</v>
      </c>
      <c r="AA153" t="b">
        <f t="shared" ca="1" si="60"/>
        <v>0</v>
      </c>
      <c r="AI153">
        <v>2030</v>
      </c>
      <c r="AJ153">
        <v>2</v>
      </c>
      <c r="AK153">
        <v>1</v>
      </c>
      <c r="AL153" t="s">
        <v>91</v>
      </c>
      <c r="AM153" t="s">
        <v>164</v>
      </c>
      <c r="AN153" t="s">
        <v>85</v>
      </c>
      <c r="AO153" s="1">
        <v>249</v>
      </c>
      <c r="AP153" t="s">
        <v>1487</v>
      </c>
    </row>
    <row r="154" spans="7:42" x14ac:dyDescent="0.25">
      <c r="G154" s="6">
        <f t="shared" ca="1" si="46"/>
        <v>0</v>
      </c>
      <c r="H154" s="6">
        <f t="shared" ca="1" si="47"/>
        <v>0</v>
      </c>
      <c r="I154" s="6">
        <f t="shared" ca="1" si="48"/>
        <v>0</v>
      </c>
      <c r="J154" s="6"/>
      <c r="K154" s="7">
        <v>0</v>
      </c>
      <c r="L154" s="7">
        <f t="shared" ca="1" si="49"/>
        <v>0</v>
      </c>
      <c r="M154" s="7">
        <f t="shared" ca="1" si="50"/>
        <v>0</v>
      </c>
      <c r="N154" s="7">
        <f t="shared" ca="1" si="51"/>
        <v>0</v>
      </c>
      <c r="O154" s="7">
        <f t="shared" ca="1" si="52"/>
        <v>0</v>
      </c>
      <c r="P154" s="7">
        <f t="shared" ca="1" si="53"/>
        <v>0</v>
      </c>
      <c r="Q154" s="7">
        <f t="shared" ca="1" si="54"/>
        <v>0</v>
      </c>
      <c r="R154" s="7">
        <f t="shared" ca="1" si="55"/>
        <v>0</v>
      </c>
      <c r="S154" s="7"/>
      <c r="U154" s="5">
        <f t="shared" ca="1" si="62"/>
        <v>46244.662929050923</v>
      </c>
      <c r="V154">
        <f t="shared" ca="1" si="56"/>
        <v>2026</v>
      </c>
      <c r="W154">
        <f t="shared" ca="1" si="57"/>
        <v>8</v>
      </c>
      <c r="X154">
        <f t="shared" ca="1" si="58"/>
        <v>10</v>
      </c>
      <c r="Z154" t="b">
        <f t="shared" ca="1" si="59"/>
        <v>0</v>
      </c>
      <c r="AA154" t="b">
        <f t="shared" ca="1" si="60"/>
        <v>0</v>
      </c>
      <c r="AI154">
        <v>2030</v>
      </c>
      <c r="AJ154">
        <v>2</v>
      </c>
      <c r="AK154">
        <v>4</v>
      </c>
      <c r="AL154" t="s">
        <v>52</v>
      </c>
      <c r="AM154" t="s">
        <v>79</v>
      </c>
      <c r="AN154" t="s">
        <v>259</v>
      </c>
      <c r="AO154" s="1">
        <v>226</v>
      </c>
      <c r="AP154" t="s">
        <v>1388</v>
      </c>
    </row>
    <row r="155" spans="7:42" x14ac:dyDescent="0.25">
      <c r="G155" s="6">
        <f t="shared" ca="1" si="46"/>
        <v>0</v>
      </c>
      <c r="H155" s="6">
        <f t="shared" ca="1" si="47"/>
        <v>0</v>
      </c>
      <c r="I155" s="6">
        <f t="shared" ca="1" si="48"/>
        <v>0</v>
      </c>
      <c r="J155" s="6"/>
      <c r="K155" s="7">
        <v>0</v>
      </c>
      <c r="L155" s="7">
        <f t="shared" ca="1" si="49"/>
        <v>0</v>
      </c>
      <c r="M155" s="7">
        <f t="shared" ca="1" si="50"/>
        <v>0</v>
      </c>
      <c r="N155" s="7">
        <f t="shared" ca="1" si="51"/>
        <v>0</v>
      </c>
      <c r="O155" s="7">
        <f t="shared" ca="1" si="52"/>
        <v>0</v>
      </c>
      <c r="P155" s="7">
        <f t="shared" ca="1" si="53"/>
        <v>0</v>
      </c>
      <c r="Q155" s="7">
        <f t="shared" ca="1" si="54"/>
        <v>0</v>
      </c>
      <c r="R155" s="7">
        <f t="shared" ca="1" si="55"/>
        <v>0</v>
      </c>
      <c r="S155" s="7"/>
      <c r="U155" s="5">
        <f t="shared" ca="1" si="62"/>
        <v>46245.662929050923</v>
      </c>
      <c r="V155">
        <f t="shared" ca="1" si="56"/>
        <v>2026</v>
      </c>
      <c r="W155">
        <f t="shared" ca="1" si="57"/>
        <v>8</v>
      </c>
      <c r="X155">
        <f t="shared" ca="1" si="58"/>
        <v>11</v>
      </c>
      <c r="Z155" t="b">
        <f t="shared" ca="1" si="59"/>
        <v>0</v>
      </c>
      <c r="AA155" t="b">
        <f t="shared" ca="1" si="60"/>
        <v>0</v>
      </c>
      <c r="AI155">
        <v>2030</v>
      </c>
      <c r="AJ155">
        <v>2</v>
      </c>
      <c r="AK155">
        <v>14</v>
      </c>
      <c r="AL155" t="s">
        <v>93</v>
      </c>
      <c r="AM155" t="s">
        <v>1392</v>
      </c>
      <c r="AN155" t="s">
        <v>258</v>
      </c>
      <c r="AO155" s="1">
        <v>70</v>
      </c>
      <c r="AP155" t="s">
        <v>1371</v>
      </c>
    </row>
    <row r="156" spans="7:42" x14ac:dyDescent="0.25">
      <c r="K156" s="7">
        <v>0</v>
      </c>
      <c r="L156" s="7">
        <f t="shared" ca="1" si="49"/>
        <v>0</v>
      </c>
      <c r="M156" s="7">
        <f t="shared" ca="1" si="50"/>
        <v>0</v>
      </c>
      <c r="N156" s="7">
        <f t="shared" ca="1" si="51"/>
        <v>0</v>
      </c>
      <c r="O156" s="7">
        <f t="shared" ca="1" si="52"/>
        <v>0</v>
      </c>
      <c r="P156" s="7">
        <f t="shared" ca="1" si="53"/>
        <v>0</v>
      </c>
      <c r="Q156" s="7">
        <f t="shared" ca="1" si="54"/>
        <v>0</v>
      </c>
      <c r="R156" s="7">
        <f t="shared" ca="1" si="55"/>
        <v>0</v>
      </c>
      <c r="S156" s="7"/>
      <c r="U156" s="5">
        <f t="shared" ca="1" si="62"/>
        <v>46246.662929050923</v>
      </c>
      <c r="V156">
        <f t="shared" ca="1" si="56"/>
        <v>2026</v>
      </c>
      <c r="W156">
        <f t="shared" ca="1" si="57"/>
        <v>8</v>
      </c>
      <c r="X156">
        <f t="shared" ca="1" si="58"/>
        <v>12</v>
      </c>
      <c r="Z156" t="b">
        <f t="shared" ca="1" si="59"/>
        <v>0</v>
      </c>
      <c r="AA156" t="b">
        <f t="shared" ca="1" si="60"/>
        <v>0</v>
      </c>
      <c r="AI156">
        <v>2030</v>
      </c>
      <c r="AJ156">
        <v>3</v>
      </c>
      <c r="AK156">
        <v>1</v>
      </c>
      <c r="AL156" t="s">
        <v>91</v>
      </c>
      <c r="AM156" t="s">
        <v>164</v>
      </c>
      <c r="AN156" t="s">
        <v>85</v>
      </c>
      <c r="AO156" s="1">
        <v>287</v>
      </c>
      <c r="AP156" t="s">
        <v>122</v>
      </c>
    </row>
    <row r="157" spans="7:42" x14ac:dyDescent="0.25">
      <c r="K157" s="7">
        <v>0</v>
      </c>
      <c r="L157" s="7">
        <f t="shared" ca="1" si="49"/>
        <v>0</v>
      </c>
      <c r="M157" s="7">
        <f t="shared" ca="1" si="50"/>
        <v>0</v>
      </c>
      <c r="N157" s="7">
        <f t="shared" ca="1" si="51"/>
        <v>0</v>
      </c>
      <c r="O157" s="7">
        <f t="shared" ca="1" si="52"/>
        <v>0</v>
      </c>
      <c r="P157" s="7">
        <f t="shared" ca="1" si="53"/>
        <v>0</v>
      </c>
      <c r="Q157" s="7">
        <f t="shared" ca="1" si="54"/>
        <v>0</v>
      </c>
      <c r="R157" s="7">
        <f t="shared" ca="1" si="55"/>
        <v>0</v>
      </c>
      <c r="S157" s="7"/>
      <c r="U157" s="5">
        <f t="shared" ca="1" si="62"/>
        <v>46247.662929050923</v>
      </c>
      <c r="V157">
        <f t="shared" ca="1" si="56"/>
        <v>2026</v>
      </c>
      <c r="W157">
        <f t="shared" ca="1" si="57"/>
        <v>8</v>
      </c>
      <c r="X157">
        <f t="shared" ca="1" si="58"/>
        <v>13</v>
      </c>
      <c r="Z157" t="b">
        <f t="shared" ca="1" si="59"/>
        <v>0</v>
      </c>
      <c r="AA157" t="b">
        <f t="shared" ca="1" si="60"/>
        <v>0</v>
      </c>
      <c r="AI157">
        <v>2030</v>
      </c>
      <c r="AJ157">
        <v>3</v>
      </c>
      <c r="AK157">
        <v>3</v>
      </c>
      <c r="AL157" t="s">
        <v>93</v>
      </c>
      <c r="AM157" t="s">
        <v>164</v>
      </c>
      <c r="AN157" t="s">
        <v>84</v>
      </c>
      <c r="AO157" s="1">
        <v>116</v>
      </c>
      <c r="AP157" t="s">
        <v>1499</v>
      </c>
    </row>
    <row r="158" spans="7:42" x14ac:dyDescent="0.25">
      <c r="K158" s="7">
        <v>0</v>
      </c>
      <c r="L158" s="7">
        <f t="shared" ca="1" si="49"/>
        <v>0</v>
      </c>
      <c r="M158" s="7">
        <f t="shared" ca="1" si="50"/>
        <v>0</v>
      </c>
      <c r="N158" s="7">
        <f t="shared" ca="1" si="51"/>
        <v>0</v>
      </c>
      <c r="O158" s="7">
        <f t="shared" ca="1" si="52"/>
        <v>0</v>
      </c>
      <c r="P158" s="7">
        <f t="shared" ca="1" si="53"/>
        <v>0</v>
      </c>
      <c r="Q158" s="7">
        <f t="shared" ca="1" si="54"/>
        <v>0</v>
      </c>
      <c r="R158" s="7">
        <f t="shared" ca="1" si="55"/>
        <v>0</v>
      </c>
      <c r="S158" s="7"/>
      <c r="U158" s="5">
        <f t="shared" ca="1" si="62"/>
        <v>46248.662929050923</v>
      </c>
      <c r="V158">
        <f t="shared" ca="1" si="56"/>
        <v>2026</v>
      </c>
      <c r="W158">
        <f t="shared" ca="1" si="57"/>
        <v>8</v>
      </c>
      <c r="X158">
        <f t="shared" ca="1" si="58"/>
        <v>14</v>
      </c>
      <c r="Z158" t="b">
        <f t="shared" ca="1" si="59"/>
        <v>0</v>
      </c>
      <c r="AA158" t="b">
        <f t="shared" ca="1" si="60"/>
        <v>0</v>
      </c>
      <c r="AI158">
        <v>2030</v>
      </c>
      <c r="AJ158">
        <v>3</v>
      </c>
      <c r="AK158">
        <v>3</v>
      </c>
      <c r="AL158" t="s">
        <v>93</v>
      </c>
      <c r="AM158" t="s">
        <v>164</v>
      </c>
      <c r="AN158" t="s">
        <v>84</v>
      </c>
      <c r="AO158" s="1">
        <v>81</v>
      </c>
      <c r="AP158" t="s">
        <v>1489</v>
      </c>
    </row>
    <row r="159" spans="7:42" x14ac:dyDescent="0.25">
      <c r="K159" s="7">
        <v>0</v>
      </c>
      <c r="L159" s="7">
        <f t="shared" ca="1" si="49"/>
        <v>0</v>
      </c>
      <c r="M159" s="7">
        <f t="shared" ca="1" si="50"/>
        <v>0</v>
      </c>
      <c r="N159" s="7">
        <f t="shared" ca="1" si="51"/>
        <v>0</v>
      </c>
      <c r="O159" s="7">
        <f t="shared" ca="1" si="52"/>
        <v>0</v>
      </c>
      <c r="P159" s="7">
        <f t="shared" ca="1" si="53"/>
        <v>0</v>
      </c>
      <c r="Q159" s="7">
        <f t="shared" ca="1" si="54"/>
        <v>0</v>
      </c>
      <c r="R159" s="7">
        <f t="shared" ca="1" si="55"/>
        <v>0</v>
      </c>
      <c r="S159" s="7"/>
      <c r="U159" s="5">
        <f t="shared" ca="1" si="62"/>
        <v>46249.662929050923</v>
      </c>
      <c r="V159">
        <f t="shared" ca="1" si="56"/>
        <v>2026</v>
      </c>
      <c r="W159">
        <f t="shared" ca="1" si="57"/>
        <v>8</v>
      </c>
      <c r="X159">
        <f t="shared" ca="1" si="58"/>
        <v>15</v>
      </c>
      <c r="Z159" t="b">
        <f t="shared" ca="1" si="59"/>
        <v>0</v>
      </c>
      <c r="AA159" t="b">
        <f t="shared" ca="1" si="60"/>
        <v>0</v>
      </c>
      <c r="AI159">
        <v>2030</v>
      </c>
      <c r="AJ159">
        <v>3</v>
      </c>
      <c r="AK159">
        <v>4</v>
      </c>
      <c r="AL159" t="s">
        <v>93</v>
      </c>
      <c r="AM159" t="s">
        <v>164</v>
      </c>
      <c r="AN159" t="s">
        <v>84</v>
      </c>
      <c r="AO159" s="1">
        <v>133</v>
      </c>
      <c r="AP159" t="s">
        <v>1501</v>
      </c>
    </row>
    <row r="160" spans="7:42" x14ac:dyDescent="0.25">
      <c r="K160" s="7">
        <v>0</v>
      </c>
      <c r="L160" s="7">
        <f t="shared" ca="1" si="49"/>
        <v>0</v>
      </c>
      <c r="M160" s="7">
        <f t="shared" ca="1" si="50"/>
        <v>0</v>
      </c>
      <c r="N160" s="7">
        <f t="shared" ca="1" si="51"/>
        <v>0</v>
      </c>
      <c r="O160" s="7">
        <f t="shared" ca="1" si="52"/>
        <v>0</v>
      </c>
      <c r="P160" s="7">
        <f t="shared" ca="1" si="53"/>
        <v>0</v>
      </c>
      <c r="Q160" s="7">
        <f t="shared" ca="1" si="54"/>
        <v>0</v>
      </c>
      <c r="R160" s="7">
        <f t="shared" ca="1" si="55"/>
        <v>0</v>
      </c>
      <c r="S160" s="7"/>
      <c r="U160" s="5">
        <f t="shared" ca="1" si="62"/>
        <v>46250.662929050923</v>
      </c>
      <c r="V160">
        <f t="shared" ca="1" si="56"/>
        <v>2026</v>
      </c>
      <c r="W160">
        <f t="shared" ca="1" si="57"/>
        <v>8</v>
      </c>
      <c r="X160">
        <f t="shared" ca="1" si="58"/>
        <v>16</v>
      </c>
      <c r="Z160" t="b">
        <f t="shared" ca="1" si="59"/>
        <v>0</v>
      </c>
      <c r="AA160" t="b">
        <f t="shared" ca="1" si="60"/>
        <v>0</v>
      </c>
      <c r="AI160">
        <v>2030</v>
      </c>
      <c r="AJ160">
        <v>3</v>
      </c>
      <c r="AK160">
        <v>6</v>
      </c>
      <c r="AL160" t="s">
        <v>89</v>
      </c>
      <c r="AM160" t="s">
        <v>204</v>
      </c>
      <c r="AN160" t="s">
        <v>86</v>
      </c>
      <c r="AO160" s="1">
        <v>210</v>
      </c>
      <c r="AP160" t="s">
        <v>139</v>
      </c>
    </row>
    <row r="161" spans="11:42" x14ac:dyDescent="0.25">
      <c r="K161" s="7">
        <v>0</v>
      </c>
      <c r="L161" s="7">
        <f t="shared" ca="1" si="49"/>
        <v>0</v>
      </c>
      <c r="M161" s="7">
        <f t="shared" ca="1" si="50"/>
        <v>0</v>
      </c>
      <c r="N161" s="7">
        <f t="shared" ca="1" si="51"/>
        <v>0</v>
      </c>
      <c r="O161" s="7">
        <f t="shared" ca="1" si="52"/>
        <v>0</v>
      </c>
      <c r="P161" s="7">
        <f t="shared" ca="1" si="53"/>
        <v>0</v>
      </c>
      <c r="Q161" s="7">
        <f t="shared" ca="1" si="54"/>
        <v>0</v>
      </c>
      <c r="R161" s="7">
        <f t="shared" ca="1" si="55"/>
        <v>0</v>
      </c>
      <c r="S161" s="7"/>
      <c r="U161" s="5">
        <f t="shared" ca="1" si="62"/>
        <v>46251.662929050923</v>
      </c>
      <c r="V161">
        <f t="shared" ca="1" si="56"/>
        <v>2026</v>
      </c>
      <c r="W161">
        <f t="shared" ca="1" si="57"/>
        <v>8</v>
      </c>
      <c r="X161">
        <f t="shared" ca="1" si="58"/>
        <v>17</v>
      </c>
      <c r="Z161" t="b">
        <f t="shared" ca="1" si="59"/>
        <v>0</v>
      </c>
      <c r="AA161" t="b">
        <f t="shared" ca="1" si="60"/>
        <v>0</v>
      </c>
      <c r="AI161">
        <v>2030</v>
      </c>
      <c r="AJ161">
        <v>3</v>
      </c>
      <c r="AK161">
        <v>14</v>
      </c>
      <c r="AL161" t="s">
        <v>45</v>
      </c>
      <c r="AM161" t="s">
        <v>161</v>
      </c>
      <c r="AN161" t="s">
        <v>1413</v>
      </c>
      <c r="AO161" s="1">
        <v>95</v>
      </c>
      <c r="AP161" t="s">
        <v>1524</v>
      </c>
    </row>
    <row r="162" spans="11:42" x14ac:dyDescent="0.25">
      <c r="K162" s="7">
        <v>0</v>
      </c>
      <c r="L162" s="7">
        <f t="shared" ca="1" si="49"/>
        <v>0</v>
      </c>
      <c r="M162" s="7">
        <f t="shared" ca="1" si="50"/>
        <v>0</v>
      </c>
      <c r="N162" s="7">
        <f t="shared" ca="1" si="51"/>
        <v>0</v>
      </c>
      <c r="O162" s="7">
        <f t="shared" ca="1" si="52"/>
        <v>0</v>
      </c>
      <c r="P162" s="7">
        <f t="shared" ca="1" si="53"/>
        <v>0</v>
      </c>
      <c r="Q162" s="7">
        <f t="shared" ca="1" si="54"/>
        <v>0</v>
      </c>
      <c r="R162" s="7">
        <f t="shared" ca="1" si="55"/>
        <v>0</v>
      </c>
      <c r="S162" s="7"/>
      <c r="U162" s="5">
        <f t="shared" ca="1" si="62"/>
        <v>46252.662929050923</v>
      </c>
      <c r="V162">
        <f t="shared" ca="1" si="56"/>
        <v>2026</v>
      </c>
      <c r="W162">
        <f t="shared" ca="1" si="57"/>
        <v>8</v>
      </c>
      <c r="X162">
        <f t="shared" ca="1" si="58"/>
        <v>18</v>
      </c>
      <c r="Z162" t="b">
        <f t="shared" ca="1" si="59"/>
        <v>0</v>
      </c>
      <c r="AA162" t="b">
        <f t="shared" ca="1" si="60"/>
        <v>0</v>
      </c>
      <c r="AI162">
        <v>2030</v>
      </c>
      <c r="AJ162">
        <v>3</v>
      </c>
      <c r="AK162">
        <v>21</v>
      </c>
      <c r="AL162" t="s">
        <v>56</v>
      </c>
      <c r="AM162" t="s">
        <v>184</v>
      </c>
      <c r="AN162" t="s">
        <v>84</v>
      </c>
      <c r="AO162" s="1">
        <v>73</v>
      </c>
      <c r="AP162" t="s">
        <v>123</v>
      </c>
    </row>
    <row r="163" spans="11:42" x14ac:dyDescent="0.25">
      <c r="K163" s="7">
        <v>0</v>
      </c>
      <c r="L163" s="7">
        <f t="shared" ca="1" si="49"/>
        <v>0</v>
      </c>
      <c r="M163" s="7">
        <f t="shared" ca="1" si="50"/>
        <v>0</v>
      </c>
      <c r="N163" s="7">
        <f t="shared" ca="1" si="51"/>
        <v>0</v>
      </c>
      <c r="O163" s="7">
        <f t="shared" ca="1" si="52"/>
        <v>0</v>
      </c>
      <c r="P163" s="7">
        <f t="shared" ca="1" si="53"/>
        <v>0</v>
      </c>
      <c r="Q163" s="7">
        <f t="shared" ca="1" si="54"/>
        <v>0</v>
      </c>
      <c r="R163" s="7">
        <f t="shared" ca="1" si="55"/>
        <v>0</v>
      </c>
      <c r="S163" s="7"/>
      <c r="U163" s="5">
        <f t="shared" ca="1" si="62"/>
        <v>46253.662929050923</v>
      </c>
      <c r="V163">
        <f t="shared" ca="1" si="56"/>
        <v>2026</v>
      </c>
      <c r="W163">
        <f t="shared" ca="1" si="57"/>
        <v>8</v>
      </c>
      <c r="X163">
        <f t="shared" ca="1" si="58"/>
        <v>19</v>
      </c>
      <c r="Z163" t="b">
        <f t="shared" ca="1" si="59"/>
        <v>0</v>
      </c>
      <c r="AA163" t="b">
        <f t="shared" ca="1" si="60"/>
        <v>0</v>
      </c>
      <c r="AI163">
        <v>2030</v>
      </c>
      <c r="AJ163">
        <v>4</v>
      </c>
      <c r="AK163">
        <v>1</v>
      </c>
      <c r="AL163" t="s">
        <v>91</v>
      </c>
      <c r="AM163" t="s">
        <v>164</v>
      </c>
      <c r="AN163" t="s">
        <v>85</v>
      </c>
      <c r="AO163" s="1">
        <v>265</v>
      </c>
      <c r="AP163" t="s">
        <v>124</v>
      </c>
    </row>
    <row r="164" spans="11:42" x14ac:dyDescent="0.25">
      <c r="K164" s="7">
        <v>0</v>
      </c>
      <c r="L164" s="7">
        <f t="shared" ca="1" si="49"/>
        <v>0</v>
      </c>
      <c r="M164" s="7">
        <f t="shared" ca="1" si="50"/>
        <v>0</v>
      </c>
      <c r="N164" s="7">
        <f t="shared" ca="1" si="51"/>
        <v>0</v>
      </c>
      <c r="O164" s="7">
        <f t="shared" ca="1" si="52"/>
        <v>0</v>
      </c>
      <c r="P164" s="7">
        <f t="shared" ca="1" si="53"/>
        <v>0</v>
      </c>
      <c r="Q164" s="7">
        <f t="shared" ca="1" si="54"/>
        <v>0</v>
      </c>
      <c r="R164" s="7">
        <f t="shared" ca="1" si="55"/>
        <v>0</v>
      </c>
      <c r="S164" s="7"/>
      <c r="U164" s="5">
        <f t="shared" ca="1" si="62"/>
        <v>46254.662929050923</v>
      </c>
      <c r="V164">
        <f t="shared" ca="1" si="56"/>
        <v>2026</v>
      </c>
      <c r="W164">
        <f t="shared" ca="1" si="57"/>
        <v>8</v>
      </c>
      <c r="X164">
        <f t="shared" ca="1" si="58"/>
        <v>20</v>
      </c>
      <c r="Z164" t="b">
        <f t="shared" ca="1" si="59"/>
        <v>0</v>
      </c>
      <c r="AA164" t="b">
        <f t="shared" ca="1" si="60"/>
        <v>0</v>
      </c>
      <c r="AI164">
        <v>2030</v>
      </c>
      <c r="AJ164">
        <v>4</v>
      </c>
      <c r="AK164">
        <v>19</v>
      </c>
      <c r="AL164" t="s">
        <v>54</v>
      </c>
      <c r="AM164" t="s">
        <v>181</v>
      </c>
      <c r="AN164" t="s">
        <v>83</v>
      </c>
      <c r="AO164" s="1">
        <v>260</v>
      </c>
      <c r="AP164" t="s">
        <v>28</v>
      </c>
    </row>
    <row r="165" spans="11:42" x14ac:dyDescent="0.25">
      <c r="K165" s="7">
        <v>0</v>
      </c>
      <c r="L165" s="7">
        <f t="shared" ca="1" si="49"/>
        <v>0</v>
      </c>
      <c r="M165" s="7">
        <f t="shared" ca="1" si="50"/>
        <v>0</v>
      </c>
      <c r="N165" s="7">
        <f t="shared" ca="1" si="51"/>
        <v>0</v>
      </c>
      <c r="O165" s="7">
        <f t="shared" ca="1" si="52"/>
        <v>0</v>
      </c>
      <c r="P165" s="7">
        <f t="shared" ca="1" si="53"/>
        <v>0</v>
      </c>
      <c r="Q165" s="7">
        <f t="shared" ca="1" si="54"/>
        <v>0</v>
      </c>
      <c r="R165" s="7">
        <f t="shared" ca="1" si="55"/>
        <v>0</v>
      </c>
      <c r="S165" s="7"/>
      <c r="U165" s="5">
        <f t="shared" ca="1" si="62"/>
        <v>46255.662929050923</v>
      </c>
      <c r="V165">
        <f t="shared" ca="1" si="56"/>
        <v>2026</v>
      </c>
      <c r="W165">
        <f t="shared" ca="1" si="57"/>
        <v>8</v>
      </c>
      <c r="X165">
        <f t="shared" ca="1" si="58"/>
        <v>21</v>
      </c>
      <c r="Z165" t="b">
        <f t="shared" ca="1" si="59"/>
        <v>0</v>
      </c>
      <c r="AA165" t="b">
        <f t="shared" ca="1" si="60"/>
        <v>0</v>
      </c>
      <c r="AI165">
        <v>2030</v>
      </c>
      <c r="AJ165">
        <v>4</v>
      </c>
      <c r="AK165">
        <v>21</v>
      </c>
      <c r="AL165" t="s">
        <v>58</v>
      </c>
      <c r="AM165" t="s">
        <v>158</v>
      </c>
      <c r="AN165" t="s">
        <v>261</v>
      </c>
      <c r="AO165" s="1">
        <v>64</v>
      </c>
      <c r="AP165" t="s">
        <v>146</v>
      </c>
    </row>
    <row r="166" spans="11:42" x14ac:dyDescent="0.25">
      <c r="K166" s="7">
        <v>0</v>
      </c>
      <c r="L166" s="7">
        <f t="shared" ca="1" si="49"/>
        <v>0</v>
      </c>
      <c r="M166" s="7">
        <f t="shared" ca="1" si="50"/>
        <v>0</v>
      </c>
      <c r="N166" s="7">
        <f t="shared" ca="1" si="51"/>
        <v>0</v>
      </c>
      <c r="O166" s="7">
        <f t="shared" ca="1" si="52"/>
        <v>0</v>
      </c>
      <c r="P166" s="7">
        <f t="shared" ca="1" si="53"/>
        <v>0</v>
      </c>
      <c r="Q166" s="7">
        <f t="shared" ca="1" si="54"/>
        <v>0</v>
      </c>
      <c r="R166" s="7">
        <f t="shared" ca="1" si="55"/>
        <v>0</v>
      </c>
      <c r="S166" s="7"/>
      <c r="U166" s="5">
        <f t="shared" ca="1" si="62"/>
        <v>46256.662929050923</v>
      </c>
      <c r="V166">
        <f t="shared" ca="1" si="56"/>
        <v>2026</v>
      </c>
      <c r="W166">
        <f t="shared" ca="1" si="57"/>
        <v>8</v>
      </c>
      <c r="X166">
        <f t="shared" ca="1" si="58"/>
        <v>22</v>
      </c>
      <c r="Z166" t="b">
        <f t="shared" ca="1" si="59"/>
        <v>0</v>
      </c>
      <c r="AA166" t="b">
        <f t="shared" ca="1" si="60"/>
        <v>0</v>
      </c>
      <c r="AI166">
        <v>2030</v>
      </c>
      <c r="AJ166">
        <v>4</v>
      </c>
      <c r="AK166">
        <v>22</v>
      </c>
      <c r="AL166" t="s">
        <v>58</v>
      </c>
      <c r="AM166" t="s">
        <v>198</v>
      </c>
      <c r="AN166" t="s">
        <v>265</v>
      </c>
      <c r="AO166" s="1">
        <v>355</v>
      </c>
      <c r="AP166" t="s">
        <v>1502</v>
      </c>
    </row>
    <row r="167" spans="11:42" x14ac:dyDescent="0.25">
      <c r="K167" s="7">
        <v>0</v>
      </c>
      <c r="L167" s="7">
        <f t="shared" ca="1" si="49"/>
        <v>0</v>
      </c>
      <c r="M167" s="7">
        <f t="shared" ca="1" si="50"/>
        <v>0</v>
      </c>
      <c r="N167" s="7">
        <f t="shared" ca="1" si="51"/>
        <v>0</v>
      </c>
      <c r="O167" s="7">
        <f t="shared" ca="1" si="52"/>
        <v>0</v>
      </c>
      <c r="P167" s="7">
        <f t="shared" ca="1" si="53"/>
        <v>0</v>
      </c>
      <c r="Q167" s="7">
        <f t="shared" ca="1" si="54"/>
        <v>0</v>
      </c>
      <c r="R167" s="7">
        <f t="shared" ca="1" si="55"/>
        <v>0</v>
      </c>
      <c r="S167" s="7"/>
      <c r="U167" s="5">
        <f t="shared" ca="1" si="62"/>
        <v>46257.662929050923</v>
      </c>
      <c r="V167">
        <f t="shared" ca="1" si="56"/>
        <v>2026</v>
      </c>
      <c r="W167">
        <f t="shared" ca="1" si="57"/>
        <v>8</v>
      </c>
      <c r="X167">
        <f t="shared" ca="1" si="58"/>
        <v>23</v>
      </c>
      <c r="Z167" t="b">
        <f t="shared" ca="1" si="59"/>
        <v>0</v>
      </c>
      <c r="AA167" t="b">
        <f t="shared" ca="1" si="60"/>
        <v>0</v>
      </c>
      <c r="AI167">
        <v>2030</v>
      </c>
      <c r="AJ167">
        <v>4</v>
      </c>
      <c r="AK167">
        <v>30</v>
      </c>
      <c r="AL167" t="s">
        <v>56</v>
      </c>
      <c r="AM167" t="s">
        <v>184</v>
      </c>
      <c r="AN167" t="s">
        <v>84</v>
      </c>
      <c r="AO167" s="1">
        <v>98</v>
      </c>
      <c r="AP167" t="s">
        <v>126</v>
      </c>
    </row>
    <row r="168" spans="11:42" x14ac:dyDescent="0.25">
      <c r="K168" s="7">
        <v>0</v>
      </c>
      <c r="L168" s="7">
        <f t="shared" ca="1" si="49"/>
        <v>0</v>
      </c>
      <c r="M168" s="7">
        <f t="shared" ca="1" si="50"/>
        <v>0</v>
      </c>
      <c r="N168" s="7">
        <f t="shared" ca="1" si="51"/>
        <v>0</v>
      </c>
      <c r="O168" s="7">
        <f t="shared" ca="1" si="52"/>
        <v>0</v>
      </c>
      <c r="P168" s="7">
        <f t="shared" ca="1" si="53"/>
        <v>0</v>
      </c>
      <c r="Q168" s="7">
        <f t="shared" ca="1" si="54"/>
        <v>0</v>
      </c>
      <c r="R168" s="7">
        <f t="shared" ca="1" si="55"/>
        <v>0</v>
      </c>
      <c r="S168" s="7"/>
      <c r="U168" s="5">
        <f t="shared" ca="1" si="62"/>
        <v>46258.662929050923</v>
      </c>
      <c r="V168">
        <f t="shared" ca="1" si="56"/>
        <v>2026</v>
      </c>
      <c r="W168">
        <f t="shared" ca="1" si="57"/>
        <v>8</v>
      </c>
      <c r="X168">
        <f t="shared" ca="1" si="58"/>
        <v>24</v>
      </c>
      <c r="Z168" t="b">
        <f t="shared" ca="1" si="59"/>
        <v>0</v>
      </c>
      <c r="AA168" t="b">
        <f t="shared" ca="1" si="60"/>
        <v>0</v>
      </c>
      <c r="AI168">
        <v>2030</v>
      </c>
      <c r="AJ168">
        <v>5</v>
      </c>
      <c r="AK168">
        <v>1</v>
      </c>
      <c r="AL168" t="s">
        <v>91</v>
      </c>
      <c r="AM168" t="s">
        <v>164</v>
      </c>
      <c r="AN168" t="s">
        <v>85</v>
      </c>
      <c r="AO168" s="1">
        <v>202</v>
      </c>
      <c r="AP168" t="s">
        <v>127</v>
      </c>
    </row>
    <row r="169" spans="11:42" x14ac:dyDescent="0.25">
      <c r="K169" s="7">
        <v>0</v>
      </c>
      <c r="L169" s="7">
        <f t="shared" ca="1" si="49"/>
        <v>0</v>
      </c>
      <c r="M169" s="7">
        <f t="shared" ca="1" si="50"/>
        <v>0</v>
      </c>
      <c r="N169" s="7">
        <f t="shared" ca="1" si="51"/>
        <v>0</v>
      </c>
      <c r="O169" s="7">
        <f t="shared" ca="1" si="52"/>
        <v>0</v>
      </c>
      <c r="P169" s="7">
        <f t="shared" ca="1" si="53"/>
        <v>0</v>
      </c>
      <c r="Q169" s="7">
        <f t="shared" ca="1" si="54"/>
        <v>0</v>
      </c>
      <c r="R169" s="7">
        <f t="shared" ca="1" si="55"/>
        <v>0</v>
      </c>
      <c r="S169" s="7"/>
      <c r="U169" s="5">
        <f t="shared" ca="1" si="62"/>
        <v>46259.662929050923</v>
      </c>
      <c r="V169">
        <f t="shared" ca="1" si="56"/>
        <v>2026</v>
      </c>
      <c r="W169">
        <f t="shared" ca="1" si="57"/>
        <v>8</v>
      </c>
      <c r="X169">
        <f t="shared" ca="1" si="58"/>
        <v>25</v>
      </c>
      <c r="Z169" t="b">
        <f t="shared" ca="1" si="59"/>
        <v>0</v>
      </c>
      <c r="AA169" t="b">
        <f t="shared" ca="1" si="60"/>
        <v>0</v>
      </c>
      <c r="AI169">
        <v>2030</v>
      </c>
      <c r="AJ169">
        <v>5</v>
      </c>
      <c r="AK169">
        <v>4</v>
      </c>
      <c r="AL169" t="s">
        <v>89</v>
      </c>
      <c r="AM169" t="s">
        <v>233</v>
      </c>
      <c r="AN169" t="s">
        <v>83</v>
      </c>
      <c r="AO169" s="1">
        <v>102</v>
      </c>
      <c r="AP169" t="s">
        <v>1364</v>
      </c>
    </row>
    <row r="170" spans="11:42" x14ac:dyDescent="0.25">
      <c r="K170" s="7">
        <v>0</v>
      </c>
      <c r="L170" s="7">
        <f t="shared" ca="1" si="49"/>
        <v>0</v>
      </c>
      <c r="M170" s="7">
        <f t="shared" ca="1" si="50"/>
        <v>0</v>
      </c>
      <c r="N170" s="7">
        <f t="shared" ca="1" si="51"/>
        <v>0</v>
      </c>
      <c r="O170" s="7">
        <f t="shared" ca="1" si="52"/>
        <v>0</v>
      </c>
      <c r="P170" s="7">
        <f t="shared" ca="1" si="53"/>
        <v>0</v>
      </c>
      <c r="Q170" s="7">
        <f t="shared" ca="1" si="54"/>
        <v>0</v>
      </c>
      <c r="R170" s="7">
        <f t="shared" ca="1" si="55"/>
        <v>0</v>
      </c>
      <c r="S170" s="7"/>
      <c r="U170" s="5">
        <f t="shared" ca="1" si="62"/>
        <v>46260.662929050923</v>
      </c>
      <c r="V170">
        <f t="shared" ca="1" si="56"/>
        <v>2026</v>
      </c>
      <c r="W170">
        <f t="shared" ca="1" si="57"/>
        <v>8</v>
      </c>
      <c r="X170">
        <f t="shared" ca="1" si="58"/>
        <v>26</v>
      </c>
      <c r="Z170" t="b">
        <f t="shared" ca="1" si="59"/>
        <v>0</v>
      </c>
      <c r="AA170" t="b">
        <f t="shared" ca="1" si="60"/>
        <v>0</v>
      </c>
      <c r="AI170">
        <v>2030</v>
      </c>
      <c r="AJ170">
        <v>5</v>
      </c>
      <c r="AK170">
        <v>5</v>
      </c>
      <c r="AL170" t="s">
        <v>93</v>
      </c>
      <c r="AM170" t="s">
        <v>152</v>
      </c>
      <c r="AN170" t="s">
        <v>84</v>
      </c>
      <c r="AO170" s="1">
        <v>64</v>
      </c>
      <c r="AP170" t="s">
        <v>107</v>
      </c>
    </row>
    <row r="171" spans="11:42" x14ac:dyDescent="0.25">
      <c r="K171" s="7">
        <v>0</v>
      </c>
      <c r="L171" s="7">
        <f t="shared" ca="1" si="49"/>
        <v>0</v>
      </c>
      <c r="M171" s="7">
        <f t="shared" ca="1" si="50"/>
        <v>0</v>
      </c>
      <c r="N171" s="7">
        <f t="shared" ca="1" si="51"/>
        <v>0</v>
      </c>
      <c r="O171" s="7">
        <f t="shared" ca="1" si="52"/>
        <v>0</v>
      </c>
      <c r="P171" s="7">
        <f t="shared" ca="1" si="53"/>
        <v>0</v>
      </c>
      <c r="Q171" s="7">
        <f t="shared" ca="1" si="54"/>
        <v>0</v>
      </c>
      <c r="R171" s="7">
        <f t="shared" ca="1" si="55"/>
        <v>0</v>
      </c>
      <c r="S171" s="7"/>
      <c r="U171" s="5">
        <f t="shared" ca="1" si="62"/>
        <v>46261.662929050923</v>
      </c>
      <c r="V171">
        <f t="shared" ca="1" si="56"/>
        <v>2026</v>
      </c>
      <c r="W171">
        <f t="shared" ca="1" si="57"/>
        <v>8</v>
      </c>
      <c r="X171">
        <f t="shared" ca="1" si="58"/>
        <v>27</v>
      </c>
      <c r="Z171" t="b">
        <f t="shared" ca="1" si="59"/>
        <v>0</v>
      </c>
      <c r="AA171" t="b">
        <f t="shared" ca="1" si="60"/>
        <v>0</v>
      </c>
      <c r="AI171">
        <v>2030</v>
      </c>
      <c r="AJ171">
        <v>5</v>
      </c>
      <c r="AK171">
        <v>10</v>
      </c>
      <c r="AL171" t="s">
        <v>56</v>
      </c>
      <c r="AM171" t="s">
        <v>184</v>
      </c>
      <c r="AN171" t="s">
        <v>84</v>
      </c>
      <c r="AO171" s="1">
        <v>73</v>
      </c>
      <c r="AP171" t="s">
        <v>128</v>
      </c>
    </row>
    <row r="172" spans="11:42" x14ac:dyDescent="0.25">
      <c r="K172" s="7">
        <v>0</v>
      </c>
      <c r="L172" s="7">
        <f t="shared" ca="1" si="49"/>
        <v>0</v>
      </c>
      <c r="M172" s="7">
        <f t="shared" ca="1" si="50"/>
        <v>0</v>
      </c>
      <c r="N172" s="7">
        <f t="shared" ca="1" si="51"/>
        <v>0</v>
      </c>
      <c r="O172" s="7">
        <f t="shared" ca="1" si="52"/>
        <v>0</v>
      </c>
      <c r="P172" s="7">
        <f t="shared" ca="1" si="53"/>
        <v>0</v>
      </c>
      <c r="Q172" s="7">
        <f t="shared" ca="1" si="54"/>
        <v>0</v>
      </c>
      <c r="R172" s="7">
        <f t="shared" ca="1" si="55"/>
        <v>0</v>
      </c>
      <c r="S172" s="7"/>
      <c r="U172" s="5">
        <f t="shared" ca="1" si="62"/>
        <v>46262.662929050923</v>
      </c>
      <c r="V172">
        <f t="shared" ca="1" si="56"/>
        <v>2026</v>
      </c>
      <c r="W172">
        <f t="shared" ca="1" si="57"/>
        <v>8</v>
      </c>
      <c r="X172">
        <f t="shared" ca="1" si="58"/>
        <v>28</v>
      </c>
      <c r="Z172" t="b">
        <f t="shared" ca="1" si="59"/>
        <v>0</v>
      </c>
      <c r="AA172" t="b">
        <f t="shared" ca="1" si="60"/>
        <v>0</v>
      </c>
      <c r="AI172">
        <v>2030</v>
      </c>
      <c r="AJ172">
        <v>5</v>
      </c>
      <c r="AK172">
        <v>30</v>
      </c>
      <c r="AL172" t="s">
        <v>44</v>
      </c>
      <c r="AM172" t="s">
        <v>227</v>
      </c>
      <c r="AN172" t="s">
        <v>83</v>
      </c>
      <c r="AO172" s="1">
        <v>96</v>
      </c>
      <c r="AP172" t="s">
        <v>14</v>
      </c>
    </row>
    <row r="173" spans="11:42" x14ac:dyDescent="0.25">
      <c r="K173" s="7">
        <v>0</v>
      </c>
      <c r="L173" s="7">
        <f t="shared" ca="1" si="49"/>
        <v>0</v>
      </c>
      <c r="M173" s="7">
        <f t="shared" ca="1" si="50"/>
        <v>0</v>
      </c>
      <c r="N173" s="7">
        <f t="shared" ca="1" si="51"/>
        <v>0</v>
      </c>
      <c r="O173" s="7">
        <f t="shared" ca="1" si="52"/>
        <v>0</v>
      </c>
      <c r="P173" s="7">
        <f t="shared" ca="1" si="53"/>
        <v>0</v>
      </c>
      <c r="Q173" s="7">
        <f t="shared" ca="1" si="54"/>
        <v>0</v>
      </c>
      <c r="R173" s="7">
        <f t="shared" ca="1" si="55"/>
        <v>0</v>
      </c>
      <c r="S173" s="7"/>
      <c r="U173" s="5">
        <f t="shared" ca="1" si="62"/>
        <v>46263.662929050923</v>
      </c>
      <c r="V173">
        <f t="shared" ca="1" si="56"/>
        <v>2026</v>
      </c>
      <c r="W173">
        <f t="shared" ca="1" si="57"/>
        <v>8</v>
      </c>
      <c r="X173">
        <f t="shared" ca="1" si="58"/>
        <v>29</v>
      </c>
      <c r="Z173" t="b">
        <f t="shared" ca="1" si="59"/>
        <v>0</v>
      </c>
      <c r="AA173" t="b">
        <f t="shared" ca="1" si="60"/>
        <v>0</v>
      </c>
      <c r="AI173">
        <v>2030</v>
      </c>
      <c r="AJ173">
        <v>6</v>
      </c>
      <c r="AK173">
        <v>1</v>
      </c>
      <c r="AL173" t="s">
        <v>91</v>
      </c>
      <c r="AM173" t="s">
        <v>164</v>
      </c>
      <c r="AN173" t="s">
        <v>85</v>
      </c>
      <c r="AO173" s="1">
        <v>157</v>
      </c>
      <c r="AP173" t="s">
        <v>130</v>
      </c>
    </row>
    <row r="174" spans="11:42" x14ac:dyDescent="0.25">
      <c r="K174" s="7">
        <v>0</v>
      </c>
      <c r="L174" s="7">
        <f t="shared" ca="1" si="49"/>
        <v>0</v>
      </c>
      <c r="M174" s="7">
        <f t="shared" ca="1" si="50"/>
        <v>0</v>
      </c>
      <c r="N174" s="7">
        <f t="shared" ca="1" si="51"/>
        <v>0</v>
      </c>
      <c r="O174" s="7">
        <f t="shared" ca="1" si="52"/>
        <v>0</v>
      </c>
      <c r="P174" s="7">
        <f t="shared" ca="1" si="53"/>
        <v>0</v>
      </c>
      <c r="Q174" s="7">
        <f t="shared" ca="1" si="54"/>
        <v>0</v>
      </c>
      <c r="R174" s="7">
        <f t="shared" ca="1" si="55"/>
        <v>0</v>
      </c>
      <c r="S174" s="7"/>
      <c r="U174" s="5">
        <f t="shared" ca="1" si="62"/>
        <v>46264.662929050923</v>
      </c>
      <c r="V174">
        <f t="shared" ca="1" si="56"/>
        <v>2026</v>
      </c>
      <c r="W174">
        <f t="shared" ca="1" si="57"/>
        <v>8</v>
      </c>
      <c r="X174">
        <f t="shared" ca="1" si="58"/>
        <v>30</v>
      </c>
      <c r="Z174" t="b">
        <f t="shared" ca="1" si="59"/>
        <v>0</v>
      </c>
      <c r="AA174" t="b">
        <f t="shared" ca="1" si="60"/>
        <v>0</v>
      </c>
      <c r="AI174">
        <v>2030</v>
      </c>
      <c r="AJ174">
        <v>6</v>
      </c>
      <c r="AK174">
        <v>9</v>
      </c>
      <c r="AL174" t="s">
        <v>49</v>
      </c>
      <c r="AM174" t="s">
        <v>167</v>
      </c>
      <c r="AN174" t="s">
        <v>85</v>
      </c>
      <c r="AO174" s="1">
        <v>150</v>
      </c>
      <c r="AP174" t="s">
        <v>129</v>
      </c>
    </row>
    <row r="175" spans="11:42" x14ac:dyDescent="0.25">
      <c r="K175" s="7">
        <v>0</v>
      </c>
      <c r="L175" s="7">
        <f t="shared" ca="1" si="49"/>
        <v>0</v>
      </c>
      <c r="M175" s="7">
        <f t="shared" ca="1" si="50"/>
        <v>0</v>
      </c>
      <c r="N175" s="7">
        <f t="shared" ca="1" si="51"/>
        <v>0</v>
      </c>
      <c r="O175" s="7">
        <f t="shared" ca="1" si="52"/>
        <v>0</v>
      </c>
      <c r="P175" s="7">
        <f t="shared" ca="1" si="53"/>
        <v>0</v>
      </c>
      <c r="Q175" s="7">
        <f t="shared" ca="1" si="54"/>
        <v>0</v>
      </c>
      <c r="R175" s="7">
        <f t="shared" ca="1" si="55"/>
        <v>0</v>
      </c>
      <c r="S175" s="7"/>
      <c r="U175" s="5">
        <f t="shared" ca="1" si="62"/>
        <v>46265.662929050923</v>
      </c>
      <c r="V175">
        <f t="shared" ca="1" si="56"/>
        <v>2026</v>
      </c>
      <c r="W175">
        <f t="shared" ca="1" si="57"/>
        <v>8</v>
      </c>
      <c r="X175">
        <f t="shared" ca="1" si="58"/>
        <v>31</v>
      </c>
      <c r="Z175" t="b">
        <f t="shared" ca="1" si="59"/>
        <v>0</v>
      </c>
      <c r="AA175" t="b">
        <f t="shared" ca="1" si="60"/>
        <v>0</v>
      </c>
      <c r="AI175">
        <v>2030</v>
      </c>
      <c r="AJ175">
        <v>6</v>
      </c>
      <c r="AK175">
        <v>10</v>
      </c>
      <c r="AL175" t="s">
        <v>49</v>
      </c>
      <c r="AM175" t="s">
        <v>167</v>
      </c>
      <c r="AN175" t="s">
        <v>85</v>
      </c>
      <c r="AO175" s="1">
        <v>250</v>
      </c>
      <c r="AP175" t="s">
        <v>1491</v>
      </c>
    </row>
    <row r="176" spans="11:42" x14ac:dyDescent="0.25">
      <c r="K176" s="7">
        <v>0</v>
      </c>
      <c r="L176" s="7">
        <f t="shared" ca="1" si="49"/>
        <v>0</v>
      </c>
      <c r="M176" s="7">
        <f t="shared" ca="1" si="50"/>
        <v>0</v>
      </c>
      <c r="N176" s="7">
        <f t="shared" ca="1" si="51"/>
        <v>0</v>
      </c>
      <c r="O176" s="7">
        <f t="shared" ca="1" si="52"/>
        <v>0</v>
      </c>
      <c r="P176" s="7">
        <f t="shared" ca="1" si="53"/>
        <v>0</v>
      </c>
      <c r="Q176" s="7">
        <f t="shared" ca="1" si="54"/>
        <v>0</v>
      </c>
      <c r="R176" s="7">
        <f t="shared" ca="1" si="55"/>
        <v>0</v>
      </c>
      <c r="S176" s="7"/>
      <c r="U176" s="5">
        <f t="shared" ca="1" si="62"/>
        <v>46266.662929050923</v>
      </c>
      <c r="V176">
        <f t="shared" ca="1" si="56"/>
        <v>2026</v>
      </c>
      <c r="W176">
        <f t="shared" ca="1" si="57"/>
        <v>9</v>
      </c>
      <c r="X176">
        <f t="shared" ca="1" si="58"/>
        <v>1</v>
      </c>
      <c r="Z176" t="b">
        <f t="shared" ca="1" si="59"/>
        <v>0</v>
      </c>
      <c r="AA176" t="b">
        <f t="shared" ca="1" si="60"/>
        <v>0</v>
      </c>
      <c r="AI176">
        <v>2030</v>
      </c>
      <c r="AJ176">
        <v>6</v>
      </c>
      <c r="AK176">
        <v>24</v>
      </c>
      <c r="AL176" t="s">
        <v>93</v>
      </c>
      <c r="AM176" t="s">
        <v>158</v>
      </c>
      <c r="AN176" t="s">
        <v>1412</v>
      </c>
      <c r="AO176" s="1">
        <v>61</v>
      </c>
      <c r="AP176" t="s">
        <v>1369</v>
      </c>
    </row>
    <row r="177" spans="11:42" x14ac:dyDescent="0.25">
      <c r="K177" s="7">
        <v>0</v>
      </c>
      <c r="L177" s="7">
        <f t="shared" ca="1" si="49"/>
        <v>0</v>
      </c>
      <c r="M177" s="7">
        <f t="shared" ca="1" si="50"/>
        <v>0</v>
      </c>
      <c r="N177" s="7">
        <f t="shared" ca="1" si="51"/>
        <v>0</v>
      </c>
      <c r="O177" s="7">
        <f t="shared" ca="1" si="52"/>
        <v>0</v>
      </c>
      <c r="P177" s="7">
        <f t="shared" ca="1" si="53"/>
        <v>0</v>
      </c>
      <c r="Q177" s="7">
        <f t="shared" ca="1" si="54"/>
        <v>0</v>
      </c>
      <c r="R177" s="7">
        <f t="shared" ca="1" si="55"/>
        <v>0</v>
      </c>
      <c r="S177" s="7"/>
      <c r="U177" s="5">
        <f t="shared" ca="1" si="62"/>
        <v>46267.662929050923</v>
      </c>
      <c r="V177">
        <f t="shared" ca="1" si="56"/>
        <v>2026</v>
      </c>
      <c r="W177">
        <f t="shared" ca="1" si="57"/>
        <v>9</v>
      </c>
      <c r="X177">
        <f t="shared" ca="1" si="58"/>
        <v>2</v>
      </c>
      <c r="Z177" t="b">
        <f t="shared" ca="1" si="59"/>
        <v>0</v>
      </c>
      <c r="AA177" t="b">
        <f t="shared" ca="1" si="60"/>
        <v>0</v>
      </c>
      <c r="AI177">
        <v>2030</v>
      </c>
      <c r="AJ177">
        <v>7</v>
      </c>
      <c r="AK177">
        <v>1</v>
      </c>
      <c r="AL177" t="s">
        <v>91</v>
      </c>
      <c r="AM177" t="s">
        <v>164</v>
      </c>
      <c r="AN177" t="s">
        <v>85</v>
      </c>
      <c r="AO177" s="1">
        <v>171</v>
      </c>
      <c r="AP177" t="s">
        <v>131</v>
      </c>
    </row>
    <row r="178" spans="11:42" x14ac:dyDescent="0.25">
      <c r="K178" s="7">
        <v>0</v>
      </c>
      <c r="L178" s="7">
        <f t="shared" ca="1" si="49"/>
        <v>0</v>
      </c>
      <c r="M178" s="7">
        <f t="shared" ca="1" si="50"/>
        <v>0</v>
      </c>
      <c r="N178" s="7">
        <f t="shared" ca="1" si="51"/>
        <v>0</v>
      </c>
      <c r="O178" s="7">
        <f t="shared" ca="1" si="52"/>
        <v>0</v>
      </c>
      <c r="P178" s="7">
        <f t="shared" ca="1" si="53"/>
        <v>0</v>
      </c>
      <c r="Q178" s="7">
        <f t="shared" ca="1" si="54"/>
        <v>0</v>
      </c>
      <c r="R178" s="7">
        <f t="shared" ca="1" si="55"/>
        <v>0</v>
      </c>
      <c r="S178" s="7"/>
      <c r="U178" s="5">
        <f t="shared" ca="1" si="62"/>
        <v>46268.662929050923</v>
      </c>
      <c r="V178">
        <f t="shared" ca="1" si="56"/>
        <v>2026</v>
      </c>
      <c r="W178">
        <f t="shared" ca="1" si="57"/>
        <v>9</v>
      </c>
      <c r="X178">
        <f t="shared" ca="1" si="58"/>
        <v>3</v>
      </c>
      <c r="Z178" t="b">
        <f t="shared" ca="1" si="59"/>
        <v>0</v>
      </c>
      <c r="AA178" t="b">
        <f t="shared" ca="1" si="60"/>
        <v>0</v>
      </c>
      <c r="AI178">
        <v>2030</v>
      </c>
      <c r="AJ178">
        <v>8</v>
      </c>
      <c r="AK178">
        <v>1</v>
      </c>
      <c r="AL178" t="s">
        <v>91</v>
      </c>
      <c r="AM178" t="s">
        <v>164</v>
      </c>
      <c r="AN178" t="s">
        <v>85</v>
      </c>
      <c r="AO178" s="1">
        <v>231</v>
      </c>
      <c r="AP178" t="s">
        <v>132</v>
      </c>
    </row>
    <row r="179" spans="11:42" x14ac:dyDescent="0.25">
      <c r="K179" s="7">
        <v>0</v>
      </c>
      <c r="L179" s="7">
        <f t="shared" ca="1" si="49"/>
        <v>0</v>
      </c>
      <c r="M179" s="7">
        <f t="shared" ca="1" si="50"/>
        <v>0</v>
      </c>
      <c r="N179" s="7">
        <f t="shared" ca="1" si="51"/>
        <v>0</v>
      </c>
      <c r="O179" s="7">
        <f t="shared" ca="1" si="52"/>
        <v>0</v>
      </c>
      <c r="P179" s="7">
        <f t="shared" ca="1" si="53"/>
        <v>0</v>
      </c>
      <c r="Q179" s="7">
        <f t="shared" ca="1" si="54"/>
        <v>0</v>
      </c>
      <c r="R179" s="7">
        <f t="shared" ca="1" si="55"/>
        <v>0</v>
      </c>
      <c r="S179" s="7"/>
      <c r="U179" s="5">
        <f t="shared" ca="1" si="62"/>
        <v>46269.662929050923</v>
      </c>
      <c r="V179">
        <f t="shared" ca="1" si="56"/>
        <v>2026</v>
      </c>
      <c r="W179">
        <f t="shared" ca="1" si="57"/>
        <v>9</v>
      </c>
      <c r="X179">
        <f t="shared" ca="1" si="58"/>
        <v>4</v>
      </c>
      <c r="Z179" t="b">
        <f t="shared" ca="1" si="59"/>
        <v>0</v>
      </c>
      <c r="AA179" t="b">
        <f t="shared" ca="1" si="60"/>
        <v>0</v>
      </c>
      <c r="AI179">
        <v>2030</v>
      </c>
      <c r="AJ179">
        <v>9</v>
      </c>
      <c r="AK179">
        <v>1</v>
      </c>
      <c r="AL179" t="s">
        <v>91</v>
      </c>
      <c r="AM179" t="s">
        <v>164</v>
      </c>
      <c r="AN179" t="s">
        <v>85</v>
      </c>
      <c r="AO179" s="1">
        <v>282</v>
      </c>
      <c r="AP179" t="s">
        <v>133</v>
      </c>
    </row>
    <row r="180" spans="11:42" x14ac:dyDescent="0.25">
      <c r="K180" s="7">
        <v>0</v>
      </c>
      <c r="L180" s="7">
        <f t="shared" ca="1" si="49"/>
        <v>0</v>
      </c>
      <c r="M180" s="7">
        <f t="shared" ca="1" si="50"/>
        <v>0</v>
      </c>
      <c r="N180" s="7">
        <f t="shared" ca="1" si="51"/>
        <v>0</v>
      </c>
      <c r="O180" s="7">
        <f t="shared" ca="1" si="52"/>
        <v>0</v>
      </c>
      <c r="P180" s="7">
        <f t="shared" ca="1" si="53"/>
        <v>0</v>
      </c>
      <c r="Q180" s="7">
        <f t="shared" ca="1" si="54"/>
        <v>0</v>
      </c>
      <c r="R180" s="7">
        <f t="shared" ca="1" si="55"/>
        <v>0</v>
      </c>
      <c r="S180" s="7"/>
      <c r="U180" s="5">
        <f t="shared" ca="1" si="62"/>
        <v>46270.662929050923</v>
      </c>
      <c r="V180">
        <f t="shared" ca="1" si="56"/>
        <v>2026</v>
      </c>
      <c r="W180">
        <f t="shared" ca="1" si="57"/>
        <v>9</v>
      </c>
      <c r="X180">
        <f t="shared" ca="1" si="58"/>
        <v>5</v>
      </c>
      <c r="Z180" t="b">
        <f t="shared" ca="1" si="59"/>
        <v>0</v>
      </c>
      <c r="AA180" t="b">
        <f t="shared" ca="1" si="60"/>
        <v>0</v>
      </c>
      <c r="AI180">
        <v>2030</v>
      </c>
      <c r="AJ180">
        <v>10</v>
      </c>
      <c r="AK180">
        <v>1</v>
      </c>
      <c r="AL180" t="s">
        <v>91</v>
      </c>
      <c r="AM180" t="s">
        <v>164</v>
      </c>
      <c r="AN180" t="s">
        <v>85</v>
      </c>
      <c r="AO180" s="1">
        <v>277</v>
      </c>
      <c r="AP180" t="s">
        <v>134</v>
      </c>
    </row>
    <row r="181" spans="11:42" x14ac:dyDescent="0.25">
      <c r="K181" s="7">
        <v>0</v>
      </c>
      <c r="L181" s="7">
        <f t="shared" ca="1" si="49"/>
        <v>0</v>
      </c>
      <c r="M181" s="7">
        <f t="shared" ca="1" si="50"/>
        <v>0</v>
      </c>
      <c r="N181" s="7">
        <f t="shared" ca="1" si="51"/>
        <v>0</v>
      </c>
      <c r="O181" s="7">
        <f t="shared" ca="1" si="52"/>
        <v>0</v>
      </c>
      <c r="P181" s="7">
        <f t="shared" ca="1" si="53"/>
        <v>0</v>
      </c>
      <c r="Q181" s="7">
        <f t="shared" ca="1" si="54"/>
        <v>0</v>
      </c>
      <c r="R181" s="7">
        <f t="shared" ca="1" si="55"/>
        <v>0</v>
      </c>
      <c r="S181" s="7"/>
      <c r="U181" s="5">
        <f t="shared" ca="1" si="62"/>
        <v>46271.662929050923</v>
      </c>
      <c r="V181">
        <f t="shared" ca="1" si="56"/>
        <v>2026</v>
      </c>
      <c r="W181">
        <f t="shared" ca="1" si="57"/>
        <v>9</v>
      </c>
      <c r="X181">
        <f t="shared" ca="1" si="58"/>
        <v>6</v>
      </c>
      <c r="Z181" t="b">
        <f t="shared" ca="1" si="59"/>
        <v>0</v>
      </c>
      <c r="AA181" t="b">
        <f t="shared" ca="1" si="60"/>
        <v>0</v>
      </c>
      <c r="AI181">
        <v>2030</v>
      </c>
      <c r="AJ181">
        <v>10</v>
      </c>
      <c r="AK181">
        <v>8</v>
      </c>
      <c r="AL181" t="s">
        <v>56</v>
      </c>
      <c r="AM181" t="s">
        <v>184</v>
      </c>
      <c r="AN181" t="s">
        <v>84</v>
      </c>
      <c r="AO181" s="1">
        <v>105</v>
      </c>
      <c r="AP181" t="s">
        <v>135</v>
      </c>
    </row>
    <row r="182" spans="11:42" x14ac:dyDescent="0.25">
      <c r="K182" s="7">
        <v>0</v>
      </c>
      <c r="L182" s="7">
        <f t="shared" ca="1" si="49"/>
        <v>0</v>
      </c>
      <c r="M182" s="7">
        <f t="shared" ca="1" si="50"/>
        <v>0</v>
      </c>
      <c r="N182" s="7">
        <f t="shared" ca="1" si="51"/>
        <v>0</v>
      </c>
      <c r="O182" s="7">
        <f t="shared" ca="1" si="52"/>
        <v>0</v>
      </c>
      <c r="P182" s="7">
        <f t="shared" ca="1" si="53"/>
        <v>0</v>
      </c>
      <c r="Q182" s="7">
        <f t="shared" ca="1" si="54"/>
        <v>0</v>
      </c>
      <c r="R182" s="7">
        <f t="shared" ca="1" si="55"/>
        <v>0</v>
      </c>
      <c r="S182" s="7"/>
      <c r="U182" s="5">
        <f t="shared" ca="1" si="62"/>
        <v>46272.662929050923</v>
      </c>
      <c r="V182">
        <f t="shared" ca="1" si="56"/>
        <v>2026</v>
      </c>
      <c r="W182">
        <f t="shared" ca="1" si="57"/>
        <v>9</v>
      </c>
      <c r="X182">
        <f t="shared" ca="1" si="58"/>
        <v>7</v>
      </c>
      <c r="Z182" t="b">
        <f t="shared" ca="1" si="59"/>
        <v>0</v>
      </c>
      <c r="AA182" t="b">
        <f t="shared" ca="1" si="60"/>
        <v>0</v>
      </c>
      <c r="AI182">
        <v>2030</v>
      </c>
      <c r="AJ182">
        <v>11</v>
      </c>
      <c r="AK182">
        <v>1</v>
      </c>
      <c r="AL182" t="s">
        <v>91</v>
      </c>
      <c r="AM182" t="s">
        <v>164</v>
      </c>
      <c r="AN182" t="s">
        <v>85</v>
      </c>
      <c r="AO182" s="1">
        <v>221</v>
      </c>
      <c r="AP182" t="s">
        <v>136</v>
      </c>
    </row>
    <row r="183" spans="11:42" x14ac:dyDescent="0.25">
      <c r="K183" s="7">
        <v>0</v>
      </c>
      <c r="L183" s="7">
        <f t="shared" ca="1" si="49"/>
        <v>0</v>
      </c>
      <c r="M183" s="7">
        <f t="shared" ca="1" si="50"/>
        <v>0</v>
      </c>
      <c r="N183" s="7">
        <f t="shared" ca="1" si="51"/>
        <v>0</v>
      </c>
      <c r="O183" s="7">
        <f t="shared" ca="1" si="52"/>
        <v>0</v>
      </c>
      <c r="P183" s="7">
        <f t="shared" ca="1" si="53"/>
        <v>0</v>
      </c>
      <c r="Q183" s="7">
        <f t="shared" ca="1" si="54"/>
        <v>0</v>
      </c>
      <c r="R183" s="7">
        <f t="shared" ca="1" si="55"/>
        <v>0</v>
      </c>
      <c r="S183" s="7"/>
      <c r="U183" s="5">
        <f t="shared" ca="1" si="62"/>
        <v>46273.662929050923</v>
      </c>
      <c r="V183">
        <f t="shared" ca="1" si="56"/>
        <v>2026</v>
      </c>
      <c r="W183">
        <f t="shared" ca="1" si="57"/>
        <v>9</v>
      </c>
      <c r="X183">
        <f t="shared" ca="1" si="58"/>
        <v>8</v>
      </c>
      <c r="Z183" t="b">
        <f t="shared" ca="1" si="59"/>
        <v>0</v>
      </c>
      <c r="AA183" t="b">
        <f t="shared" ca="1" si="60"/>
        <v>0</v>
      </c>
      <c r="AI183">
        <v>2030</v>
      </c>
      <c r="AJ183">
        <v>12</v>
      </c>
      <c r="AK183">
        <v>1</v>
      </c>
      <c r="AL183" t="s">
        <v>91</v>
      </c>
      <c r="AM183" t="s">
        <v>164</v>
      </c>
      <c r="AN183" t="s">
        <v>85</v>
      </c>
      <c r="AO183" s="1">
        <v>165</v>
      </c>
      <c r="AP183" t="s">
        <v>137</v>
      </c>
    </row>
    <row r="184" spans="11:42" x14ac:dyDescent="0.25">
      <c r="K184" s="7">
        <v>0</v>
      </c>
      <c r="L184" s="7">
        <f t="shared" ca="1" si="49"/>
        <v>0</v>
      </c>
      <c r="M184" s="7">
        <f t="shared" ca="1" si="50"/>
        <v>0</v>
      </c>
      <c r="N184" s="7">
        <f t="shared" ca="1" si="51"/>
        <v>0</v>
      </c>
      <c r="O184" s="7">
        <f t="shared" ca="1" si="52"/>
        <v>0</v>
      </c>
      <c r="P184" s="7">
        <f t="shared" ca="1" si="53"/>
        <v>0</v>
      </c>
      <c r="Q184" s="7">
        <f t="shared" ca="1" si="54"/>
        <v>0</v>
      </c>
      <c r="R184" s="7">
        <f t="shared" ca="1" si="55"/>
        <v>0</v>
      </c>
      <c r="S184" s="7"/>
      <c r="U184" s="5">
        <f t="shared" ca="1" si="62"/>
        <v>46274.662929050923</v>
      </c>
      <c r="V184">
        <f t="shared" ca="1" si="56"/>
        <v>2026</v>
      </c>
      <c r="W184">
        <f t="shared" ca="1" si="57"/>
        <v>9</v>
      </c>
      <c r="X184">
        <f t="shared" ca="1" si="58"/>
        <v>9</v>
      </c>
      <c r="Z184" t="b">
        <f t="shared" ca="1" si="59"/>
        <v>0</v>
      </c>
      <c r="AA184" t="b">
        <f t="shared" ca="1" si="60"/>
        <v>0</v>
      </c>
      <c r="AI184">
        <v>2030</v>
      </c>
      <c r="AJ184">
        <v>12</v>
      </c>
      <c r="AK184">
        <v>5</v>
      </c>
      <c r="AL184" t="s">
        <v>53</v>
      </c>
      <c r="AM184" t="s">
        <v>224</v>
      </c>
      <c r="AN184" t="s">
        <v>258</v>
      </c>
      <c r="AO184" s="1">
        <v>113</v>
      </c>
      <c r="AP184" t="s">
        <v>1234</v>
      </c>
    </row>
    <row r="185" spans="11:42" x14ac:dyDescent="0.25">
      <c r="K185" s="7">
        <v>0</v>
      </c>
      <c r="L185" s="7">
        <f t="shared" ca="1" si="49"/>
        <v>0</v>
      </c>
      <c r="M185" s="7">
        <f t="shared" ca="1" si="50"/>
        <v>0</v>
      </c>
      <c r="N185" s="7">
        <f t="shared" ca="1" si="51"/>
        <v>0</v>
      </c>
      <c r="O185" s="7">
        <f t="shared" ca="1" si="52"/>
        <v>0</v>
      </c>
      <c r="P185" s="7">
        <f t="shared" ca="1" si="53"/>
        <v>0</v>
      </c>
      <c r="Q185" s="7">
        <f t="shared" ca="1" si="54"/>
        <v>0</v>
      </c>
      <c r="R185" s="7">
        <f t="shared" ca="1" si="55"/>
        <v>0</v>
      </c>
      <c r="S185" s="7"/>
      <c r="U185" s="5">
        <f t="shared" ca="1" si="62"/>
        <v>46275.662929050923</v>
      </c>
      <c r="V185">
        <f t="shared" ca="1" si="56"/>
        <v>2026</v>
      </c>
      <c r="W185">
        <f t="shared" ca="1" si="57"/>
        <v>9</v>
      </c>
      <c r="X185">
        <f t="shared" ca="1" si="58"/>
        <v>10</v>
      </c>
      <c r="Z185" t="b">
        <f t="shared" ca="1" si="59"/>
        <v>0</v>
      </c>
      <c r="AA185" t="b">
        <f t="shared" ca="1" si="60"/>
        <v>0</v>
      </c>
      <c r="AI185">
        <v>2030</v>
      </c>
      <c r="AJ185">
        <v>12</v>
      </c>
      <c r="AK185">
        <v>13</v>
      </c>
      <c r="AL185" t="s">
        <v>56</v>
      </c>
      <c r="AM185" t="s">
        <v>184</v>
      </c>
      <c r="AN185" t="s">
        <v>84</v>
      </c>
      <c r="AO185" s="1">
        <v>114</v>
      </c>
      <c r="AP185" t="s">
        <v>138</v>
      </c>
    </row>
    <row r="186" spans="11:42" x14ac:dyDescent="0.25">
      <c r="K186" s="7">
        <v>0</v>
      </c>
      <c r="L186" s="7">
        <f t="shared" ca="1" si="49"/>
        <v>0</v>
      </c>
      <c r="M186" s="7">
        <f t="shared" ca="1" si="50"/>
        <v>0</v>
      </c>
      <c r="N186" s="7">
        <f t="shared" ca="1" si="51"/>
        <v>0</v>
      </c>
      <c r="O186" s="7">
        <f t="shared" ca="1" si="52"/>
        <v>0</v>
      </c>
      <c r="P186" s="7">
        <f t="shared" ca="1" si="53"/>
        <v>0</v>
      </c>
      <c r="Q186" s="7">
        <f t="shared" ca="1" si="54"/>
        <v>0</v>
      </c>
      <c r="R186" s="7">
        <f t="shared" ca="1" si="55"/>
        <v>0</v>
      </c>
      <c r="S186" s="7"/>
      <c r="U186" s="5">
        <f t="shared" ca="1" si="62"/>
        <v>46276.662929050923</v>
      </c>
      <c r="V186">
        <f t="shared" ca="1" si="56"/>
        <v>2026</v>
      </c>
      <c r="W186">
        <f t="shared" ca="1" si="57"/>
        <v>9</v>
      </c>
      <c r="X186">
        <f t="shared" ca="1" si="58"/>
        <v>11</v>
      </c>
      <c r="Z186" t="b">
        <f t="shared" ca="1" si="59"/>
        <v>0</v>
      </c>
      <c r="AA186" t="b">
        <f t="shared" ca="1" si="60"/>
        <v>0</v>
      </c>
      <c r="AI186">
        <v>2030</v>
      </c>
      <c r="AJ186">
        <v>12</v>
      </c>
      <c r="AK186">
        <v>25</v>
      </c>
      <c r="AL186" t="s">
        <v>43</v>
      </c>
      <c r="AM186" t="s">
        <v>230</v>
      </c>
      <c r="AN186" t="s">
        <v>1411</v>
      </c>
      <c r="AO186" s="1">
        <v>95</v>
      </c>
      <c r="AP186" t="s">
        <v>7</v>
      </c>
    </row>
    <row r="187" spans="11:42" x14ac:dyDescent="0.25">
      <c r="K187" s="7">
        <v>0</v>
      </c>
      <c r="L187" s="7">
        <f t="shared" ca="1" si="49"/>
        <v>0</v>
      </c>
      <c r="M187" s="7">
        <f t="shared" ca="1" si="50"/>
        <v>0</v>
      </c>
      <c r="N187" s="7">
        <f t="shared" ca="1" si="51"/>
        <v>0</v>
      </c>
      <c r="O187" s="7">
        <f t="shared" ca="1" si="52"/>
        <v>0</v>
      </c>
      <c r="P187" s="7">
        <f t="shared" ca="1" si="53"/>
        <v>0</v>
      </c>
      <c r="Q187" s="7">
        <f t="shared" ca="1" si="54"/>
        <v>0</v>
      </c>
      <c r="R187" s="7">
        <f t="shared" ca="1" si="55"/>
        <v>0</v>
      </c>
      <c r="S187" s="7"/>
      <c r="U187" s="5">
        <f t="shared" ca="1" si="62"/>
        <v>46277.662929050923</v>
      </c>
      <c r="V187">
        <f t="shared" ca="1" si="56"/>
        <v>2026</v>
      </c>
      <c r="W187">
        <f t="shared" ca="1" si="57"/>
        <v>9</v>
      </c>
      <c r="X187">
        <f t="shared" ca="1" si="58"/>
        <v>12</v>
      </c>
      <c r="Z187" t="b">
        <f t="shared" ca="1" si="59"/>
        <v>0</v>
      </c>
      <c r="AA187" t="b">
        <f t="shared" ca="1" si="60"/>
        <v>0</v>
      </c>
      <c r="AI187">
        <v>2030</v>
      </c>
      <c r="AJ187">
        <v>12</v>
      </c>
      <c r="AK187">
        <v>26</v>
      </c>
      <c r="AL187" t="s">
        <v>43</v>
      </c>
      <c r="AM187" t="s">
        <v>201</v>
      </c>
      <c r="AN187" t="s">
        <v>86</v>
      </c>
      <c r="AO187" s="1">
        <v>108</v>
      </c>
      <c r="AP187" t="s">
        <v>78</v>
      </c>
    </row>
    <row r="188" spans="11:42" x14ac:dyDescent="0.25">
      <c r="K188" s="7">
        <v>0</v>
      </c>
      <c r="L188" s="7">
        <f t="shared" ca="1" si="49"/>
        <v>0</v>
      </c>
      <c r="M188" s="7">
        <f t="shared" ca="1" si="50"/>
        <v>0</v>
      </c>
      <c r="N188" s="7">
        <f t="shared" ca="1" si="51"/>
        <v>0</v>
      </c>
      <c r="O188" s="7">
        <f t="shared" ca="1" si="52"/>
        <v>0</v>
      </c>
      <c r="P188" s="7">
        <f t="shared" ca="1" si="53"/>
        <v>0</v>
      </c>
      <c r="Q188" s="7">
        <f t="shared" ca="1" si="54"/>
        <v>0</v>
      </c>
      <c r="R188" s="7">
        <f t="shared" ca="1" si="55"/>
        <v>0</v>
      </c>
      <c r="S188" s="7"/>
      <c r="U188" s="5">
        <f t="shared" ca="1" si="62"/>
        <v>46278.662929050923</v>
      </c>
      <c r="V188">
        <f t="shared" ca="1" si="56"/>
        <v>2026</v>
      </c>
      <c r="W188">
        <f t="shared" ca="1" si="57"/>
        <v>9</v>
      </c>
      <c r="X188">
        <f t="shared" ca="1" si="58"/>
        <v>13</v>
      </c>
      <c r="Z188" t="b">
        <f t="shared" ca="1" si="59"/>
        <v>0</v>
      </c>
      <c r="AA188" t="b">
        <f t="shared" ca="1" si="60"/>
        <v>0</v>
      </c>
      <c r="AI188">
        <v>2030</v>
      </c>
      <c r="AJ188">
        <v>12</v>
      </c>
      <c r="AK188">
        <v>28</v>
      </c>
      <c r="AL188" t="s">
        <v>52</v>
      </c>
      <c r="AM188" t="s">
        <v>245</v>
      </c>
      <c r="AN188" t="s">
        <v>1411</v>
      </c>
      <c r="AO188" s="1">
        <v>77</v>
      </c>
      <c r="AP188" t="s">
        <v>1367</v>
      </c>
    </row>
    <row r="189" spans="11:42" x14ac:dyDescent="0.25">
      <c r="K189" s="7">
        <v>0</v>
      </c>
      <c r="L189" s="7">
        <f t="shared" ca="1" si="49"/>
        <v>0</v>
      </c>
      <c r="M189" s="7">
        <f t="shared" ca="1" si="50"/>
        <v>0</v>
      </c>
      <c r="N189" s="7">
        <f t="shared" ca="1" si="51"/>
        <v>0</v>
      </c>
      <c r="O189" s="7">
        <f t="shared" ca="1" si="52"/>
        <v>0</v>
      </c>
      <c r="P189" s="7">
        <f t="shared" ca="1" si="53"/>
        <v>0</v>
      </c>
      <c r="Q189" s="7">
        <f t="shared" ca="1" si="54"/>
        <v>0</v>
      </c>
      <c r="R189" s="7">
        <f t="shared" ca="1" si="55"/>
        <v>0</v>
      </c>
      <c r="S189" s="7"/>
      <c r="U189" s="5">
        <f t="shared" ca="1" si="62"/>
        <v>46279.662929050923</v>
      </c>
      <c r="V189">
        <f t="shared" ca="1" si="56"/>
        <v>2026</v>
      </c>
      <c r="W189">
        <f t="shared" ca="1" si="57"/>
        <v>9</v>
      </c>
      <c r="X189">
        <f t="shared" ca="1" si="58"/>
        <v>14</v>
      </c>
      <c r="Z189" t="b">
        <f t="shared" ca="1" si="59"/>
        <v>0</v>
      </c>
      <c r="AA189" t="b">
        <f t="shared" ca="1" si="60"/>
        <v>0</v>
      </c>
      <c r="AI189">
        <v>2031</v>
      </c>
      <c r="AJ189">
        <v>1</v>
      </c>
      <c r="AK189">
        <v>1</v>
      </c>
      <c r="AL189" t="s">
        <v>93</v>
      </c>
      <c r="AM189" t="s">
        <v>256</v>
      </c>
      <c r="AN189" t="s">
        <v>83</v>
      </c>
      <c r="AO189" s="1">
        <v>77</v>
      </c>
      <c r="AP189" t="s">
        <v>8</v>
      </c>
    </row>
    <row r="190" spans="11:42" x14ac:dyDescent="0.25">
      <c r="K190" s="7">
        <v>0</v>
      </c>
      <c r="L190" s="7">
        <f t="shared" ca="1" si="49"/>
        <v>0</v>
      </c>
      <c r="M190" s="7">
        <f t="shared" ca="1" si="50"/>
        <v>0</v>
      </c>
      <c r="N190" s="7">
        <f t="shared" ca="1" si="51"/>
        <v>0</v>
      </c>
      <c r="O190" s="7">
        <f t="shared" ca="1" si="52"/>
        <v>0</v>
      </c>
      <c r="P190" s="7">
        <f t="shared" ca="1" si="53"/>
        <v>0</v>
      </c>
      <c r="Q190" s="7">
        <f t="shared" ca="1" si="54"/>
        <v>0</v>
      </c>
      <c r="R190" s="7">
        <f t="shared" ca="1" si="55"/>
        <v>0</v>
      </c>
      <c r="S190" s="7"/>
      <c r="U190" s="5">
        <f t="shared" ca="1" si="62"/>
        <v>46280.662929050923</v>
      </c>
      <c r="V190">
        <f t="shared" ca="1" si="56"/>
        <v>2026</v>
      </c>
      <c r="W190">
        <f t="shared" ca="1" si="57"/>
        <v>9</v>
      </c>
      <c r="X190">
        <f t="shared" ca="1" si="58"/>
        <v>15</v>
      </c>
      <c r="Z190" t="b">
        <f t="shared" ca="1" si="59"/>
        <v>0</v>
      </c>
      <c r="AA190" t="b">
        <f t="shared" ca="1" si="60"/>
        <v>0</v>
      </c>
      <c r="AI190">
        <v>2031</v>
      </c>
      <c r="AJ190">
        <v>1</v>
      </c>
      <c r="AK190">
        <v>24</v>
      </c>
      <c r="AL190" t="s">
        <v>52</v>
      </c>
      <c r="AM190" t="s">
        <v>79</v>
      </c>
      <c r="AN190" t="s">
        <v>259</v>
      </c>
      <c r="AO190" s="1">
        <v>186</v>
      </c>
      <c r="AP190" t="s">
        <v>1388</v>
      </c>
    </row>
    <row r="191" spans="11:42" x14ac:dyDescent="0.25">
      <c r="K191" s="7">
        <v>0</v>
      </c>
      <c r="L191" s="7">
        <f t="shared" ca="1" si="49"/>
        <v>0</v>
      </c>
      <c r="M191" s="7">
        <f t="shared" ca="1" si="50"/>
        <v>0</v>
      </c>
      <c r="N191" s="7">
        <f t="shared" ca="1" si="51"/>
        <v>0</v>
      </c>
      <c r="O191" s="7">
        <f t="shared" ca="1" si="52"/>
        <v>0</v>
      </c>
      <c r="P191" s="7">
        <f t="shared" ca="1" si="53"/>
        <v>0</v>
      </c>
      <c r="Q191" s="7">
        <f t="shared" ca="1" si="54"/>
        <v>0</v>
      </c>
      <c r="R191" s="7">
        <f t="shared" ca="1" si="55"/>
        <v>0</v>
      </c>
      <c r="S191" s="7"/>
      <c r="U191" s="5">
        <f t="shared" ca="1" si="62"/>
        <v>46281.662929050923</v>
      </c>
      <c r="V191">
        <f t="shared" ca="1" si="56"/>
        <v>2026</v>
      </c>
      <c r="W191">
        <f t="shared" ca="1" si="57"/>
        <v>9</v>
      </c>
      <c r="X191">
        <f t="shared" ca="1" si="58"/>
        <v>16</v>
      </c>
      <c r="Z191" t="b">
        <f t="shared" ca="1" si="59"/>
        <v>0</v>
      </c>
      <c r="AA191" t="b">
        <f t="shared" ca="1" si="60"/>
        <v>0</v>
      </c>
      <c r="AI191">
        <v>2031</v>
      </c>
      <c r="AJ191">
        <v>2</v>
      </c>
      <c r="AK191">
        <v>1</v>
      </c>
      <c r="AL191" t="s">
        <v>91</v>
      </c>
      <c r="AM191" t="s">
        <v>164</v>
      </c>
      <c r="AN191" t="s">
        <v>85</v>
      </c>
      <c r="AO191" s="1">
        <v>249</v>
      </c>
      <c r="AP191" t="s">
        <v>1487</v>
      </c>
    </row>
    <row r="192" spans="11:42" x14ac:dyDescent="0.25">
      <c r="K192" s="7">
        <v>0</v>
      </c>
      <c r="L192" s="7">
        <f t="shared" ca="1" si="49"/>
        <v>0</v>
      </c>
      <c r="M192" s="7">
        <f t="shared" ca="1" si="50"/>
        <v>0</v>
      </c>
      <c r="N192" s="7">
        <f t="shared" ca="1" si="51"/>
        <v>0</v>
      </c>
      <c r="O192" s="7">
        <f t="shared" ca="1" si="52"/>
        <v>0</v>
      </c>
      <c r="P192" s="7">
        <f t="shared" ca="1" si="53"/>
        <v>0</v>
      </c>
      <c r="Q192" s="7">
        <f t="shared" ca="1" si="54"/>
        <v>0</v>
      </c>
      <c r="R192" s="7">
        <f t="shared" ca="1" si="55"/>
        <v>0</v>
      </c>
      <c r="S192" s="7"/>
      <c r="U192" s="5">
        <f t="shared" ca="1" si="62"/>
        <v>46282.662929050923</v>
      </c>
      <c r="V192">
        <f t="shared" ca="1" si="56"/>
        <v>2026</v>
      </c>
      <c r="W192">
        <f t="shared" ca="1" si="57"/>
        <v>9</v>
      </c>
      <c r="X192">
        <f t="shared" ca="1" si="58"/>
        <v>17</v>
      </c>
      <c r="Z192" t="b">
        <f t="shared" ca="1" si="59"/>
        <v>0</v>
      </c>
      <c r="AA192" t="b">
        <f t="shared" ca="1" si="60"/>
        <v>0</v>
      </c>
      <c r="AI192">
        <v>2031</v>
      </c>
      <c r="AJ192">
        <v>2</v>
      </c>
      <c r="AK192">
        <v>14</v>
      </c>
      <c r="AL192" t="s">
        <v>93</v>
      </c>
      <c r="AM192" t="s">
        <v>1392</v>
      </c>
      <c r="AN192" t="s">
        <v>258</v>
      </c>
      <c r="AO192" s="1">
        <v>70</v>
      </c>
      <c r="AP192" t="s">
        <v>1371</v>
      </c>
    </row>
    <row r="193" spans="11:42" x14ac:dyDescent="0.25">
      <c r="K193" s="7">
        <v>0</v>
      </c>
      <c r="L193" s="7">
        <f t="shared" ca="1" si="49"/>
        <v>0</v>
      </c>
      <c r="M193" s="7">
        <f t="shared" ca="1" si="50"/>
        <v>0</v>
      </c>
      <c r="N193" s="7">
        <f t="shared" ca="1" si="51"/>
        <v>0</v>
      </c>
      <c r="O193" s="7">
        <f t="shared" ca="1" si="52"/>
        <v>0</v>
      </c>
      <c r="P193" s="7">
        <f t="shared" ca="1" si="53"/>
        <v>0</v>
      </c>
      <c r="Q193" s="7">
        <f t="shared" ca="1" si="54"/>
        <v>0</v>
      </c>
      <c r="R193" s="7">
        <f t="shared" ca="1" si="55"/>
        <v>0</v>
      </c>
      <c r="S193" s="7"/>
      <c r="U193" s="5">
        <f t="shared" ca="1" si="62"/>
        <v>46283.662929050923</v>
      </c>
      <c r="V193">
        <f t="shared" ca="1" si="56"/>
        <v>2026</v>
      </c>
      <c r="W193">
        <f t="shared" ca="1" si="57"/>
        <v>9</v>
      </c>
      <c r="X193">
        <f t="shared" ca="1" si="58"/>
        <v>18</v>
      </c>
      <c r="Z193" t="b">
        <f t="shared" ca="1" si="59"/>
        <v>0</v>
      </c>
      <c r="AA193" t="b">
        <f t="shared" ca="1" si="60"/>
        <v>0</v>
      </c>
      <c r="AI193">
        <v>2031</v>
      </c>
      <c r="AJ193">
        <v>2</v>
      </c>
      <c r="AK193">
        <v>23</v>
      </c>
      <c r="AL193" t="s">
        <v>93</v>
      </c>
      <c r="AM193" t="s">
        <v>164</v>
      </c>
      <c r="AN193" t="s">
        <v>84</v>
      </c>
      <c r="AO193" s="1">
        <v>96</v>
      </c>
      <c r="AP193" t="s">
        <v>1492</v>
      </c>
    </row>
    <row r="194" spans="11:42" x14ac:dyDescent="0.25">
      <c r="K194" s="7">
        <v>0</v>
      </c>
      <c r="L194" s="7">
        <f t="shared" ca="1" si="49"/>
        <v>0</v>
      </c>
      <c r="M194" s="7">
        <f t="shared" ca="1" si="50"/>
        <v>0</v>
      </c>
      <c r="N194" s="7">
        <f t="shared" ca="1" si="51"/>
        <v>0</v>
      </c>
      <c r="O194" s="7">
        <f t="shared" ca="1" si="52"/>
        <v>0</v>
      </c>
      <c r="P194" s="7">
        <f t="shared" ca="1" si="53"/>
        <v>0</v>
      </c>
      <c r="Q194" s="7">
        <f t="shared" ca="1" si="54"/>
        <v>0</v>
      </c>
      <c r="R194" s="7">
        <f t="shared" ca="1" si="55"/>
        <v>0</v>
      </c>
      <c r="S194" s="7"/>
      <c r="U194" s="5">
        <f t="shared" ca="1" si="62"/>
        <v>46284.662929050923</v>
      </c>
      <c r="V194">
        <f t="shared" ca="1" si="56"/>
        <v>2026</v>
      </c>
      <c r="W194">
        <f t="shared" ca="1" si="57"/>
        <v>9</v>
      </c>
      <c r="X194">
        <f t="shared" ca="1" si="58"/>
        <v>19</v>
      </c>
      <c r="Z194" t="b">
        <f t="shared" ca="1" si="59"/>
        <v>0</v>
      </c>
      <c r="AA194" t="b">
        <f t="shared" ca="1" si="60"/>
        <v>0</v>
      </c>
      <c r="AI194">
        <v>2031</v>
      </c>
      <c r="AJ194">
        <v>2</v>
      </c>
      <c r="AK194">
        <v>23</v>
      </c>
      <c r="AL194" t="s">
        <v>93</v>
      </c>
      <c r="AM194" t="s">
        <v>164</v>
      </c>
      <c r="AN194" t="s">
        <v>84</v>
      </c>
      <c r="AO194" s="1">
        <v>116</v>
      </c>
      <c r="AP194" t="s">
        <v>1489</v>
      </c>
    </row>
    <row r="195" spans="11:42" x14ac:dyDescent="0.25">
      <c r="K195" s="7">
        <v>0</v>
      </c>
      <c r="L195" s="7">
        <f t="shared" ca="1" si="49"/>
        <v>0</v>
      </c>
      <c r="M195" s="7">
        <f t="shared" ca="1" si="50"/>
        <v>0</v>
      </c>
      <c r="N195" s="7">
        <f t="shared" ca="1" si="51"/>
        <v>0</v>
      </c>
      <c r="O195" s="7">
        <f t="shared" ca="1" si="52"/>
        <v>0</v>
      </c>
      <c r="P195" s="7">
        <f t="shared" ca="1" si="53"/>
        <v>0</v>
      </c>
      <c r="Q195" s="7">
        <f t="shared" ca="1" si="54"/>
        <v>0</v>
      </c>
      <c r="R195" s="7">
        <f t="shared" ca="1" si="55"/>
        <v>0</v>
      </c>
      <c r="S195" s="7"/>
      <c r="U195" s="5">
        <f t="shared" ca="1" si="62"/>
        <v>46285.662929050923</v>
      </c>
      <c r="V195">
        <f t="shared" ca="1" si="56"/>
        <v>2026</v>
      </c>
      <c r="W195">
        <f t="shared" ca="1" si="57"/>
        <v>9</v>
      </c>
      <c r="X195">
        <f t="shared" ca="1" si="58"/>
        <v>20</v>
      </c>
      <c r="Z195" t="b">
        <f t="shared" ca="1" si="59"/>
        <v>0</v>
      </c>
      <c r="AA195" t="b">
        <f t="shared" ca="1" si="60"/>
        <v>0</v>
      </c>
      <c r="AI195">
        <v>2031</v>
      </c>
      <c r="AJ195">
        <v>2</v>
      </c>
      <c r="AK195">
        <v>24</v>
      </c>
      <c r="AL195" t="s">
        <v>93</v>
      </c>
      <c r="AM195" t="s">
        <v>164</v>
      </c>
      <c r="AN195" t="s">
        <v>84</v>
      </c>
      <c r="AO195" s="1">
        <v>124</v>
      </c>
      <c r="AP195" t="s">
        <v>1490</v>
      </c>
    </row>
    <row r="196" spans="11:42" x14ac:dyDescent="0.25">
      <c r="K196" s="7">
        <v>0</v>
      </c>
      <c r="L196" s="7">
        <f t="shared" ref="L196:L231" ca="1" si="63">OFFSET(INDIRECT($L$1),ROW(B194),COLUMN(B194))</f>
        <v>0</v>
      </c>
      <c r="M196" s="7">
        <f t="shared" ref="M196:M231" ca="1" si="64">OFFSET(INDIRECT($L$1),ROW(C194),COLUMN(C194))</f>
        <v>0</v>
      </c>
      <c r="N196" s="7">
        <f t="shared" ref="N196:N231" ca="1" si="65">OFFSET(INDIRECT($L$1),ROW(D194),COLUMN(D194))</f>
        <v>0</v>
      </c>
      <c r="O196" s="7">
        <f t="shared" ref="O196:O231" ca="1" si="66">OFFSET(INDIRECT($L$1),ROW(E194),COLUMN(E194))</f>
        <v>0</v>
      </c>
      <c r="P196" s="7">
        <f t="shared" ref="P196:P231" ca="1" si="67">OFFSET(INDIRECT($L$1),ROW(F194),COLUMN(F194))</f>
        <v>0</v>
      </c>
      <c r="Q196" s="7">
        <f t="shared" ref="Q196:Q231" ca="1" si="68">OFFSET(INDIRECT($L$1),ROW(G194),COLUMN(G194))</f>
        <v>0</v>
      </c>
      <c r="R196" s="7">
        <f t="shared" ref="R196:R231" ca="1" si="69">OFFSET(INDIRECT($L$1),ROW(H194),COLUMN(H194))</f>
        <v>0</v>
      </c>
      <c r="S196" s="7"/>
      <c r="U196" s="5">
        <f t="shared" ca="1" si="62"/>
        <v>46286.662929050923</v>
      </c>
      <c r="V196">
        <f t="shared" ref="V196:V259" ca="1" si="70">YEAR(U196)</f>
        <v>2026</v>
      </c>
      <c r="W196">
        <f t="shared" ref="W196:W259" ca="1" si="71">MONTH(U196)</f>
        <v>9</v>
      </c>
      <c r="X196">
        <f t="shared" ref="X196:X259" ca="1" si="72">DAY(U196)</f>
        <v>21</v>
      </c>
      <c r="Z196" t="b">
        <f t="shared" ref="Z196:Z259" ca="1" si="73">AND(V196=B196,W196=C196,X196=D196)</f>
        <v>0</v>
      </c>
      <c r="AA196" t="b">
        <f t="shared" ref="AA196:AA259" ca="1" si="74">AND(W196=M196,X196=N196)</f>
        <v>0</v>
      </c>
      <c r="AI196">
        <v>2031</v>
      </c>
      <c r="AJ196">
        <v>2</v>
      </c>
      <c r="AK196">
        <v>26</v>
      </c>
      <c r="AL196" t="s">
        <v>89</v>
      </c>
      <c r="AM196" t="s">
        <v>204</v>
      </c>
      <c r="AN196" t="s">
        <v>86</v>
      </c>
      <c r="AO196" s="1">
        <v>251</v>
      </c>
      <c r="AP196" t="s">
        <v>143</v>
      </c>
    </row>
    <row r="197" spans="11:42" x14ac:dyDescent="0.25">
      <c r="K197" s="7">
        <v>0</v>
      </c>
      <c r="L197" s="7">
        <f t="shared" ca="1" si="63"/>
        <v>0</v>
      </c>
      <c r="M197" s="7">
        <f t="shared" ca="1" si="64"/>
        <v>0</v>
      </c>
      <c r="N197" s="7">
        <f t="shared" ca="1" si="65"/>
        <v>0</v>
      </c>
      <c r="O197" s="7">
        <f t="shared" ca="1" si="66"/>
        <v>0</v>
      </c>
      <c r="P197" s="7">
        <f t="shared" ca="1" si="67"/>
        <v>0</v>
      </c>
      <c r="Q197" s="7">
        <f t="shared" ca="1" si="68"/>
        <v>0</v>
      </c>
      <c r="R197" s="7">
        <f t="shared" ca="1" si="69"/>
        <v>0</v>
      </c>
      <c r="S197" s="7"/>
      <c r="U197" s="5">
        <f t="shared" ref="U197:U260" ca="1" si="75">U196+1</f>
        <v>46287.662929050923</v>
      </c>
      <c r="V197">
        <f t="shared" ca="1" si="70"/>
        <v>2026</v>
      </c>
      <c r="W197">
        <f t="shared" ca="1" si="71"/>
        <v>9</v>
      </c>
      <c r="X197">
        <f t="shared" ca="1" si="72"/>
        <v>22</v>
      </c>
      <c r="Z197" t="b">
        <f t="shared" ca="1" si="73"/>
        <v>0</v>
      </c>
      <c r="AA197" t="b">
        <f t="shared" ca="1" si="74"/>
        <v>0</v>
      </c>
      <c r="AI197">
        <v>2031</v>
      </c>
      <c r="AJ197">
        <v>3</v>
      </c>
      <c r="AK197">
        <v>1</v>
      </c>
      <c r="AL197" t="s">
        <v>91</v>
      </c>
      <c r="AM197" t="s">
        <v>164</v>
      </c>
      <c r="AN197" t="s">
        <v>85</v>
      </c>
      <c r="AO197" s="1">
        <v>287</v>
      </c>
      <c r="AP197" t="s">
        <v>122</v>
      </c>
    </row>
    <row r="198" spans="11:42" x14ac:dyDescent="0.25">
      <c r="K198" s="7">
        <v>0</v>
      </c>
      <c r="L198" s="7">
        <f t="shared" ca="1" si="63"/>
        <v>0</v>
      </c>
      <c r="M198" s="7">
        <f t="shared" ca="1" si="64"/>
        <v>0</v>
      </c>
      <c r="N198" s="7">
        <f t="shared" ca="1" si="65"/>
        <v>0</v>
      </c>
      <c r="O198" s="7">
        <f t="shared" ca="1" si="66"/>
        <v>0</v>
      </c>
      <c r="P198" s="7">
        <f t="shared" ca="1" si="67"/>
        <v>0</v>
      </c>
      <c r="Q198" s="7">
        <f t="shared" ca="1" si="68"/>
        <v>0</v>
      </c>
      <c r="R198" s="7">
        <f t="shared" ca="1" si="69"/>
        <v>0</v>
      </c>
      <c r="S198" s="7"/>
      <c r="U198" s="5">
        <f t="shared" ca="1" si="75"/>
        <v>46288.662929050923</v>
      </c>
      <c r="V198">
        <f t="shared" ca="1" si="70"/>
        <v>2026</v>
      </c>
      <c r="W198">
        <f t="shared" ca="1" si="71"/>
        <v>9</v>
      </c>
      <c r="X198">
        <f t="shared" ca="1" si="72"/>
        <v>23</v>
      </c>
      <c r="Z198" t="b">
        <f t="shared" ca="1" si="73"/>
        <v>0</v>
      </c>
      <c r="AA198" t="b">
        <f t="shared" ca="1" si="74"/>
        <v>0</v>
      </c>
      <c r="AI198">
        <v>2031</v>
      </c>
      <c r="AJ198">
        <v>3</v>
      </c>
      <c r="AK198">
        <v>14</v>
      </c>
      <c r="AL198" t="s">
        <v>45</v>
      </c>
      <c r="AM198" t="s">
        <v>161</v>
      </c>
      <c r="AN198" t="s">
        <v>1413</v>
      </c>
      <c r="AO198" s="1">
        <v>95</v>
      </c>
      <c r="AP198" t="s">
        <v>1524</v>
      </c>
    </row>
    <row r="199" spans="11:42" x14ac:dyDescent="0.25">
      <c r="K199" s="7">
        <v>0</v>
      </c>
      <c r="L199" s="7">
        <f t="shared" ca="1" si="63"/>
        <v>0</v>
      </c>
      <c r="M199" s="7">
        <f t="shared" ca="1" si="64"/>
        <v>0</v>
      </c>
      <c r="N199" s="7">
        <f t="shared" ca="1" si="65"/>
        <v>0</v>
      </c>
      <c r="O199" s="7">
        <f t="shared" ca="1" si="66"/>
        <v>0</v>
      </c>
      <c r="P199" s="7">
        <f t="shared" ca="1" si="67"/>
        <v>0</v>
      </c>
      <c r="Q199" s="7">
        <f t="shared" ca="1" si="68"/>
        <v>0</v>
      </c>
      <c r="R199" s="7">
        <f t="shared" ca="1" si="69"/>
        <v>0</v>
      </c>
      <c r="S199" s="7"/>
      <c r="U199" s="5">
        <f t="shared" ca="1" si="75"/>
        <v>46289.662929050923</v>
      </c>
      <c r="V199">
        <f t="shared" ca="1" si="70"/>
        <v>2026</v>
      </c>
      <c r="W199">
        <f t="shared" ca="1" si="71"/>
        <v>9</v>
      </c>
      <c r="X199">
        <f t="shared" ca="1" si="72"/>
        <v>24</v>
      </c>
      <c r="Z199" t="b">
        <f t="shared" ca="1" si="73"/>
        <v>0</v>
      </c>
      <c r="AA199" t="b">
        <f t="shared" ca="1" si="74"/>
        <v>0</v>
      </c>
      <c r="AI199">
        <v>2031</v>
      </c>
      <c r="AJ199">
        <v>3</v>
      </c>
      <c r="AK199">
        <v>21</v>
      </c>
      <c r="AL199" t="s">
        <v>56</v>
      </c>
      <c r="AM199" t="s">
        <v>184</v>
      </c>
      <c r="AN199" t="s">
        <v>84</v>
      </c>
      <c r="AO199" s="1">
        <v>73</v>
      </c>
      <c r="AP199" t="s">
        <v>123</v>
      </c>
    </row>
    <row r="200" spans="11:42" x14ac:dyDescent="0.25">
      <c r="K200" s="7">
        <v>0</v>
      </c>
      <c r="L200" s="7">
        <f t="shared" ca="1" si="63"/>
        <v>0</v>
      </c>
      <c r="M200" s="7">
        <f t="shared" ca="1" si="64"/>
        <v>0</v>
      </c>
      <c r="N200" s="7">
        <f t="shared" ca="1" si="65"/>
        <v>0</v>
      </c>
      <c r="O200" s="7">
        <f t="shared" ca="1" si="66"/>
        <v>0</v>
      </c>
      <c r="P200" s="7">
        <f t="shared" ca="1" si="67"/>
        <v>0</v>
      </c>
      <c r="Q200" s="7">
        <f t="shared" ca="1" si="68"/>
        <v>0</v>
      </c>
      <c r="R200" s="7">
        <f t="shared" ca="1" si="69"/>
        <v>0</v>
      </c>
      <c r="S200" s="7"/>
      <c r="U200" s="5">
        <f t="shared" ca="1" si="75"/>
        <v>46290.662929050923</v>
      </c>
      <c r="V200">
        <f t="shared" ca="1" si="70"/>
        <v>2026</v>
      </c>
      <c r="W200">
        <f t="shared" ca="1" si="71"/>
        <v>9</v>
      </c>
      <c r="X200">
        <f t="shared" ca="1" si="72"/>
        <v>25</v>
      </c>
      <c r="Z200" t="b">
        <f t="shared" ca="1" si="73"/>
        <v>0</v>
      </c>
      <c r="AA200" t="b">
        <f t="shared" ca="1" si="74"/>
        <v>0</v>
      </c>
      <c r="AI200">
        <v>2031</v>
      </c>
      <c r="AJ200">
        <v>4</v>
      </c>
      <c r="AK200">
        <v>1</v>
      </c>
      <c r="AL200" t="s">
        <v>91</v>
      </c>
      <c r="AM200" t="s">
        <v>164</v>
      </c>
      <c r="AN200" t="s">
        <v>85</v>
      </c>
      <c r="AO200" s="1">
        <v>265</v>
      </c>
      <c r="AP200" t="s">
        <v>124</v>
      </c>
    </row>
    <row r="201" spans="11:42" x14ac:dyDescent="0.25">
      <c r="K201" s="7">
        <v>0</v>
      </c>
      <c r="L201" s="7">
        <f t="shared" ca="1" si="63"/>
        <v>0</v>
      </c>
      <c r="M201" s="7">
        <f t="shared" ca="1" si="64"/>
        <v>0</v>
      </c>
      <c r="N201" s="7">
        <f t="shared" ca="1" si="65"/>
        <v>0</v>
      </c>
      <c r="O201" s="7">
        <f t="shared" ca="1" si="66"/>
        <v>0</v>
      </c>
      <c r="P201" s="7">
        <f t="shared" ca="1" si="67"/>
        <v>0</v>
      </c>
      <c r="Q201" s="7">
        <f t="shared" ca="1" si="68"/>
        <v>0</v>
      </c>
      <c r="R201" s="7">
        <f t="shared" ca="1" si="69"/>
        <v>0</v>
      </c>
      <c r="S201" s="7"/>
      <c r="U201" s="5">
        <f t="shared" ca="1" si="75"/>
        <v>46291.662929050923</v>
      </c>
      <c r="V201">
        <f t="shared" ca="1" si="70"/>
        <v>2026</v>
      </c>
      <c r="W201">
        <f t="shared" ca="1" si="71"/>
        <v>9</v>
      </c>
      <c r="X201">
        <f t="shared" ca="1" si="72"/>
        <v>26</v>
      </c>
      <c r="Z201" t="b">
        <f t="shared" ca="1" si="73"/>
        <v>0</v>
      </c>
      <c r="AA201" t="b">
        <f t="shared" ca="1" si="74"/>
        <v>0</v>
      </c>
      <c r="AI201">
        <v>2031</v>
      </c>
      <c r="AJ201">
        <v>4</v>
      </c>
      <c r="AK201">
        <v>11</v>
      </c>
      <c r="AL201" t="s">
        <v>54</v>
      </c>
      <c r="AM201" t="s">
        <v>181</v>
      </c>
      <c r="AN201" t="s">
        <v>83</v>
      </c>
      <c r="AO201" s="1">
        <v>280</v>
      </c>
      <c r="AP201" t="s">
        <v>147</v>
      </c>
    </row>
    <row r="202" spans="11:42" x14ac:dyDescent="0.25">
      <c r="K202" s="7">
        <v>0</v>
      </c>
      <c r="L202" s="7">
        <f t="shared" ca="1" si="63"/>
        <v>0</v>
      </c>
      <c r="M202" s="7">
        <f t="shared" ca="1" si="64"/>
        <v>0</v>
      </c>
      <c r="N202" s="7">
        <f t="shared" ca="1" si="65"/>
        <v>0</v>
      </c>
      <c r="O202" s="7">
        <f t="shared" ca="1" si="66"/>
        <v>0</v>
      </c>
      <c r="P202" s="7">
        <f t="shared" ca="1" si="67"/>
        <v>0</v>
      </c>
      <c r="Q202" s="7">
        <f t="shared" ca="1" si="68"/>
        <v>0</v>
      </c>
      <c r="R202" s="7">
        <f t="shared" ca="1" si="69"/>
        <v>0</v>
      </c>
      <c r="S202" s="7"/>
      <c r="U202" s="5">
        <f t="shared" ca="1" si="75"/>
        <v>46292.662929050923</v>
      </c>
      <c r="V202">
        <f t="shared" ca="1" si="70"/>
        <v>2026</v>
      </c>
      <c r="W202">
        <f t="shared" ca="1" si="71"/>
        <v>9</v>
      </c>
      <c r="X202">
        <f t="shared" ca="1" si="72"/>
        <v>27</v>
      </c>
      <c r="Z202" t="b">
        <f t="shared" ca="1" si="73"/>
        <v>0</v>
      </c>
      <c r="AA202" t="b">
        <f t="shared" ca="1" si="74"/>
        <v>0</v>
      </c>
      <c r="AI202">
        <v>2031</v>
      </c>
      <c r="AJ202">
        <v>4</v>
      </c>
      <c r="AK202">
        <v>13</v>
      </c>
      <c r="AL202" t="s">
        <v>58</v>
      </c>
      <c r="AM202" t="s">
        <v>158</v>
      </c>
      <c r="AN202" t="s">
        <v>261</v>
      </c>
      <c r="AO202" s="1">
        <v>71</v>
      </c>
      <c r="AP202" t="s">
        <v>12</v>
      </c>
    </row>
    <row r="203" spans="11:42" x14ac:dyDescent="0.25">
      <c r="K203" s="7">
        <v>0</v>
      </c>
      <c r="L203" s="7">
        <f t="shared" ca="1" si="63"/>
        <v>0</v>
      </c>
      <c r="M203" s="7">
        <f t="shared" ca="1" si="64"/>
        <v>0</v>
      </c>
      <c r="N203" s="7">
        <f t="shared" ca="1" si="65"/>
        <v>0</v>
      </c>
      <c r="O203" s="7">
        <f t="shared" ca="1" si="66"/>
        <v>0</v>
      </c>
      <c r="P203" s="7">
        <f t="shared" ca="1" si="67"/>
        <v>0</v>
      </c>
      <c r="Q203" s="7">
        <f t="shared" ca="1" si="68"/>
        <v>0</v>
      </c>
      <c r="R203" s="7">
        <f t="shared" ca="1" si="69"/>
        <v>0</v>
      </c>
      <c r="S203" s="7"/>
      <c r="U203" s="5">
        <f t="shared" ca="1" si="75"/>
        <v>46293.662929050923</v>
      </c>
      <c r="V203">
        <f t="shared" ca="1" si="70"/>
        <v>2026</v>
      </c>
      <c r="W203">
        <f t="shared" ca="1" si="71"/>
        <v>9</v>
      </c>
      <c r="X203">
        <f t="shared" ca="1" si="72"/>
        <v>28</v>
      </c>
      <c r="Z203" t="b">
        <f t="shared" ca="1" si="73"/>
        <v>0</v>
      </c>
      <c r="AA203" t="b">
        <f t="shared" ca="1" si="74"/>
        <v>0</v>
      </c>
      <c r="AI203">
        <v>2031</v>
      </c>
      <c r="AJ203">
        <v>4</v>
      </c>
      <c r="AK203">
        <v>14</v>
      </c>
      <c r="AL203" t="s">
        <v>58</v>
      </c>
      <c r="AM203" t="s">
        <v>198</v>
      </c>
      <c r="AN203" t="s">
        <v>265</v>
      </c>
      <c r="AO203" s="1">
        <v>298</v>
      </c>
      <c r="AP203" t="s">
        <v>1375</v>
      </c>
    </row>
    <row r="204" spans="11:42" x14ac:dyDescent="0.25">
      <c r="K204" s="7">
        <v>0</v>
      </c>
      <c r="L204" s="7">
        <f t="shared" ca="1" si="63"/>
        <v>0</v>
      </c>
      <c r="M204" s="7">
        <f t="shared" ca="1" si="64"/>
        <v>0</v>
      </c>
      <c r="N204" s="7">
        <f t="shared" ca="1" si="65"/>
        <v>0</v>
      </c>
      <c r="O204" s="7">
        <f t="shared" ca="1" si="66"/>
        <v>0</v>
      </c>
      <c r="P204" s="7">
        <f t="shared" ca="1" si="67"/>
        <v>0</v>
      </c>
      <c r="Q204" s="7">
        <f t="shared" ca="1" si="68"/>
        <v>0</v>
      </c>
      <c r="R204" s="7">
        <f t="shared" ca="1" si="69"/>
        <v>0</v>
      </c>
      <c r="S204" s="7"/>
      <c r="U204" s="5">
        <f t="shared" ca="1" si="75"/>
        <v>46294.662929050923</v>
      </c>
      <c r="V204">
        <f t="shared" ca="1" si="70"/>
        <v>2026</v>
      </c>
      <c r="W204">
        <f t="shared" ca="1" si="71"/>
        <v>9</v>
      </c>
      <c r="X204">
        <f t="shared" ca="1" si="72"/>
        <v>29</v>
      </c>
      <c r="Z204" t="b">
        <f t="shared" ca="1" si="73"/>
        <v>0</v>
      </c>
      <c r="AA204" t="b">
        <f t="shared" ca="1" si="74"/>
        <v>0</v>
      </c>
      <c r="AI204">
        <v>2031</v>
      </c>
      <c r="AJ204">
        <v>4</v>
      </c>
      <c r="AK204">
        <v>30</v>
      </c>
      <c r="AL204" t="s">
        <v>56</v>
      </c>
      <c r="AM204" t="s">
        <v>184</v>
      </c>
      <c r="AN204" t="s">
        <v>84</v>
      </c>
      <c r="AO204" s="1">
        <v>98</v>
      </c>
      <c r="AP204" t="s">
        <v>126</v>
      </c>
    </row>
    <row r="205" spans="11:42" x14ac:dyDescent="0.25">
      <c r="K205" s="7">
        <v>0</v>
      </c>
      <c r="L205" s="7">
        <f t="shared" ca="1" si="63"/>
        <v>0</v>
      </c>
      <c r="M205" s="7">
        <f t="shared" ca="1" si="64"/>
        <v>0</v>
      </c>
      <c r="N205" s="7">
        <f t="shared" ca="1" si="65"/>
        <v>0</v>
      </c>
      <c r="O205" s="7">
        <f t="shared" ca="1" si="66"/>
        <v>0</v>
      </c>
      <c r="P205" s="7">
        <f t="shared" ca="1" si="67"/>
        <v>0</v>
      </c>
      <c r="Q205" s="7">
        <f t="shared" ca="1" si="68"/>
        <v>0</v>
      </c>
      <c r="R205" s="7">
        <f t="shared" ca="1" si="69"/>
        <v>0</v>
      </c>
      <c r="S205" s="7"/>
      <c r="U205" s="5">
        <f t="shared" ca="1" si="75"/>
        <v>46295.662929050923</v>
      </c>
      <c r="V205">
        <f t="shared" ca="1" si="70"/>
        <v>2026</v>
      </c>
      <c r="W205">
        <f t="shared" ca="1" si="71"/>
        <v>9</v>
      </c>
      <c r="X205">
        <f t="shared" ca="1" si="72"/>
        <v>30</v>
      </c>
      <c r="Z205" t="b">
        <f t="shared" ca="1" si="73"/>
        <v>0</v>
      </c>
      <c r="AA205" t="b">
        <f t="shared" ca="1" si="74"/>
        <v>0</v>
      </c>
      <c r="AI205">
        <v>2031</v>
      </c>
      <c r="AJ205">
        <v>5</v>
      </c>
      <c r="AK205">
        <v>1</v>
      </c>
      <c r="AL205" t="s">
        <v>91</v>
      </c>
      <c r="AM205" t="s">
        <v>164</v>
      </c>
      <c r="AN205" t="s">
        <v>85</v>
      </c>
      <c r="AO205" s="1">
        <v>202</v>
      </c>
      <c r="AP205" t="s">
        <v>127</v>
      </c>
    </row>
    <row r="206" spans="11:42" x14ac:dyDescent="0.25">
      <c r="K206" s="7">
        <v>0</v>
      </c>
      <c r="L206" s="7">
        <f t="shared" ca="1" si="63"/>
        <v>0</v>
      </c>
      <c r="M206" s="7">
        <f t="shared" ca="1" si="64"/>
        <v>0</v>
      </c>
      <c r="N206" s="7">
        <f t="shared" ca="1" si="65"/>
        <v>0</v>
      </c>
      <c r="O206" s="7">
        <f t="shared" ca="1" si="66"/>
        <v>0</v>
      </c>
      <c r="P206" s="7">
        <f t="shared" ca="1" si="67"/>
        <v>0</v>
      </c>
      <c r="Q206" s="7">
        <f t="shared" ca="1" si="68"/>
        <v>0</v>
      </c>
      <c r="R206" s="7">
        <f t="shared" ca="1" si="69"/>
        <v>0</v>
      </c>
      <c r="S206" s="7"/>
      <c r="U206" s="5">
        <f t="shared" ca="1" si="75"/>
        <v>46296.662929050923</v>
      </c>
      <c r="V206">
        <f t="shared" ca="1" si="70"/>
        <v>2026</v>
      </c>
      <c r="W206">
        <f t="shared" ca="1" si="71"/>
        <v>10</v>
      </c>
      <c r="X206">
        <f t="shared" ca="1" si="72"/>
        <v>1</v>
      </c>
      <c r="Z206" t="b">
        <f t="shared" ca="1" si="73"/>
        <v>0</v>
      </c>
      <c r="AA206" t="b">
        <f t="shared" ca="1" si="74"/>
        <v>0</v>
      </c>
      <c r="AI206">
        <v>2031</v>
      </c>
      <c r="AJ206">
        <v>5</v>
      </c>
      <c r="AK206">
        <v>4</v>
      </c>
      <c r="AL206" t="s">
        <v>89</v>
      </c>
      <c r="AM206" t="s">
        <v>233</v>
      </c>
      <c r="AN206" t="s">
        <v>83</v>
      </c>
      <c r="AO206" s="1">
        <v>102</v>
      </c>
      <c r="AP206" t="s">
        <v>1364</v>
      </c>
    </row>
    <row r="207" spans="11:42" x14ac:dyDescent="0.25">
      <c r="K207" s="7">
        <v>0</v>
      </c>
      <c r="L207" s="7">
        <f t="shared" ca="1" si="63"/>
        <v>0</v>
      </c>
      <c r="M207" s="7">
        <f t="shared" ca="1" si="64"/>
        <v>0</v>
      </c>
      <c r="N207" s="7">
        <f t="shared" ca="1" si="65"/>
        <v>0</v>
      </c>
      <c r="O207" s="7">
        <f t="shared" ca="1" si="66"/>
        <v>0</v>
      </c>
      <c r="P207" s="7">
        <f t="shared" ca="1" si="67"/>
        <v>0</v>
      </c>
      <c r="Q207" s="7">
        <f t="shared" ca="1" si="68"/>
        <v>0</v>
      </c>
      <c r="R207" s="7">
        <f t="shared" ca="1" si="69"/>
        <v>0</v>
      </c>
      <c r="S207" s="7"/>
      <c r="U207" s="5">
        <f t="shared" ca="1" si="75"/>
        <v>46297.662929050923</v>
      </c>
      <c r="V207">
        <f t="shared" ca="1" si="70"/>
        <v>2026</v>
      </c>
      <c r="W207">
        <f t="shared" ca="1" si="71"/>
        <v>10</v>
      </c>
      <c r="X207">
        <f t="shared" ca="1" si="72"/>
        <v>2</v>
      </c>
      <c r="Z207" t="b">
        <f t="shared" ca="1" si="73"/>
        <v>0</v>
      </c>
      <c r="AA207" t="b">
        <f t="shared" ca="1" si="74"/>
        <v>0</v>
      </c>
      <c r="AI207">
        <v>2031</v>
      </c>
      <c r="AJ207">
        <v>5</v>
      </c>
      <c r="AK207">
        <v>5</v>
      </c>
      <c r="AL207" t="s">
        <v>93</v>
      </c>
      <c r="AM207" t="s">
        <v>152</v>
      </c>
      <c r="AN207" t="s">
        <v>84</v>
      </c>
      <c r="AO207" s="1">
        <v>64</v>
      </c>
      <c r="AP207" t="s">
        <v>107</v>
      </c>
    </row>
    <row r="208" spans="11:42" x14ac:dyDescent="0.25">
      <c r="K208" s="7">
        <v>0</v>
      </c>
      <c r="L208" s="7">
        <f t="shared" ca="1" si="63"/>
        <v>0</v>
      </c>
      <c r="M208" s="7">
        <f t="shared" ca="1" si="64"/>
        <v>0</v>
      </c>
      <c r="N208" s="7">
        <f t="shared" ca="1" si="65"/>
        <v>0</v>
      </c>
      <c r="O208" s="7">
        <f t="shared" ca="1" si="66"/>
        <v>0</v>
      </c>
      <c r="P208" s="7">
        <f t="shared" ca="1" si="67"/>
        <v>0</v>
      </c>
      <c r="Q208" s="7">
        <f t="shared" ca="1" si="68"/>
        <v>0</v>
      </c>
      <c r="R208" s="7">
        <f t="shared" ca="1" si="69"/>
        <v>0</v>
      </c>
      <c r="S208" s="7"/>
      <c r="U208" s="5">
        <f t="shared" ca="1" si="75"/>
        <v>46298.662929050923</v>
      </c>
      <c r="V208">
        <f t="shared" ca="1" si="70"/>
        <v>2026</v>
      </c>
      <c r="W208">
        <f t="shared" ca="1" si="71"/>
        <v>10</v>
      </c>
      <c r="X208">
        <f t="shared" ca="1" si="72"/>
        <v>3</v>
      </c>
      <c r="Z208" t="b">
        <f t="shared" ca="1" si="73"/>
        <v>0</v>
      </c>
      <c r="AA208" t="b">
        <f t="shared" ca="1" si="74"/>
        <v>0</v>
      </c>
      <c r="AI208">
        <v>2031</v>
      </c>
      <c r="AJ208">
        <v>5</v>
      </c>
      <c r="AK208">
        <v>10</v>
      </c>
      <c r="AL208" t="s">
        <v>56</v>
      </c>
      <c r="AM208" t="s">
        <v>184</v>
      </c>
      <c r="AN208" t="s">
        <v>84</v>
      </c>
      <c r="AO208" s="1">
        <v>73</v>
      </c>
      <c r="AP208" t="s">
        <v>128</v>
      </c>
    </row>
    <row r="209" spans="11:42" x14ac:dyDescent="0.25">
      <c r="K209" s="7">
        <v>0</v>
      </c>
      <c r="L209" s="7">
        <f t="shared" ca="1" si="63"/>
        <v>0</v>
      </c>
      <c r="M209" s="7">
        <f t="shared" ca="1" si="64"/>
        <v>0</v>
      </c>
      <c r="N209" s="7">
        <f t="shared" ca="1" si="65"/>
        <v>0</v>
      </c>
      <c r="O209" s="7">
        <f t="shared" ca="1" si="66"/>
        <v>0</v>
      </c>
      <c r="P209" s="7">
        <f t="shared" ca="1" si="67"/>
        <v>0</v>
      </c>
      <c r="Q209" s="7">
        <f t="shared" ca="1" si="68"/>
        <v>0</v>
      </c>
      <c r="R209" s="7">
        <f t="shared" ca="1" si="69"/>
        <v>0</v>
      </c>
      <c r="S209" s="7"/>
      <c r="U209" s="5">
        <f t="shared" ca="1" si="75"/>
        <v>46299.662929050923</v>
      </c>
      <c r="V209">
        <f t="shared" ca="1" si="70"/>
        <v>2026</v>
      </c>
      <c r="W209">
        <f t="shared" ca="1" si="71"/>
        <v>10</v>
      </c>
      <c r="X209">
        <f t="shared" ca="1" si="72"/>
        <v>4</v>
      </c>
      <c r="Z209" t="b">
        <f t="shared" ca="1" si="73"/>
        <v>0</v>
      </c>
      <c r="AA209" t="b">
        <f t="shared" ca="1" si="74"/>
        <v>0</v>
      </c>
      <c r="AI209">
        <v>2031</v>
      </c>
      <c r="AJ209">
        <v>5</v>
      </c>
      <c r="AK209">
        <v>22</v>
      </c>
      <c r="AL209" t="s">
        <v>44</v>
      </c>
      <c r="AM209" t="s">
        <v>227</v>
      </c>
      <c r="AN209" t="s">
        <v>83</v>
      </c>
      <c r="AO209" s="1">
        <v>117</v>
      </c>
      <c r="AP209" t="s">
        <v>14</v>
      </c>
    </row>
    <row r="210" spans="11:42" x14ac:dyDescent="0.25">
      <c r="K210" s="7">
        <v>0</v>
      </c>
      <c r="L210" s="7">
        <f t="shared" ca="1" si="63"/>
        <v>0</v>
      </c>
      <c r="M210" s="7">
        <f t="shared" ca="1" si="64"/>
        <v>0</v>
      </c>
      <c r="N210" s="7">
        <f t="shared" ca="1" si="65"/>
        <v>0</v>
      </c>
      <c r="O210" s="7">
        <f t="shared" ca="1" si="66"/>
        <v>0</v>
      </c>
      <c r="P210" s="7">
        <f t="shared" ca="1" si="67"/>
        <v>0</v>
      </c>
      <c r="Q210" s="7">
        <f t="shared" ca="1" si="68"/>
        <v>0</v>
      </c>
      <c r="R210" s="7">
        <f t="shared" ca="1" si="69"/>
        <v>0</v>
      </c>
      <c r="S210" s="7"/>
      <c r="U210" s="5">
        <f t="shared" ca="1" si="75"/>
        <v>46300.662929050923</v>
      </c>
      <c r="V210">
        <f t="shared" ca="1" si="70"/>
        <v>2026</v>
      </c>
      <c r="W210">
        <f t="shared" ca="1" si="71"/>
        <v>10</v>
      </c>
      <c r="X210">
        <f t="shared" ca="1" si="72"/>
        <v>5</v>
      </c>
      <c r="Z210" t="b">
        <f t="shared" ca="1" si="73"/>
        <v>0</v>
      </c>
      <c r="AA210" t="b">
        <f t="shared" ca="1" si="74"/>
        <v>0</v>
      </c>
      <c r="AI210">
        <v>2031</v>
      </c>
      <c r="AJ210">
        <v>6</v>
      </c>
      <c r="AK210">
        <v>1</v>
      </c>
      <c r="AL210" t="s">
        <v>91</v>
      </c>
      <c r="AM210" t="s">
        <v>164</v>
      </c>
      <c r="AN210" t="s">
        <v>85</v>
      </c>
      <c r="AO210" s="1">
        <v>157</v>
      </c>
      <c r="AP210" t="s">
        <v>130</v>
      </c>
    </row>
    <row r="211" spans="11:42" x14ac:dyDescent="0.25">
      <c r="K211" s="7">
        <v>0</v>
      </c>
      <c r="L211" s="7">
        <f t="shared" ca="1" si="63"/>
        <v>0</v>
      </c>
      <c r="M211" s="7">
        <f t="shared" ca="1" si="64"/>
        <v>0</v>
      </c>
      <c r="N211" s="7">
        <f t="shared" ca="1" si="65"/>
        <v>0</v>
      </c>
      <c r="O211" s="7">
        <f t="shared" ca="1" si="66"/>
        <v>0</v>
      </c>
      <c r="P211" s="7">
        <f t="shared" ca="1" si="67"/>
        <v>0</v>
      </c>
      <c r="Q211" s="7">
        <f t="shared" ca="1" si="68"/>
        <v>0</v>
      </c>
      <c r="R211" s="7">
        <f t="shared" ca="1" si="69"/>
        <v>0</v>
      </c>
      <c r="S211" s="7"/>
      <c r="U211" s="5">
        <f t="shared" ca="1" si="75"/>
        <v>46301.662929050923</v>
      </c>
      <c r="V211">
        <f t="shared" ca="1" si="70"/>
        <v>2026</v>
      </c>
      <c r="W211">
        <f t="shared" ca="1" si="71"/>
        <v>10</v>
      </c>
      <c r="X211">
        <f t="shared" ca="1" si="72"/>
        <v>6</v>
      </c>
      <c r="Z211" t="b">
        <f t="shared" ca="1" si="73"/>
        <v>0</v>
      </c>
      <c r="AA211" t="b">
        <f t="shared" ca="1" si="74"/>
        <v>0</v>
      </c>
      <c r="AI211">
        <v>2031</v>
      </c>
      <c r="AJ211">
        <v>6</v>
      </c>
      <c r="AK211">
        <v>1</v>
      </c>
      <c r="AL211" t="s">
        <v>49</v>
      </c>
      <c r="AM211" t="s">
        <v>167</v>
      </c>
      <c r="AN211" t="s">
        <v>85</v>
      </c>
      <c r="AO211" s="1">
        <v>172</v>
      </c>
      <c r="AP211" t="s">
        <v>142</v>
      </c>
    </row>
    <row r="212" spans="11:42" x14ac:dyDescent="0.25">
      <c r="K212" s="7">
        <v>0</v>
      </c>
      <c r="L212" s="7">
        <f t="shared" ca="1" si="63"/>
        <v>0</v>
      </c>
      <c r="M212" s="7">
        <f t="shared" ca="1" si="64"/>
        <v>0</v>
      </c>
      <c r="N212" s="7">
        <f t="shared" ca="1" si="65"/>
        <v>0</v>
      </c>
      <c r="O212" s="7">
        <f t="shared" ca="1" si="66"/>
        <v>0</v>
      </c>
      <c r="P212" s="7">
        <f t="shared" ca="1" si="67"/>
        <v>0</v>
      </c>
      <c r="Q212" s="7">
        <f t="shared" ca="1" si="68"/>
        <v>0</v>
      </c>
      <c r="R212" s="7">
        <f t="shared" ca="1" si="69"/>
        <v>0</v>
      </c>
      <c r="S212" s="7"/>
      <c r="U212" s="5">
        <f t="shared" ca="1" si="75"/>
        <v>46302.662929050923</v>
      </c>
      <c r="V212">
        <f t="shared" ca="1" si="70"/>
        <v>2026</v>
      </c>
      <c r="W212">
        <f t="shared" ca="1" si="71"/>
        <v>10</v>
      </c>
      <c r="X212">
        <f t="shared" ca="1" si="72"/>
        <v>7</v>
      </c>
      <c r="Z212" t="b">
        <f t="shared" ca="1" si="73"/>
        <v>0</v>
      </c>
      <c r="AA212" t="b">
        <f t="shared" ca="1" si="74"/>
        <v>0</v>
      </c>
      <c r="AI212">
        <v>2031</v>
      </c>
      <c r="AJ212">
        <v>6</v>
      </c>
      <c r="AK212">
        <v>2</v>
      </c>
      <c r="AL212" t="s">
        <v>49</v>
      </c>
      <c r="AM212" t="s">
        <v>167</v>
      </c>
      <c r="AN212" t="s">
        <v>85</v>
      </c>
      <c r="AO212" s="1">
        <v>220</v>
      </c>
      <c r="AP212" t="s">
        <v>1495</v>
      </c>
    </row>
    <row r="213" spans="11:42" x14ac:dyDescent="0.25">
      <c r="K213" s="7">
        <v>0</v>
      </c>
      <c r="L213" s="7">
        <f t="shared" ca="1" si="63"/>
        <v>0</v>
      </c>
      <c r="M213" s="7">
        <f t="shared" ca="1" si="64"/>
        <v>0</v>
      </c>
      <c r="N213" s="7">
        <f t="shared" ca="1" si="65"/>
        <v>0</v>
      </c>
      <c r="O213" s="7">
        <f t="shared" ca="1" si="66"/>
        <v>0</v>
      </c>
      <c r="P213" s="7">
        <f t="shared" ca="1" si="67"/>
        <v>0</v>
      </c>
      <c r="Q213" s="7">
        <f t="shared" ca="1" si="68"/>
        <v>0</v>
      </c>
      <c r="R213" s="7">
        <f t="shared" ca="1" si="69"/>
        <v>0</v>
      </c>
      <c r="S213" s="7"/>
      <c r="U213" s="5">
        <f t="shared" ca="1" si="75"/>
        <v>46303.662929050923</v>
      </c>
      <c r="V213">
        <f t="shared" ca="1" si="70"/>
        <v>2026</v>
      </c>
      <c r="W213">
        <f t="shared" ca="1" si="71"/>
        <v>10</v>
      </c>
      <c r="X213">
        <f t="shared" ca="1" si="72"/>
        <v>8</v>
      </c>
      <c r="Z213" t="b">
        <f t="shared" ca="1" si="73"/>
        <v>0</v>
      </c>
      <c r="AA213" t="b">
        <f t="shared" ca="1" si="74"/>
        <v>0</v>
      </c>
      <c r="AI213">
        <v>2031</v>
      </c>
      <c r="AJ213">
        <v>6</v>
      </c>
      <c r="AK213">
        <v>24</v>
      </c>
      <c r="AL213" t="s">
        <v>93</v>
      </c>
      <c r="AM213" t="s">
        <v>158</v>
      </c>
      <c r="AN213" t="s">
        <v>1412</v>
      </c>
      <c r="AO213" s="1">
        <v>61</v>
      </c>
      <c r="AP213" t="s">
        <v>1369</v>
      </c>
    </row>
    <row r="214" spans="11:42" x14ac:dyDescent="0.25">
      <c r="K214" s="7">
        <v>0</v>
      </c>
      <c r="L214" s="7">
        <f t="shared" ca="1" si="63"/>
        <v>0</v>
      </c>
      <c r="M214" s="7">
        <f t="shared" ca="1" si="64"/>
        <v>0</v>
      </c>
      <c r="N214" s="7">
        <f t="shared" ca="1" si="65"/>
        <v>0</v>
      </c>
      <c r="O214" s="7">
        <f t="shared" ca="1" si="66"/>
        <v>0</v>
      </c>
      <c r="P214" s="7">
        <f t="shared" ca="1" si="67"/>
        <v>0</v>
      </c>
      <c r="Q214" s="7">
        <f t="shared" ca="1" si="68"/>
        <v>0</v>
      </c>
      <c r="R214" s="7">
        <f t="shared" ca="1" si="69"/>
        <v>0</v>
      </c>
      <c r="S214" s="7"/>
      <c r="U214" s="5">
        <f t="shared" ca="1" si="75"/>
        <v>46304.662929050923</v>
      </c>
      <c r="V214">
        <f t="shared" ca="1" si="70"/>
        <v>2026</v>
      </c>
      <c r="W214">
        <f t="shared" ca="1" si="71"/>
        <v>10</v>
      </c>
      <c r="X214">
        <f t="shared" ca="1" si="72"/>
        <v>9</v>
      </c>
      <c r="Z214" t="b">
        <f t="shared" ca="1" si="73"/>
        <v>0</v>
      </c>
      <c r="AA214" t="b">
        <f t="shared" ca="1" si="74"/>
        <v>0</v>
      </c>
      <c r="AI214">
        <v>2031</v>
      </c>
      <c r="AJ214">
        <v>7</v>
      </c>
      <c r="AK214">
        <v>1</v>
      </c>
      <c r="AL214" t="s">
        <v>91</v>
      </c>
      <c r="AM214" t="s">
        <v>164</v>
      </c>
      <c r="AN214" t="s">
        <v>85</v>
      </c>
      <c r="AO214" s="1">
        <v>171</v>
      </c>
      <c r="AP214" t="s">
        <v>131</v>
      </c>
    </row>
    <row r="215" spans="11:42" x14ac:dyDescent="0.25">
      <c r="K215" s="7">
        <v>0</v>
      </c>
      <c r="L215" s="7">
        <f t="shared" ca="1" si="63"/>
        <v>0</v>
      </c>
      <c r="M215" s="7">
        <f t="shared" ca="1" si="64"/>
        <v>0</v>
      </c>
      <c r="N215" s="7">
        <f t="shared" ca="1" si="65"/>
        <v>0</v>
      </c>
      <c r="O215" s="7">
        <f t="shared" ca="1" si="66"/>
        <v>0</v>
      </c>
      <c r="P215" s="7">
        <f t="shared" ca="1" si="67"/>
        <v>0</v>
      </c>
      <c r="Q215" s="7">
        <f t="shared" ca="1" si="68"/>
        <v>0</v>
      </c>
      <c r="R215" s="7">
        <f t="shared" ca="1" si="69"/>
        <v>0</v>
      </c>
      <c r="S215" s="7"/>
      <c r="U215" s="5">
        <f t="shared" ca="1" si="75"/>
        <v>46305.662929050923</v>
      </c>
      <c r="V215">
        <f t="shared" ca="1" si="70"/>
        <v>2026</v>
      </c>
      <c r="W215">
        <f t="shared" ca="1" si="71"/>
        <v>10</v>
      </c>
      <c r="X215">
        <f t="shared" ca="1" si="72"/>
        <v>10</v>
      </c>
      <c r="Z215" t="b">
        <f t="shared" ca="1" si="73"/>
        <v>0</v>
      </c>
      <c r="AA215" t="b">
        <f t="shared" ca="1" si="74"/>
        <v>0</v>
      </c>
      <c r="AI215">
        <v>2031</v>
      </c>
      <c r="AJ215">
        <v>8</v>
      </c>
      <c r="AK215">
        <v>1</v>
      </c>
      <c r="AL215" t="s">
        <v>91</v>
      </c>
      <c r="AM215" t="s">
        <v>164</v>
      </c>
      <c r="AN215" t="s">
        <v>85</v>
      </c>
      <c r="AO215" s="1">
        <v>231</v>
      </c>
      <c r="AP215" t="s">
        <v>132</v>
      </c>
    </row>
    <row r="216" spans="11:42" x14ac:dyDescent="0.25">
      <c r="K216" s="7">
        <v>0</v>
      </c>
      <c r="L216" s="7">
        <f t="shared" ca="1" si="63"/>
        <v>0</v>
      </c>
      <c r="M216" s="7">
        <f t="shared" ca="1" si="64"/>
        <v>0</v>
      </c>
      <c r="N216" s="7">
        <f t="shared" ca="1" si="65"/>
        <v>0</v>
      </c>
      <c r="O216" s="7">
        <f t="shared" ca="1" si="66"/>
        <v>0</v>
      </c>
      <c r="P216" s="7">
        <f t="shared" ca="1" si="67"/>
        <v>0</v>
      </c>
      <c r="Q216" s="7">
        <f t="shared" ca="1" si="68"/>
        <v>0</v>
      </c>
      <c r="R216" s="7">
        <f t="shared" ca="1" si="69"/>
        <v>0</v>
      </c>
      <c r="S216" s="7"/>
      <c r="U216" s="5">
        <f t="shared" ca="1" si="75"/>
        <v>46306.662929050923</v>
      </c>
      <c r="V216">
        <f t="shared" ca="1" si="70"/>
        <v>2026</v>
      </c>
      <c r="W216">
        <f t="shared" ca="1" si="71"/>
        <v>10</v>
      </c>
      <c r="X216">
        <f t="shared" ca="1" si="72"/>
        <v>11</v>
      </c>
      <c r="Z216" t="b">
        <f t="shared" ca="1" si="73"/>
        <v>0</v>
      </c>
      <c r="AA216" t="b">
        <f t="shared" ca="1" si="74"/>
        <v>0</v>
      </c>
      <c r="AI216">
        <v>2031</v>
      </c>
      <c r="AJ216">
        <v>9</v>
      </c>
      <c r="AK216">
        <v>1</v>
      </c>
      <c r="AL216" t="s">
        <v>91</v>
      </c>
      <c r="AM216" t="s">
        <v>164</v>
      </c>
      <c r="AN216" t="s">
        <v>85</v>
      </c>
      <c r="AO216" s="1">
        <v>282</v>
      </c>
      <c r="AP216" t="s">
        <v>133</v>
      </c>
    </row>
    <row r="217" spans="11:42" x14ac:dyDescent="0.25">
      <c r="K217" s="7">
        <v>0</v>
      </c>
      <c r="L217" s="7">
        <f t="shared" ca="1" si="63"/>
        <v>0</v>
      </c>
      <c r="M217" s="7">
        <f t="shared" ca="1" si="64"/>
        <v>0</v>
      </c>
      <c r="N217" s="7">
        <f t="shared" ca="1" si="65"/>
        <v>0</v>
      </c>
      <c r="O217" s="7">
        <f t="shared" ca="1" si="66"/>
        <v>0</v>
      </c>
      <c r="P217" s="7">
        <f t="shared" ca="1" si="67"/>
        <v>0</v>
      </c>
      <c r="Q217" s="7">
        <f t="shared" ca="1" si="68"/>
        <v>0</v>
      </c>
      <c r="R217" s="7">
        <f t="shared" ca="1" si="69"/>
        <v>0</v>
      </c>
      <c r="S217" s="7"/>
      <c r="U217" s="5">
        <f t="shared" ca="1" si="75"/>
        <v>46307.662929050923</v>
      </c>
      <c r="V217">
        <f t="shared" ca="1" si="70"/>
        <v>2026</v>
      </c>
      <c r="W217">
        <f t="shared" ca="1" si="71"/>
        <v>10</v>
      </c>
      <c r="X217">
        <f t="shared" ca="1" si="72"/>
        <v>12</v>
      </c>
      <c r="Z217" t="b">
        <f t="shared" ca="1" si="73"/>
        <v>0</v>
      </c>
      <c r="AA217" t="b">
        <f t="shared" ca="1" si="74"/>
        <v>0</v>
      </c>
      <c r="AI217">
        <v>2031</v>
      </c>
      <c r="AJ217">
        <v>10</v>
      </c>
      <c r="AK217">
        <v>1</v>
      </c>
      <c r="AL217" t="s">
        <v>91</v>
      </c>
      <c r="AM217" t="s">
        <v>164</v>
      </c>
      <c r="AN217" t="s">
        <v>85</v>
      </c>
      <c r="AO217" s="1">
        <v>277</v>
      </c>
      <c r="AP217" t="s">
        <v>134</v>
      </c>
    </row>
    <row r="218" spans="11:42" x14ac:dyDescent="0.25">
      <c r="K218" s="7">
        <v>0</v>
      </c>
      <c r="L218" s="7">
        <f t="shared" ca="1" si="63"/>
        <v>0</v>
      </c>
      <c r="M218" s="7">
        <f t="shared" ca="1" si="64"/>
        <v>0</v>
      </c>
      <c r="N218" s="7">
        <f t="shared" ca="1" si="65"/>
        <v>0</v>
      </c>
      <c r="O218" s="7">
        <f t="shared" ca="1" si="66"/>
        <v>0</v>
      </c>
      <c r="P218" s="7">
        <f t="shared" ca="1" si="67"/>
        <v>0</v>
      </c>
      <c r="Q218" s="7">
        <f t="shared" ca="1" si="68"/>
        <v>0</v>
      </c>
      <c r="R218" s="7">
        <f t="shared" ca="1" si="69"/>
        <v>0</v>
      </c>
      <c r="S218" s="7"/>
      <c r="U218" s="5">
        <f t="shared" ca="1" si="75"/>
        <v>46308.662929050923</v>
      </c>
      <c r="V218">
        <f t="shared" ca="1" si="70"/>
        <v>2026</v>
      </c>
      <c r="W218">
        <f t="shared" ca="1" si="71"/>
        <v>10</v>
      </c>
      <c r="X218">
        <f t="shared" ca="1" si="72"/>
        <v>13</v>
      </c>
      <c r="Z218" t="b">
        <f t="shared" ca="1" si="73"/>
        <v>0</v>
      </c>
      <c r="AA218" t="b">
        <f t="shared" ca="1" si="74"/>
        <v>0</v>
      </c>
      <c r="AI218">
        <v>2031</v>
      </c>
      <c r="AJ218">
        <v>10</v>
      </c>
      <c r="AK218">
        <v>8</v>
      </c>
      <c r="AL218" t="s">
        <v>56</v>
      </c>
      <c r="AM218" t="s">
        <v>184</v>
      </c>
      <c r="AN218" t="s">
        <v>84</v>
      </c>
      <c r="AO218" s="1">
        <v>105</v>
      </c>
      <c r="AP218" t="s">
        <v>135</v>
      </c>
    </row>
    <row r="219" spans="11:42" x14ac:dyDescent="0.25">
      <c r="K219" s="7">
        <v>0</v>
      </c>
      <c r="L219" s="7">
        <f t="shared" ca="1" si="63"/>
        <v>0</v>
      </c>
      <c r="M219" s="7">
        <f t="shared" ca="1" si="64"/>
        <v>0</v>
      </c>
      <c r="N219" s="7">
        <f t="shared" ca="1" si="65"/>
        <v>0</v>
      </c>
      <c r="O219" s="7">
        <f t="shared" ca="1" si="66"/>
        <v>0</v>
      </c>
      <c r="P219" s="7">
        <f t="shared" ca="1" si="67"/>
        <v>0</v>
      </c>
      <c r="Q219" s="7">
        <f t="shared" ca="1" si="68"/>
        <v>0</v>
      </c>
      <c r="R219" s="7">
        <f t="shared" ca="1" si="69"/>
        <v>0</v>
      </c>
      <c r="S219" s="7"/>
      <c r="U219" s="5">
        <f t="shared" ca="1" si="75"/>
        <v>46309.662929050923</v>
      </c>
      <c r="V219">
        <f t="shared" ca="1" si="70"/>
        <v>2026</v>
      </c>
      <c r="W219">
        <f t="shared" ca="1" si="71"/>
        <v>10</v>
      </c>
      <c r="X219">
        <f t="shared" ca="1" si="72"/>
        <v>14</v>
      </c>
      <c r="Z219" t="b">
        <f t="shared" ca="1" si="73"/>
        <v>0</v>
      </c>
      <c r="AA219" t="b">
        <f t="shared" ca="1" si="74"/>
        <v>0</v>
      </c>
      <c r="AI219">
        <v>2031</v>
      </c>
      <c r="AJ219">
        <v>11</v>
      </c>
      <c r="AK219">
        <v>1</v>
      </c>
      <c r="AL219" t="s">
        <v>91</v>
      </c>
      <c r="AM219" t="s">
        <v>164</v>
      </c>
      <c r="AN219" t="s">
        <v>85</v>
      </c>
      <c r="AO219" s="1">
        <v>221</v>
      </c>
      <c r="AP219" t="s">
        <v>136</v>
      </c>
    </row>
    <row r="220" spans="11:42" x14ac:dyDescent="0.25">
      <c r="K220" s="7">
        <v>0</v>
      </c>
      <c r="L220" s="7">
        <f t="shared" ca="1" si="63"/>
        <v>0</v>
      </c>
      <c r="M220" s="7">
        <f t="shared" ca="1" si="64"/>
        <v>0</v>
      </c>
      <c r="N220" s="7">
        <f t="shared" ca="1" si="65"/>
        <v>0</v>
      </c>
      <c r="O220" s="7">
        <f t="shared" ca="1" si="66"/>
        <v>0</v>
      </c>
      <c r="P220" s="7">
        <f t="shared" ca="1" si="67"/>
        <v>0</v>
      </c>
      <c r="Q220" s="7">
        <f t="shared" ca="1" si="68"/>
        <v>0</v>
      </c>
      <c r="R220" s="7">
        <f t="shared" ca="1" si="69"/>
        <v>0</v>
      </c>
      <c r="S220" s="7"/>
      <c r="U220" s="5">
        <f t="shared" ca="1" si="75"/>
        <v>46310.662929050923</v>
      </c>
      <c r="V220">
        <f t="shared" ca="1" si="70"/>
        <v>2026</v>
      </c>
      <c r="W220">
        <f t="shared" ca="1" si="71"/>
        <v>10</v>
      </c>
      <c r="X220">
        <f t="shared" ca="1" si="72"/>
        <v>15</v>
      </c>
      <c r="Z220" t="b">
        <f t="shared" ca="1" si="73"/>
        <v>0</v>
      </c>
      <c r="AA220" t="b">
        <f t="shared" ca="1" si="74"/>
        <v>0</v>
      </c>
      <c r="AI220">
        <v>2031</v>
      </c>
      <c r="AJ220">
        <v>12</v>
      </c>
      <c r="AK220">
        <v>1</v>
      </c>
      <c r="AL220" t="s">
        <v>91</v>
      </c>
      <c r="AM220" t="s">
        <v>164</v>
      </c>
      <c r="AN220" t="s">
        <v>85</v>
      </c>
      <c r="AO220" s="1">
        <v>165</v>
      </c>
      <c r="AP220" t="s">
        <v>137</v>
      </c>
    </row>
    <row r="221" spans="11:42" x14ac:dyDescent="0.25">
      <c r="K221" s="7">
        <v>0</v>
      </c>
      <c r="L221" s="7">
        <f t="shared" ca="1" si="63"/>
        <v>0</v>
      </c>
      <c r="M221" s="7">
        <f t="shared" ca="1" si="64"/>
        <v>0</v>
      </c>
      <c r="N221" s="7">
        <f t="shared" ca="1" si="65"/>
        <v>0</v>
      </c>
      <c r="O221" s="7">
        <f t="shared" ca="1" si="66"/>
        <v>0</v>
      </c>
      <c r="P221" s="7">
        <f t="shared" ca="1" si="67"/>
        <v>0</v>
      </c>
      <c r="Q221" s="7">
        <f t="shared" ca="1" si="68"/>
        <v>0</v>
      </c>
      <c r="R221" s="7">
        <f t="shared" ca="1" si="69"/>
        <v>0</v>
      </c>
      <c r="S221" s="7"/>
      <c r="U221" s="5">
        <f t="shared" ca="1" si="75"/>
        <v>46311.662929050923</v>
      </c>
      <c r="V221">
        <f t="shared" ca="1" si="70"/>
        <v>2026</v>
      </c>
      <c r="W221">
        <f t="shared" ca="1" si="71"/>
        <v>10</v>
      </c>
      <c r="X221">
        <f t="shared" ca="1" si="72"/>
        <v>16</v>
      </c>
      <c r="Z221" t="b">
        <f t="shared" ca="1" si="73"/>
        <v>0</v>
      </c>
      <c r="AA221" t="b">
        <f t="shared" ca="1" si="74"/>
        <v>0</v>
      </c>
      <c r="AI221">
        <v>2031</v>
      </c>
      <c r="AJ221">
        <v>12</v>
      </c>
      <c r="AK221">
        <v>5</v>
      </c>
      <c r="AL221" t="s">
        <v>53</v>
      </c>
      <c r="AM221" t="s">
        <v>224</v>
      </c>
      <c r="AN221" t="s">
        <v>258</v>
      </c>
      <c r="AO221" s="1">
        <v>113</v>
      </c>
      <c r="AP221" t="s">
        <v>1234</v>
      </c>
    </row>
    <row r="222" spans="11:42" x14ac:dyDescent="0.25">
      <c r="K222" s="7">
        <v>0</v>
      </c>
      <c r="L222" s="7">
        <f t="shared" ca="1" si="63"/>
        <v>0</v>
      </c>
      <c r="M222" s="7">
        <f t="shared" ca="1" si="64"/>
        <v>0</v>
      </c>
      <c r="N222" s="7">
        <f t="shared" ca="1" si="65"/>
        <v>0</v>
      </c>
      <c r="O222" s="7">
        <f t="shared" ca="1" si="66"/>
        <v>0</v>
      </c>
      <c r="P222" s="7">
        <f t="shared" ca="1" si="67"/>
        <v>0</v>
      </c>
      <c r="Q222" s="7">
        <f t="shared" ca="1" si="68"/>
        <v>0</v>
      </c>
      <c r="R222" s="7">
        <f t="shared" ca="1" si="69"/>
        <v>0</v>
      </c>
      <c r="S222" s="7"/>
      <c r="U222" s="5">
        <f t="shared" ca="1" si="75"/>
        <v>46312.662929050923</v>
      </c>
      <c r="V222">
        <f t="shared" ca="1" si="70"/>
        <v>2026</v>
      </c>
      <c r="W222">
        <f t="shared" ca="1" si="71"/>
        <v>10</v>
      </c>
      <c r="X222">
        <f t="shared" ca="1" si="72"/>
        <v>17</v>
      </c>
      <c r="Z222" t="b">
        <f t="shared" ca="1" si="73"/>
        <v>0</v>
      </c>
      <c r="AA222" t="b">
        <f t="shared" ca="1" si="74"/>
        <v>0</v>
      </c>
      <c r="AI222">
        <v>2031</v>
      </c>
      <c r="AJ222">
        <v>12</v>
      </c>
      <c r="AK222">
        <v>13</v>
      </c>
      <c r="AL222" t="s">
        <v>56</v>
      </c>
      <c r="AM222" t="s">
        <v>184</v>
      </c>
      <c r="AN222" t="s">
        <v>84</v>
      </c>
      <c r="AO222" s="1">
        <v>114</v>
      </c>
      <c r="AP222" t="s">
        <v>138</v>
      </c>
    </row>
    <row r="223" spans="11:42" x14ac:dyDescent="0.25">
      <c r="K223" s="7">
        <v>0</v>
      </c>
      <c r="L223" s="7">
        <f t="shared" ca="1" si="63"/>
        <v>0</v>
      </c>
      <c r="M223" s="7">
        <f t="shared" ca="1" si="64"/>
        <v>0</v>
      </c>
      <c r="N223" s="7">
        <f t="shared" ca="1" si="65"/>
        <v>0</v>
      </c>
      <c r="O223" s="7">
        <f t="shared" ca="1" si="66"/>
        <v>0</v>
      </c>
      <c r="P223" s="7">
        <f t="shared" ca="1" si="67"/>
        <v>0</v>
      </c>
      <c r="Q223" s="7">
        <f t="shared" ca="1" si="68"/>
        <v>0</v>
      </c>
      <c r="R223" s="7">
        <f t="shared" ca="1" si="69"/>
        <v>0</v>
      </c>
      <c r="S223" s="7"/>
      <c r="U223" s="5">
        <f t="shared" ca="1" si="75"/>
        <v>46313.662929050923</v>
      </c>
      <c r="V223">
        <f t="shared" ca="1" si="70"/>
        <v>2026</v>
      </c>
      <c r="W223">
        <f t="shared" ca="1" si="71"/>
        <v>10</v>
      </c>
      <c r="X223">
        <f t="shared" ca="1" si="72"/>
        <v>18</v>
      </c>
      <c r="Z223" t="b">
        <f t="shared" ca="1" si="73"/>
        <v>0</v>
      </c>
      <c r="AA223" t="b">
        <f t="shared" ca="1" si="74"/>
        <v>0</v>
      </c>
      <c r="AI223">
        <v>2031</v>
      </c>
      <c r="AJ223">
        <v>12</v>
      </c>
      <c r="AK223">
        <v>25</v>
      </c>
      <c r="AL223" t="s">
        <v>43</v>
      </c>
      <c r="AM223" t="s">
        <v>230</v>
      </c>
      <c r="AN223" t="s">
        <v>1411</v>
      </c>
      <c r="AO223" s="1">
        <v>95</v>
      </c>
      <c r="AP223" t="s">
        <v>7</v>
      </c>
    </row>
    <row r="224" spans="11:42" x14ac:dyDescent="0.25">
      <c r="K224" s="7">
        <v>0</v>
      </c>
      <c r="L224" s="7">
        <f t="shared" ca="1" si="63"/>
        <v>0</v>
      </c>
      <c r="M224" s="7">
        <f t="shared" ca="1" si="64"/>
        <v>0</v>
      </c>
      <c r="N224" s="7">
        <f t="shared" ca="1" si="65"/>
        <v>0</v>
      </c>
      <c r="O224" s="7">
        <f t="shared" ca="1" si="66"/>
        <v>0</v>
      </c>
      <c r="P224" s="7">
        <f t="shared" ca="1" si="67"/>
        <v>0</v>
      </c>
      <c r="Q224" s="7">
        <f t="shared" ca="1" si="68"/>
        <v>0</v>
      </c>
      <c r="R224" s="7">
        <f t="shared" ca="1" si="69"/>
        <v>0</v>
      </c>
      <c r="S224" s="7"/>
      <c r="U224" s="5">
        <f t="shared" ca="1" si="75"/>
        <v>46314.662929050923</v>
      </c>
      <c r="V224">
        <f t="shared" ca="1" si="70"/>
        <v>2026</v>
      </c>
      <c r="W224">
        <f t="shared" ca="1" si="71"/>
        <v>10</v>
      </c>
      <c r="X224">
        <f t="shared" ca="1" si="72"/>
        <v>19</v>
      </c>
      <c r="Z224" t="b">
        <f t="shared" ca="1" si="73"/>
        <v>0</v>
      </c>
      <c r="AA224" t="b">
        <f t="shared" ca="1" si="74"/>
        <v>0</v>
      </c>
      <c r="AI224">
        <v>2031</v>
      </c>
      <c r="AJ224">
        <v>12</v>
      </c>
      <c r="AK224">
        <v>26</v>
      </c>
      <c r="AL224" t="s">
        <v>43</v>
      </c>
      <c r="AM224" t="s">
        <v>201</v>
      </c>
      <c r="AN224" t="s">
        <v>86</v>
      </c>
      <c r="AO224" s="1">
        <v>108</v>
      </c>
      <c r="AP224" t="s">
        <v>78</v>
      </c>
    </row>
    <row r="225" spans="11:42" x14ac:dyDescent="0.25">
      <c r="K225" s="7">
        <v>0</v>
      </c>
      <c r="L225" s="7">
        <f t="shared" ca="1" si="63"/>
        <v>0</v>
      </c>
      <c r="M225" s="7">
        <f t="shared" ca="1" si="64"/>
        <v>0</v>
      </c>
      <c r="N225" s="7">
        <f t="shared" ca="1" si="65"/>
        <v>0</v>
      </c>
      <c r="O225" s="7">
        <f t="shared" ca="1" si="66"/>
        <v>0</v>
      </c>
      <c r="P225" s="7">
        <f t="shared" ca="1" si="67"/>
        <v>0</v>
      </c>
      <c r="Q225" s="7">
        <f t="shared" ca="1" si="68"/>
        <v>0</v>
      </c>
      <c r="R225" s="7">
        <f t="shared" ca="1" si="69"/>
        <v>0</v>
      </c>
      <c r="S225" s="7"/>
      <c r="U225" s="5">
        <f t="shared" ca="1" si="75"/>
        <v>46315.662929050923</v>
      </c>
      <c r="V225">
        <f t="shared" ca="1" si="70"/>
        <v>2026</v>
      </c>
      <c r="W225">
        <f t="shared" ca="1" si="71"/>
        <v>10</v>
      </c>
      <c r="X225">
        <f t="shared" ca="1" si="72"/>
        <v>20</v>
      </c>
      <c r="Z225" t="b">
        <f t="shared" ca="1" si="73"/>
        <v>0</v>
      </c>
      <c r="AA225" t="b">
        <f t="shared" ca="1" si="74"/>
        <v>0</v>
      </c>
      <c r="AI225">
        <v>2031</v>
      </c>
      <c r="AJ225">
        <v>12</v>
      </c>
      <c r="AK225">
        <v>28</v>
      </c>
      <c r="AL225" t="s">
        <v>52</v>
      </c>
      <c r="AM225" t="s">
        <v>245</v>
      </c>
      <c r="AN225" t="s">
        <v>1411</v>
      </c>
      <c r="AO225" s="1">
        <v>77</v>
      </c>
      <c r="AP225" t="s">
        <v>1367</v>
      </c>
    </row>
    <row r="226" spans="11:42" x14ac:dyDescent="0.25">
      <c r="K226" s="7">
        <v>0</v>
      </c>
      <c r="L226" s="7">
        <f t="shared" ca="1" si="63"/>
        <v>0</v>
      </c>
      <c r="M226" s="7">
        <f t="shared" ca="1" si="64"/>
        <v>0</v>
      </c>
      <c r="N226" s="7">
        <f t="shared" ca="1" si="65"/>
        <v>0</v>
      </c>
      <c r="O226" s="7">
        <f t="shared" ca="1" si="66"/>
        <v>0</v>
      </c>
      <c r="P226" s="7">
        <f t="shared" ca="1" si="67"/>
        <v>0</v>
      </c>
      <c r="Q226" s="7">
        <f t="shared" ca="1" si="68"/>
        <v>0</v>
      </c>
      <c r="R226" s="7">
        <f t="shared" ca="1" si="69"/>
        <v>0</v>
      </c>
      <c r="S226" s="7"/>
      <c r="U226" s="5">
        <f t="shared" ca="1" si="75"/>
        <v>46316.662929050923</v>
      </c>
      <c r="V226">
        <f t="shared" ca="1" si="70"/>
        <v>2026</v>
      </c>
      <c r="W226">
        <f t="shared" ca="1" si="71"/>
        <v>10</v>
      </c>
      <c r="X226">
        <f t="shared" ca="1" si="72"/>
        <v>21</v>
      </c>
      <c r="Z226" t="b">
        <f t="shared" ca="1" si="73"/>
        <v>0</v>
      </c>
      <c r="AA226" t="b">
        <f t="shared" ca="1" si="74"/>
        <v>0</v>
      </c>
      <c r="AI226">
        <v>2032</v>
      </c>
      <c r="AJ226">
        <v>1</v>
      </c>
      <c r="AK226">
        <v>1</v>
      </c>
      <c r="AL226" t="s">
        <v>93</v>
      </c>
      <c r="AM226" t="s">
        <v>256</v>
      </c>
      <c r="AN226" t="s">
        <v>83</v>
      </c>
      <c r="AO226" s="1">
        <v>77</v>
      </c>
      <c r="AP226" t="s">
        <v>8</v>
      </c>
    </row>
    <row r="227" spans="11:42" x14ac:dyDescent="0.25">
      <c r="K227" s="7">
        <v>0</v>
      </c>
      <c r="L227" s="7">
        <f t="shared" ca="1" si="63"/>
        <v>0</v>
      </c>
      <c r="M227" s="7">
        <f t="shared" ca="1" si="64"/>
        <v>0</v>
      </c>
      <c r="N227" s="7">
        <f t="shared" ca="1" si="65"/>
        <v>0</v>
      </c>
      <c r="O227" s="7">
        <f t="shared" ca="1" si="66"/>
        <v>0</v>
      </c>
      <c r="P227" s="7">
        <f t="shared" ca="1" si="67"/>
        <v>0</v>
      </c>
      <c r="Q227" s="7">
        <f t="shared" ca="1" si="68"/>
        <v>0</v>
      </c>
      <c r="R227" s="7">
        <f t="shared" ca="1" si="69"/>
        <v>0</v>
      </c>
      <c r="S227" s="7"/>
      <c r="U227" s="5">
        <f t="shared" ca="1" si="75"/>
        <v>46317.662929050923</v>
      </c>
      <c r="V227">
        <f t="shared" ca="1" si="70"/>
        <v>2026</v>
      </c>
      <c r="W227">
        <f t="shared" ca="1" si="71"/>
        <v>10</v>
      </c>
      <c r="X227">
        <f t="shared" ca="1" si="72"/>
        <v>22</v>
      </c>
      <c r="Z227" t="b">
        <f t="shared" ca="1" si="73"/>
        <v>0</v>
      </c>
      <c r="AA227" t="b">
        <f t="shared" ca="1" si="74"/>
        <v>0</v>
      </c>
      <c r="AI227">
        <v>2032</v>
      </c>
      <c r="AJ227">
        <v>1</v>
      </c>
      <c r="AK227">
        <v>13</v>
      </c>
      <c r="AL227" t="s">
        <v>52</v>
      </c>
      <c r="AM227" t="s">
        <v>79</v>
      </c>
      <c r="AN227" t="s">
        <v>259</v>
      </c>
      <c r="AO227" s="1">
        <v>168</v>
      </c>
      <c r="AP227" t="s">
        <v>1388</v>
      </c>
    </row>
    <row r="228" spans="11:42" x14ac:dyDescent="0.25">
      <c r="K228" s="7">
        <v>0</v>
      </c>
      <c r="L228" s="7">
        <f t="shared" ca="1" si="63"/>
        <v>0</v>
      </c>
      <c r="M228" s="7">
        <f t="shared" ca="1" si="64"/>
        <v>0</v>
      </c>
      <c r="N228" s="7">
        <f t="shared" ca="1" si="65"/>
        <v>0</v>
      </c>
      <c r="O228" s="7">
        <f t="shared" ca="1" si="66"/>
        <v>0</v>
      </c>
      <c r="P228" s="7">
        <f t="shared" ca="1" si="67"/>
        <v>0</v>
      </c>
      <c r="Q228" s="7">
        <f t="shared" ca="1" si="68"/>
        <v>0</v>
      </c>
      <c r="R228" s="7">
        <f t="shared" ca="1" si="69"/>
        <v>0</v>
      </c>
      <c r="S228" s="7"/>
      <c r="U228" s="5">
        <f t="shared" ca="1" si="75"/>
        <v>46318.662929050923</v>
      </c>
      <c r="V228">
        <f t="shared" ca="1" si="70"/>
        <v>2026</v>
      </c>
      <c r="W228">
        <f t="shared" ca="1" si="71"/>
        <v>10</v>
      </c>
      <c r="X228">
        <f t="shared" ca="1" si="72"/>
        <v>23</v>
      </c>
      <c r="Z228" t="b">
        <f t="shared" ca="1" si="73"/>
        <v>0</v>
      </c>
      <c r="AA228" t="b">
        <f t="shared" ca="1" si="74"/>
        <v>0</v>
      </c>
      <c r="AI228">
        <v>2032</v>
      </c>
      <c r="AJ228">
        <v>2</v>
      </c>
      <c r="AK228">
        <v>1</v>
      </c>
      <c r="AL228" t="s">
        <v>91</v>
      </c>
      <c r="AM228" t="s">
        <v>164</v>
      </c>
      <c r="AN228" t="s">
        <v>85</v>
      </c>
      <c r="AO228" s="1">
        <v>249</v>
      </c>
      <c r="AP228" t="s">
        <v>1487</v>
      </c>
    </row>
    <row r="229" spans="11:42" x14ac:dyDescent="0.25">
      <c r="K229" s="7">
        <v>0</v>
      </c>
      <c r="L229" s="7">
        <f t="shared" ca="1" si="63"/>
        <v>0</v>
      </c>
      <c r="M229" s="7">
        <f t="shared" ca="1" si="64"/>
        <v>0</v>
      </c>
      <c r="N229" s="7">
        <f t="shared" ca="1" si="65"/>
        <v>0</v>
      </c>
      <c r="O229" s="7">
        <f t="shared" ca="1" si="66"/>
        <v>0</v>
      </c>
      <c r="P229" s="7">
        <f t="shared" ca="1" si="67"/>
        <v>0</v>
      </c>
      <c r="Q229" s="7">
        <f t="shared" ca="1" si="68"/>
        <v>0</v>
      </c>
      <c r="R229" s="7">
        <f t="shared" ca="1" si="69"/>
        <v>0</v>
      </c>
      <c r="S229" s="7"/>
      <c r="U229" s="5">
        <f t="shared" ca="1" si="75"/>
        <v>46319.662929050923</v>
      </c>
      <c r="V229">
        <f t="shared" ca="1" si="70"/>
        <v>2026</v>
      </c>
      <c r="W229">
        <f t="shared" ca="1" si="71"/>
        <v>10</v>
      </c>
      <c r="X229">
        <f t="shared" ca="1" si="72"/>
        <v>24</v>
      </c>
      <c r="Z229" t="b">
        <f t="shared" ca="1" si="73"/>
        <v>0</v>
      </c>
      <c r="AA229" t="b">
        <f t="shared" ca="1" si="74"/>
        <v>0</v>
      </c>
      <c r="AI229">
        <v>2032</v>
      </c>
      <c r="AJ229">
        <v>2</v>
      </c>
      <c r="AK229">
        <v>8</v>
      </c>
      <c r="AL229" t="s">
        <v>93</v>
      </c>
      <c r="AM229" t="s">
        <v>164</v>
      </c>
      <c r="AN229" t="s">
        <v>84</v>
      </c>
      <c r="AO229" s="1">
        <v>101</v>
      </c>
      <c r="AP229" t="s">
        <v>1492</v>
      </c>
    </row>
    <row r="230" spans="11:42" x14ac:dyDescent="0.25">
      <c r="K230" s="7">
        <v>0</v>
      </c>
      <c r="L230" s="7">
        <f t="shared" ca="1" si="63"/>
        <v>0</v>
      </c>
      <c r="M230" s="7">
        <f t="shared" ca="1" si="64"/>
        <v>0</v>
      </c>
      <c r="N230" s="7">
        <f t="shared" ca="1" si="65"/>
        <v>0</v>
      </c>
      <c r="O230" s="7">
        <f t="shared" ca="1" si="66"/>
        <v>0</v>
      </c>
      <c r="P230" s="7">
        <f t="shared" ca="1" si="67"/>
        <v>0</v>
      </c>
      <c r="Q230" s="7">
        <f t="shared" ca="1" si="68"/>
        <v>0</v>
      </c>
      <c r="R230" s="7">
        <f t="shared" ca="1" si="69"/>
        <v>0</v>
      </c>
      <c r="S230" s="7"/>
      <c r="U230" s="5">
        <f t="shared" ca="1" si="75"/>
        <v>46320.662929050923</v>
      </c>
      <c r="V230">
        <f t="shared" ca="1" si="70"/>
        <v>2026</v>
      </c>
      <c r="W230">
        <f t="shared" ca="1" si="71"/>
        <v>10</v>
      </c>
      <c r="X230">
        <f t="shared" ca="1" si="72"/>
        <v>25</v>
      </c>
      <c r="Z230" t="b">
        <f t="shared" ca="1" si="73"/>
        <v>0</v>
      </c>
      <c r="AA230" t="b">
        <f t="shared" ca="1" si="74"/>
        <v>0</v>
      </c>
      <c r="AI230">
        <v>2032</v>
      </c>
      <c r="AJ230">
        <v>2</v>
      </c>
      <c r="AK230">
        <v>8</v>
      </c>
      <c r="AL230" t="s">
        <v>93</v>
      </c>
      <c r="AM230" t="s">
        <v>164</v>
      </c>
      <c r="AN230" t="s">
        <v>84</v>
      </c>
      <c r="AO230" s="1">
        <v>114</v>
      </c>
      <c r="AP230" t="s">
        <v>1496</v>
      </c>
    </row>
    <row r="231" spans="11:42" x14ac:dyDescent="0.25">
      <c r="K231" s="7">
        <v>0</v>
      </c>
      <c r="L231" s="7">
        <f t="shared" ca="1" si="63"/>
        <v>0</v>
      </c>
      <c r="M231" s="7">
        <f t="shared" ca="1" si="64"/>
        <v>0</v>
      </c>
      <c r="N231" s="7">
        <f t="shared" ca="1" si="65"/>
        <v>0</v>
      </c>
      <c r="O231" s="7">
        <f t="shared" ca="1" si="66"/>
        <v>0</v>
      </c>
      <c r="P231" s="7">
        <f t="shared" ca="1" si="67"/>
        <v>0</v>
      </c>
      <c r="Q231" s="7">
        <f t="shared" ca="1" si="68"/>
        <v>0</v>
      </c>
      <c r="R231" s="7">
        <f t="shared" ca="1" si="69"/>
        <v>0</v>
      </c>
      <c r="S231" s="7"/>
      <c r="U231" s="5">
        <f t="shared" ca="1" si="75"/>
        <v>46321.662929050923</v>
      </c>
      <c r="V231">
        <f t="shared" ca="1" si="70"/>
        <v>2026</v>
      </c>
      <c r="W231">
        <f t="shared" ca="1" si="71"/>
        <v>10</v>
      </c>
      <c r="X231">
        <f t="shared" ca="1" si="72"/>
        <v>26</v>
      </c>
      <c r="Z231" t="b">
        <f t="shared" ca="1" si="73"/>
        <v>0</v>
      </c>
      <c r="AA231" t="b">
        <f t="shared" ca="1" si="74"/>
        <v>0</v>
      </c>
      <c r="AI231">
        <v>2032</v>
      </c>
      <c r="AJ231">
        <v>2</v>
      </c>
      <c r="AK231">
        <v>9</v>
      </c>
      <c r="AL231" t="s">
        <v>93</v>
      </c>
      <c r="AM231" t="s">
        <v>164</v>
      </c>
      <c r="AN231" t="s">
        <v>84</v>
      </c>
      <c r="AO231" s="1">
        <v>103</v>
      </c>
      <c r="AP231" t="s">
        <v>1497</v>
      </c>
    </row>
    <row r="232" spans="11:42" x14ac:dyDescent="0.25">
      <c r="U232" s="5">
        <f t="shared" ca="1" si="75"/>
        <v>46322.662929050923</v>
      </c>
      <c r="V232">
        <f t="shared" ca="1" si="70"/>
        <v>2026</v>
      </c>
      <c r="W232">
        <f t="shared" ca="1" si="71"/>
        <v>10</v>
      </c>
      <c r="X232">
        <f t="shared" ca="1" si="72"/>
        <v>27</v>
      </c>
      <c r="Z232" t="b">
        <f t="shared" ca="1" si="73"/>
        <v>0</v>
      </c>
      <c r="AA232" t="b">
        <f t="shared" ca="1" si="74"/>
        <v>0</v>
      </c>
      <c r="AI232">
        <v>2032</v>
      </c>
      <c r="AJ232">
        <v>2</v>
      </c>
      <c r="AK232">
        <v>11</v>
      </c>
      <c r="AL232" t="s">
        <v>89</v>
      </c>
      <c r="AM232" t="s">
        <v>204</v>
      </c>
      <c r="AN232" t="s">
        <v>86</v>
      </c>
      <c r="AO232" s="1">
        <v>265</v>
      </c>
      <c r="AP232" t="s">
        <v>121</v>
      </c>
    </row>
    <row r="233" spans="11:42" x14ac:dyDescent="0.25">
      <c r="U233" s="5">
        <f t="shared" ca="1" si="75"/>
        <v>46323.662929050923</v>
      </c>
      <c r="V233">
        <f t="shared" ca="1" si="70"/>
        <v>2026</v>
      </c>
      <c r="W233">
        <f t="shared" ca="1" si="71"/>
        <v>10</v>
      </c>
      <c r="X233">
        <f t="shared" ca="1" si="72"/>
        <v>28</v>
      </c>
      <c r="Z233" t="b">
        <f t="shared" ca="1" si="73"/>
        <v>0</v>
      </c>
      <c r="AA233" t="b">
        <f t="shared" ca="1" si="74"/>
        <v>0</v>
      </c>
      <c r="AI233">
        <v>2032</v>
      </c>
      <c r="AJ233">
        <v>2</v>
      </c>
      <c r="AK233">
        <v>14</v>
      </c>
      <c r="AL233" t="s">
        <v>93</v>
      </c>
      <c r="AM233" t="s">
        <v>1392</v>
      </c>
      <c r="AN233" t="s">
        <v>258</v>
      </c>
      <c r="AO233" s="1">
        <v>70</v>
      </c>
      <c r="AP233" t="s">
        <v>1371</v>
      </c>
    </row>
    <row r="234" spans="11:42" x14ac:dyDescent="0.25">
      <c r="U234" s="5">
        <f t="shared" ca="1" si="75"/>
        <v>46324.662929050923</v>
      </c>
      <c r="V234">
        <f t="shared" ca="1" si="70"/>
        <v>2026</v>
      </c>
      <c r="W234">
        <f t="shared" ca="1" si="71"/>
        <v>10</v>
      </c>
      <c r="X234">
        <f t="shared" ca="1" si="72"/>
        <v>29</v>
      </c>
      <c r="Z234" t="b">
        <f t="shared" ca="1" si="73"/>
        <v>0</v>
      </c>
      <c r="AA234" t="b">
        <f t="shared" ca="1" si="74"/>
        <v>0</v>
      </c>
      <c r="AI234">
        <v>2032</v>
      </c>
      <c r="AJ234">
        <v>3</v>
      </c>
      <c r="AK234">
        <v>1</v>
      </c>
      <c r="AL234" t="s">
        <v>91</v>
      </c>
      <c r="AM234" t="s">
        <v>164</v>
      </c>
      <c r="AN234" t="s">
        <v>85</v>
      </c>
      <c r="AO234" s="1">
        <v>287</v>
      </c>
      <c r="AP234" t="s">
        <v>122</v>
      </c>
    </row>
    <row r="235" spans="11:42" x14ac:dyDescent="0.25">
      <c r="U235" s="5">
        <f t="shared" ca="1" si="75"/>
        <v>46325.662929050923</v>
      </c>
      <c r="V235">
        <f t="shared" ca="1" si="70"/>
        <v>2026</v>
      </c>
      <c r="W235">
        <f t="shared" ca="1" si="71"/>
        <v>10</v>
      </c>
      <c r="X235">
        <f t="shared" ca="1" si="72"/>
        <v>30</v>
      </c>
      <c r="Z235" t="b">
        <f t="shared" ca="1" si="73"/>
        <v>0</v>
      </c>
      <c r="AA235" t="b">
        <f t="shared" ca="1" si="74"/>
        <v>0</v>
      </c>
      <c r="AI235">
        <v>2032</v>
      </c>
      <c r="AJ235">
        <v>3</v>
      </c>
      <c r="AK235">
        <v>14</v>
      </c>
      <c r="AL235" t="s">
        <v>45</v>
      </c>
      <c r="AM235" t="s">
        <v>161</v>
      </c>
      <c r="AN235" t="s">
        <v>1413</v>
      </c>
      <c r="AO235" s="1">
        <v>95</v>
      </c>
      <c r="AP235" t="s">
        <v>1524</v>
      </c>
    </row>
    <row r="236" spans="11:42" x14ac:dyDescent="0.25">
      <c r="U236" s="5">
        <f t="shared" ca="1" si="75"/>
        <v>46326.662929050923</v>
      </c>
      <c r="V236">
        <f t="shared" ca="1" si="70"/>
        <v>2026</v>
      </c>
      <c r="W236">
        <f t="shared" ca="1" si="71"/>
        <v>10</v>
      </c>
      <c r="X236">
        <f t="shared" ca="1" si="72"/>
        <v>31</v>
      </c>
      <c r="Z236" t="b">
        <f t="shared" ca="1" si="73"/>
        <v>0</v>
      </c>
      <c r="AA236" t="b">
        <f t="shared" ca="1" si="74"/>
        <v>0</v>
      </c>
      <c r="AI236">
        <v>2032</v>
      </c>
      <c r="AJ236">
        <v>3</v>
      </c>
      <c r="AK236">
        <v>21</v>
      </c>
      <c r="AL236" t="s">
        <v>56</v>
      </c>
      <c r="AM236" t="s">
        <v>184</v>
      </c>
      <c r="AN236" t="s">
        <v>84</v>
      </c>
      <c r="AO236" s="1">
        <v>73</v>
      </c>
      <c r="AP236" t="s">
        <v>123</v>
      </c>
    </row>
    <row r="237" spans="11:42" x14ac:dyDescent="0.25">
      <c r="U237" s="5">
        <f t="shared" ca="1" si="75"/>
        <v>46327.662929050923</v>
      </c>
      <c r="V237">
        <f t="shared" ca="1" si="70"/>
        <v>2026</v>
      </c>
      <c r="W237">
        <f t="shared" ca="1" si="71"/>
        <v>11</v>
      </c>
      <c r="X237">
        <f t="shared" ca="1" si="72"/>
        <v>1</v>
      </c>
      <c r="Z237" t="b">
        <f t="shared" ca="1" si="73"/>
        <v>0</v>
      </c>
      <c r="AA237" t="b">
        <f t="shared" ca="1" si="74"/>
        <v>0</v>
      </c>
      <c r="AI237">
        <v>2032</v>
      </c>
      <c r="AJ237">
        <v>3</v>
      </c>
      <c r="AK237">
        <v>26</v>
      </c>
      <c r="AL237" t="s">
        <v>54</v>
      </c>
      <c r="AM237" t="s">
        <v>181</v>
      </c>
      <c r="AN237" t="s">
        <v>83</v>
      </c>
      <c r="AO237" s="1">
        <v>258</v>
      </c>
      <c r="AP237" t="s">
        <v>28</v>
      </c>
    </row>
    <row r="238" spans="11:42" x14ac:dyDescent="0.25">
      <c r="U238" s="5">
        <f t="shared" ca="1" si="75"/>
        <v>46328.662929050923</v>
      </c>
      <c r="V238">
        <f t="shared" ca="1" si="70"/>
        <v>2026</v>
      </c>
      <c r="W238">
        <f t="shared" ca="1" si="71"/>
        <v>11</v>
      </c>
      <c r="X238">
        <f t="shared" ca="1" si="72"/>
        <v>2</v>
      </c>
      <c r="Z238" t="b">
        <f t="shared" ca="1" si="73"/>
        <v>0</v>
      </c>
      <c r="AA238" t="b">
        <f t="shared" ca="1" si="74"/>
        <v>0</v>
      </c>
      <c r="AI238">
        <v>2032</v>
      </c>
      <c r="AJ238">
        <v>3</v>
      </c>
      <c r="AK238">
        <v>28</v>
      </c>
      <c r="AL238" t="s">
        <v>58</v>
      </c>
      <c r="AM238" t="s">
        <v>158</v>
      </c>
      <c r="AN238" t="s">
        <v>261</v>
      </c>
      <c r="AO238" s="1">
        <v>86</v>
      </c>
      <c r="AP238" t="s">
        <v>12</v>
      </c>
    </row>
    <row r="239" spans="11:42" x14ac:dyDescent="0.25">
      <c r="U239" s="5">
        <f t="shared" ca="1" si="75"/>
        <v>46329.662929050923</v>
      </c>
      <c r="V239">
        <f t="shared" ca="1" si="70"/>
        <v>2026</v>
      </c>
      <c r="W239">
        <f t="shared" ca="1" si="71"/>
        <v>11</v>
      </c>
      <c r="X239">
        <f t="shared" ca="1" si="72"/>
        <v>3</v>
      </c>
      <c r="Z239" t="b">
        <f t="shared" ca="1" si="73"/>
        <v>0</v>
      </c>
      <c r="AA239" t="b">
        <f t="shared" ca="1" si="74"/>
        <v>0</v>
      </c>
      <c r="AI239">
        <v>2032</v>
      </c>
      <c r="AJ239">
        <v>3</v>
      </c>
      <c r="AK239">
        <v>29</v>
      </c>
      <c r="AL239" t="s">
        <v>58</v>
      </c>
      <c r="AM239" t="s">
        <v>198</v>
      </c>
      <c r="AN239" t="s">
        <v>265</v>
      </c>
      <c r="AO239" s="1">
        <v>253</v>
      </c>
      <c r="AP239" t="s">
        <v>1375</v>
      </c>
    </row>
    <row r="240" spans="11:42" x14ac:dyDescent="0.25">
      <c r="U240" s="5">
        <f t="shared" ca="1" si="75"/>
        <v>46330.662929050923</v>
      </c>
      <c r="V240">
        <f t="shared" ca="1" si="70"/>
        <v>2026</v>
      </c>
      <c r="W240">
        <f t="shared" ca="1" si="71"/>
        <v>11</v>
      </c>
      <c r="X240">
        <f t="shared" ca="1" si="72"/>
        <v>4</v>
      </c>
      <c r="Z240" t="b">
        <f t="shared" ca="1" si="73"/>
        <v>0</v>
      </c>
      <c r="AA240" t="b">
        <f t="shared" ca="1" si="74"/>
        <v>0</v>
      </c>
      <c r="AI240">
        <v>2032</v>
      </c>
      <c r="AJ240">
        <v>4</v>
      </c>
      <c r="AK240">
        <v>1</v>
      </c>
      <c r="AL240" t="s">
        <v>91</v>
      </c>
      <c r="AM240" t="s">
        <v>164</v>
      </c>
      <c r="AN240" t="s">
        <v>85</v>
      </c>
      <c r="AO240" s="1">
        <v>265</v>
      </c>
      <c r="AP240" t="s">
        <v>124</v>
      </c>
    </row>
    <row r="241" spans="21:42" x14ac:dyDescent="0.25">
      <c r="U241" s="5">
        <f t="shared" ca="1" si="75"/>
        <v>46331.662929050923</v>
      </c>
      <c r="V241">
        <f t="shared" ca="1" si="70"/>
        <v>2026</v>
      </c>
      <c r="W241">
        <f t="shared" ca="1" si="71"/>
        <v>11</v>
      </c>
      <c r="X241">
        <f t="shared" ca="1" si="72"/>
        <v>5</v>
      </c>
      <c r="Z241" t="b">
        <f t="shared" ca="1" si="73"/>
        <v>0</v>
      </c>
      <c r="AA241" t="b">
        <f t="shared" ca="1" si="74"/>
        <v>0</v>
      </c>
      <c r="AI241">
        <v>2032</v>
      </c>
      <c r="AJ241">
        <v>4</v>
      </c>
      <c r="AK241">
        <v>30</v>
      </c>
      <c r="AL241" t="s">
        <v>56</v>
      </c>
      <c r="AM241" t="s">
        <v>184</v>
      </c>
      <c r="AN241" t="s">
        <v>84</v>
      </c>
      <c r="AO241" s="1">
        <v>98</v>
      </c>
      <c r="AP241" t="s">
        <v>126</v>
      </c>
    </row>
    <row r="242" spans="21:42" x14ac:dyDescent="0.25">
      <c r="U242" s="5">
        <f t="shared" ca="1" si="75"/>
        <v>46332.662929050923</v>
      </c>
      <c r="V242">
        <f t="shared" ca="1" si="70"/>
        <v>2026</v>
      </c>
      <c r="W242">
        <f t="shared" ca="1" si="71"/>
        <v>11</v>
      </c>
      <c r="X242">
        <f t="shared" ca="1" si="72"/>
        <v>6</v>
      </c>
      <c r="Z242" t="b">
        <f t="shared" ca="1" si="73"/>
        <v>0</v>
      </c>
      <c r="AA242" t="b">
        <f t="shared" ca="1" si="74"/>
        <v>0</v>
      </c>
      <c r="AI242">
        <v>2032</v>
      </c>
      <c r="AJ242">
        <v>5</v>
      </c>
      <c r="AK242">
        <v>1</v>
      </c>
      <c r="AL242" t="s">
        <v>91</v>
      </c>
      <c r="AM242" t="s">
        <v>164</v>
      </c>
      <c r="AN242" t="s">
        <v>85</v>
      </c>
      <c r="AO242" s="1">
        <v>202</v>
      </c>
      <c r="AP242" t="s">
        <v>127</v>
      </c>
    </row>
    <row r="243" spans="21:42" x14ac:dyDescent="0.25">
      <c r="U243" s="5">
        <f t="shared" ca="1" si="75"/>
        <v>46333.662929050923</v>
      </c>
      <c r="V243">
        <f t="shared" ca="1" si="70"/>
        <v>2026</v>
      </c>
      <c r="W243">
        <f t="shared" ca="1" si="71"/>
        <v>11</v>
      </c>
      <c r="X243">
        <f t="shared" ca="1" si="72"/>
        <v>7</v>
      </c>
      <c r="Z243" t="b">
        <f t="shared" ca="1" si="73"/>
        <v>0</v>
      </c>
      <c r="AA243" t="b">
        <f t="shared" ca="1" si="74"/>
        <v>0</v>
      </c>
      <c r="AI243">
        <v>2032</v>
      </c>
      <c r="AJ243">
        <v>5</v>
      </c>
      <c r="AK243">
        <v>4</v>
      </c>
      <c r="AL243" t="s">
        <v>89</v>
      </c>
      <c r="AM243" t="s">
        <v>233</v>
      </c>
      <c r="AN243" t="s">
        <v>83</v>
      </c>
      <c r="AO243" s="1">
        <v>102</v>
      </c>
      <c r="AP243" t="s">
        <v>1364</v>
      </c>
    </row>
    <row r="244" spans="21:42" x14ac:dyDescent="0.25">
      <c r="U244" s="5">
        <f t="shared" ca="1" si="75"/>
        <v>46334.662929050923</v>
      </c>
      <c r="V244">
        <f t="shared" ca="1" si="70"/>
        <v>2026</v>
      </c>
      <c r="W244">
        <f t="shared" ca="1" si="71"/>
        <v>11</v>
      </c>
      <c r="X244">
        <f t="shared" ca="1" si="72"/>
        <v>8</v>
      </c>
      <c r="Z244" t="b">
        <f t="shared" ca="1" si="73"/>
        <v>0</v>
      </c>
      <c r="AA244" t="b">
        <f t="shared" ca="1" si="74"/>
        <v>0</v>
      </c>
      <c r="AI244">
        <v>2032</v>
      </c>
      <c r="AJ244">
        <v>5</v>
      </c>
      <c r="AK244">
        <v>5</v>
      </c>
      <c r="AL244" t="s">
        <v>93</v>
      </c>
      <c r="AM244" t="s">
        <v>152</v>
      </c>
      <c r="AN244" t="s">
        <v>84</v>
      </c>
      <c r="AO244" s="1">
        <v>64</v>
      </c>
      <c r="AP244" t="s">
        <v>107</v>
      </c>
    </row>
    <row r="245" spans="21:42" x14ac:dyDescent="0.25">
      <c r="U245" s="5">
        <f t="shared" ca="1" si="75"/>
        <v>46335.662929050923</v>
      </c>
      <c r="V245">
        <f t="shared" ca="1" si="70"/>
        <v>2026</v>
      </c>
      <c r="W245">
        <f t="shared" ca="1" si="71"/>
        <v>11</v>
      </c>
      <c r="X245">
        <f t="shared" ca="1" si="72"/>
        <v>9</v>
      </c>
      <c r="Z245" t="b">
        <f t="shared" ca="1" si="73"/>
        <v>0</v>
      </c>
      <c r="AA245" t="b">
        <f t="shared" ca="1" si="74"/>
        <v>0</v>
      </c>
      <c r="AI245">
        <v>2032</v>
      </c>
      <c r="AJ245">
        <v>5</v>
      </c>
      <c r="AK245">
        <v>6</v>
      </c>
      <c r="AL245" t="s">
        <v>44</v>
      </c>
      <c r="AM245" t="s">
        <v>227</v>
      </c>
      <c r="AN245" t="s">
        <v>83</v>
      </c>
      <c r="AO245" s="1">
        <v>132</v>
      </c>
      <c r="AP245" t="s">
        <v>14</v>
      </c>
    </row>
    <row r="246" spans="21:42" x14ac:dyDescent="0.25">
      <c r="U246" s="5">
        <f t="shared" ca="1" si="75"/>
        <v>46336.662929050923</v>
      </c>
      <c r="V246">
        <f t="shared" ca="1" si="70"/>
        <v>2026</v>
      </c>
      <c r="W246">
        <f t="shared" ca="1" si="71"/>
        <v>11</v>
      </c>
      <c r="X246">
        <f t="shared" ca="1" si="72"/>
        <v>10</v>
      </c>
      <c r="Z246" t="b">
        <f t="shared" ca="1" si="73"/>
        <v>0</v>
      </c>
      <c r="AA246" t="b">
        <f t="shared" ca="1" si="74"/>
        <v>0</v>
      </c>
      <c r="AI246">
        <v>2032</v>
      </c>
      <c r="AJ246">
        <v>5</v>
      </c>
      <c r="AK246">
        <v>10</v>
      </c>
      <c r="AL246" t="s">
        <v>56</v>
      </c>
      <c r="AM246" t="s">
        <v>184</v>
      </c>
      <c r="AN246" t="s">
        <v>84</v>
      </c>
      <c r="AO246" s="1">
        <v>73</v>
      </c>
      <c r="AP246" t="s">
        <v>128</v>
      </c>
    </row>
    <row r="247" spans="21:42" x14ac:dyDescent="0.25">
      <c r="U247" s="5">
        <f t="shared" ca="1" si="75"/>
        <v>46337.662929050923</v>
      </c>
      <c r="V247">
        <f t="shared" ca="1" si="70"/>
        <v>2026</v>
      </c>
      <c r="W247">
        <f t="shared" ca="1" si="71"/>
        <v>11</v>
      </c>
      <c r="X247">
        <f t="shared" ca="1" si="72"/>
        <v>11</v>
      </c>
      <c r="Z247" t="b">
        <f t="shared" ca="1" si="73"/>
        <v>0</v>
      </c>
      <c r="AA247" t="b">
        <f t="shared" ca="1" si="74"/>
        <v>0</v>
      </c>
      <c r="AI247">
        <v>2032</v>
      </c>
      <c r="AJ247">
        <v>5</v>
      </c>
      <c r="AK247">
        <v>16</v>
      </c>
      <c r="AL247" t="s">
        <v>49</v>
      </c>
      <c r="AM247" t="s">
        <v>167</v>
      </c>
      <c r="AN247" t="s">
        <v>85</v>
      </c>
      <c r="AO247" s="1">
        <v>170</v>
      </c>
      <c r="AP247" t="s">
        <v>144</v>
      </c>
    </row>
    <row r="248" spans="21:42" x14ac:dyDescent="0.25">
      <c r="U248" s="5">
        <f t="shared" ca="1" si="75"/>
        <v>46338.662929050923</v>
      </c>
      <c r="V248">
        <f t="shared" ca="1" si="70"/>
        <v>2026</v>
      </c>
      <c r="W248">
        <f t="shared" ca="1" si="71"/>
        <v>11</v>
      </c>
      <c r="X248">
        <f t="shared" ca="1" si="72"/>
        <v>12</v>
      </c>
      <c r="Z248" t="b">
        <f t="shared" ca="1" si="73"/>
        <v>0</v>
      </c>
      <c r="AA248" t="b">
        <f t="shared" ca="1" si="74"/>
        <v>0</v>
      </c>
      <c r="AI248">
        <v>2032</v>
      </c>
      <c r="AJ248">
        <v>5</v>
      </c>
      <c r="AK248">
        <v>17</v>
      </c>
      <c r="AL248" t="s">
        <v>49</v>
      </c>
      <c r="AM248" t="s">
        <v>167</v>
      </c>
      <c r="AN248" t="s">
        <v>85</v>
      </c>
      <c r="AO248" s="1">
        <v>181</v>
      </c>
      <c r="AP248" t="s">
        <v>1498</v>
      </c>
    </row>
    <row r="249" spans="21:42" x14ac:dyDescent="0.25">
      <c r="U249" s="5">
        <f t="shared" ca="1" si="75"/>
        <v>46339.662929050923</v>
      </c>
      <c r="V249">
        <f t="shared" ca="1" si="70"/>
        <v>2026</v>
      </c>
      <c r="W249">
        <f t="shared" ca="1" si="71"/>
        <v>11</v>
      </c>
      <c r="X249">
        <f t="shared" ca="1" si="72"/>
        <v>13</v>
      </c>
      <c r="Z249" t="b">
        <f t="shared" ca="1" si="73"/>
        <v>0</v>
      </c>
      <c r="AA249" t="b">
        <f t="shared" ca="1" si="74"/>
        <v>0</v>
      </c>
      <c r="AI249">
        <v>2032</v>
      </c>
      <c r="AJ249">
        <v>6</v>
      </c>
      <c r="AK249">
        <v>1</v>
      </c>
      <c r="AL249" t="s">
        <v>91</v>
      </c>
      <c r="AM249" t="s">
        <v>164</v>
      </c>
      <c r="AN249" t="s">
        <v>85</v>
      </c>
      <c r="AO249" s="1">
        <v>157</v>
      </c>
      <c r="AP249" t="s">
        <v>130</v>
      </c>
    </row>
    <row r="250" spans="21:42" x14ac:dyDescent="0.25">
      <c r="U250" s="5">
        <f t="shared" ca="1" si="75"/>
        <v>46340.662929050923</v>
      </c>
      <c r="V250">
        <f t="shared" ca="1" si="70"/>
        <v>2026</v>
      </c>
      <c r="W250">
        <f t="shared" ca="1" si="71"/>
        <v>11</v>
      </c>
      <c r="X250">
        <f t="shared" ca="1" si="72"/>
        <v>14</v>
      </c>
      <c r="Z250" t="b">
        <f t="shared" ca="1" si="73"/>
        <v>0</v>
      </c>
      <c r="AA250" t="b">
        <f t="shared" ca="1" si="74"/>
        <v>0</v>
      </c>
      <c r="AI250">
        <v>2032</v>
      </c>
      <c r="AJ250">
        <v>6</v>
      </c>
      <c r="AK250">
        <v>24</v>
      </c>
      <c r="AL250" t="s">
        <v>93</v>
      </c>
      <c r="AM250" t="s">
        <v>158</v>
      </c>
      <c r="AN250" t="s">
        <v>1412</v>
      </c>
      <c r="AO250" s="1">
        <v>61</v>
      </c>
      <c r="AP250" t="s">
        <v>1369</v>
      </c>
    </row>
    <row r="251" spans="21:42" x14ac:dyDescent="0.25">
      <c r="U251" s="5">
        <f t="shared" ca="1" si="75"/>
        <v>46341.662929050923</v>
      </c>
      <c r="V251">
        <f t="shared" ca="1" si="70"/>
        <v>2026</v>
      </c>
      <c r="W251">
        <f t="shared" ca="1" si="71"/>
        <v>11</v>
      </c>
      <c r="X251">
        <f t="shared" ca="1" si="72"/>
        <v>15</v>
      </c>
      <c r="Z251" t="b">
        <f t="shared" ca="1" si="73"/>
        <v>0</v>
      </c>
      <c r="AA251" t="b">
        <f t="shared" ca="1" si="74"/>
        <v>0</v>
      </c>
      <c r="AI251">
        <v>2032</v>
      </c>
      <c r="AJ251">
        <v>7</v>
      </c>
      <c r="AK251">
        <v>1</v>
      </c>
      <c r="AL251" t="s">
        <v>91</v>
      </c>
      <c r="AM251" t="s">
        <v>164</v>
      </c>
      <c r="AN251" t="s">
        <v>85</v>
      </c>
      <c r="AO251" s="1">
        <v>171</v>
      </c>
      <c r="AP251" t="s">
        <v>131</v>
      </c>
    </row>
    <row r="252" spans="21:42" x14ac:dyDescent="0.25">
      <c r="U252" s="5">
        <f t="shared" ca="1" si="75"/>
        <v>46342.662929050923</v>
      </c>
      <c r="V252">
        <f t="shared" ca="1" si="70"/>
        <v>2026</v>
      </c>
      <c r="W252">
        <f t="shared" ca="1" si="71"/>
        <v>11</v>
      </c>
      <c r="X252">
        <f t="shared" ca="1" si="72"/>
        <v>16</v>
      </c>
      <c r="Z252" t="b">
        <f t="shared" ca="1" si="73"/>
        <v>0</v>
      </c>
      <c r="AA252" t="b">
        <f t="shared" ca="1" si="74"/>
        <v>0</v>
      </c>
      <c r="AI252">
        <v>2032</v>
      </c>
      <c r="AJ252">
        <v>8</v>
      </c>
      <c r="AK252">
        <v>1</v>
      </c>
      <c r="AL252" t="s">
        <v>91</v>
      </c>
      <c r="AM252" t="s">
        <v>164</v>
      </c>
      <c r="AN252" t="s">
        <v>85</v>
      </c>
      <c r="AO252" s="1">
        <v>231</v>
      </c>
      <c r="AP252" t="s">
        <v>132</v>
      </c>
    </row>
    <row r="253" spans="21:42" x14ac:dyDescent="0.25">
      <c r="U253" s="5">
        <f t="shared" ca="1" si="75"/>
        <v>46343.662929050923</v>
      </c>
      <c r="V253">
        <f t="shared" ca="1" si="70"/>
        <v>2026</v>
      </c>
      <c r="W253">
        <f t="shared" ca="1" si="71"/>
        <v>11</v>
      </c>
      <c r="X253">
        <f t="shared" ca="1" si="72"/>
        <v>17</v>
      </c>
      <c r="Z253" t="b">
        <f t="shared" ca="1" si="73"/>
        <v>0</v>
      </c>
      <c r="AA253" t="b">
        <f t="shared" ca="1" si="74"/>
        <v>0</v>
      </c>
      <c r="AI253">
        <v>2032</v>
      </c>
      <c r="AJ253">
        <v>9</v>
      </c>
      <c r="AK253">
        <v>1</v>
      </c>
      <c r="AL253" t="s">
        <v>91</v>
      </c>
      <c r="AM253" t="s">
        <v>164</v>
      </c>
      <c r="AN253" t="s">
        <v>85</v>
      </c>
      <c r="AO253" s="1">
        <v>282</v>
      </c>
      <c r="AP253" t="s">
        <v>133</v>
      </c>
    </row>
    <row r="254" spans="21:42" x14ac:dyDescent="0.25">
      <c r="U254" s="5">
        <f t="shared" ca="1" si="75"/>
        <v>46344.662929050923</v>
      </c>
      <c r="V254">
        <f t="shared" ca="1" si="70"/>
        <v>2026</v>
      </c>
      <c r="W254">
        <f t="shared" ca="1" si="71"/>
        <v>11</v>
      </c>
      <c r="X254">
        <f t="shared" ca="1" si="72"/>
        <v>18</v>
      </c>
      <c r="Z254" t="b">
        <f t="shared" ca="1" si="73"/>
        <v>0</v>
      </c>
      <c r="AA254" t="b">
        <f t="shared" ca="1" si="74"/>
        <v>0</v>
      </c>
      <c r="AI254">
        <v>2032</v>
      </c>
      <c r="AJ254">
        <v>10</v>
      </c>
      <c r="AK254">
        <v>1</v>
      </c>
      <c r="AL254" t="s">
        <v>91</v>
      </c>
      <c r="AM254" t="s">
        <v>164</v>
      </c>
      <c r="AN254" t="s">
        <v>85</v>
      </c>
      <c r="AO254" s="1">
        <v>277</v>
      </c>
      <c r="AP254" t="s">
        <v>134</v>
      </c>
    </row>
    <row r="255" spans="21:42" x14ac:dyDescent="0.25">
      <c r="U255" s="5">
        <f t="shared" ca="1" si="75"/>
        <v>46345.662929050923</v>
      </c>
      <c r="V255">
        <f t="shared" ca="1" si="70"/>
        <v>2026</v>
      </c>
      <c r="W255">
        <f t="shared" ca="1" si="71"/>
        <v>11</v>
      </c>
      <c r="X255">
        <f t="shared" ca="1" si="72"/>
        <v>19</v>
      </c>
      <c r="Z255" t="b">
        <f t="shared" ca="1" si="73"/>
        <v>0</v>
      </c>
      <c r="AA255" t="b">
        <f t="shared" ca="1" si="74"/>
        <v>0</v>
      </c>
      <c r="AI255">
        <v>2032</v>
      </c>
      <c r="AJ255">
        <v>10</v>
      </c>
      <c r="AK255">
        <v>8</v>
      </c>
      <c r="AL255" t="s">
        <v>56</v>
      </c>
      <c r="AM255" t="s">
        <v>184</v>
      </c>
      <c r="AN255" t="s">
        <v>84</v>
      </c>
      <c r="AO255" s="1">
        <v>105</v>
      </c>
      <c r="AP255" t="s">
        <v>135</v>
      </c>
    </row>
    <row r="256" spans="21:42" x14ac:dyDescent="0.25">
      <c r="U256" s="5">
        <f t="shared" ca="1" si="75"/>
        <v>46346.662929050923</v>
      </c>
      <c r="V256">
        <f t="shared" ca="1" si="70"/>
        <v>2026</v>
      </c>
      <c r="W256">
        <f t="shared" ca="1" si="71"/>
        <v>11</v>
      </c>
      <c r="X256">
        <f t="shared" ca="1" si="72"/>
        <v>20</v>
      </c>
      <c r="Z256" t="b">
        <f t="shared" ca="1" si="73"/>
        <v>0</v>
      </c>
      <c r="AA256" t="b">
        <f t="shared" ca="1" si="74"/>
        <v>0</v>
      </c>
      <c r="AI256">
        <v>2032</v>
      </c>
      <c r="AJ256">
        <v>11</v>
      </c>
      <c r="AK256">
        <v>1</v>
      </c>
      <c r="AL256" t="s">
        <v>91</v>
      </c>
      <c r="AM256" t="s">
        <v>164</v>
      </c>
      <c r="AN256" t="s">
        <v>85</v>
      </c>
      <c r="AO256" s="1">
        <v>221</v>
      </c>
      <c r="AP256" t="s">
        <v>136</v>
      </c>
    </row>
    <row r="257" spans="21:42" x14ac:dyDescent="0.25">
      <c r="U257" s="5">
        <f t="shared" ca="1" si="75"/>
        <v>46347.662929050923</v>
      </c>
      <c r="V257">
        <f t="shared" ca="1" si="70"/>
        <v>2026</v>
      </c>
      <c r="W257">
        <f t="shared" ca="1" si="71"/>
        <v>11</v>
      </c>
      <c r="X257">
        <f t="shared" ca="1" si="72"/>
        <v>21</v>
      </c>
      <c r="Z257" t="b">
        <f t="shared" ca="1" si="73"/>
        <v>0</v>
      </c>
      <c r="AA257" t="b">
        <f t="shared" ca="1" si="74"/>
        <v>0</v>
      </c>
      <c r="AI257">
        <v>2032</v>
      </c>
      <c r="AJ257">
        <v>12</v>
      </c>
      <c r="AK257">
        <v>1</v>
      </c>
      <c r="AL257" t="s">
        <v>91</v>
      </c>
      <c r="AM257" t="s">
        <v>164</v>
      </c>
      <c r="AN257" t="s">
        <v>85</v>
      </c>
      <c r="AO257" s="1">
        <v>165</v>
      </c>
      <c r="AP257" t="s">
        <v>137</v>
      </c>
    </row>
    <row r="258" spans="21:42" x14ac:dyDescent="0.25">
      <c r="U258" s="5">
        <f t="shared" ca="1" si="75"/>
        <v>46348.662929050923</v>
      </c>
      <c r="V258">
        <f t="shared" ca="1" si="70"/>
        <v>2026</v>
      </c>
      <c r="W258">
        <f t="shared" ca="1" si="71"/>
        <v>11</v>
      </c>
      <c r="X258">
        <f t="shared" ca="1" si="72"/>
        <v>22</v>
      </c>
      <c r="Z258" t="b">
        <f t="shared" ca="1" si="73"/>
        <v>0</v>
      </c>
      <c r="AA258" t="b">
        <f t="shared" ca="1" si="74"/>
        <v>0</v>
      </c>
      <c r="AI258">
        <v>2032</v>
      </c>
      <c r="AJ258">
        <v>12</v>
      </c>
      <c r="AK258">
        <v>5</v>
      </c>
      <c r="AL258" t="s">
        <v>53</v>
      </c>
      <c r="AM258" t="s">
        <v>224</v>
      </c>
      <c r="AN258" t="s">
        <v>258</v>
      </c>
      <c r="AO258" s="1">
        <v>113</v>
      </c>
      <c r="AP258" t="s">
        <v>1234</v>
      </c>
    </row>
    <row r="259" spans="21:42" x14ac:dyDescent="0.25">
      <c r="U259" s="5">
        <f t="shared" ca="1" si="75"/>
        <v>46349.662929050923</v>
      </c>
      <c r="V259">
        <f t="shared" ca="1" si="70"/>
        <v>2026</v>
      </c>
      <c r="W259">
        <f t="shared" ca="1" si="71"/>
        <v>11</v>
      </c>
      <c r="X259">
        <f t="shared" ca="1" si="72"/>
        <v>23</v>
      </c>
      <c r="Z259" t="b">
        <f t="shared" ca="1" si="73"/>
        <v>0</v>
      </c>
      <c r="AA259" t="b">
        <f t="shared" ca="1" si="74"/>
        <v>0</v>
      </c>
      <c r="AI259">
        <v>2032</v>
      </c>
      <c r="AJ259">
        <v>12</v>
      </c>
      <c r="AK259">
        <v>13</v>
      </c>
      <c r="AL259" t="s">
        <v>56</v>
      </c>
      <c r="AM259" t="s">
        <v>184</v>
      </c>
      <c r="AN259" t="s">
        <v>84</v>
      </c>
      <c r="AO259" s="1">
        <v>114</v>
      </c>
      <c r="AP259" t="s">
        <v>138</v>
      </c>
    </row>
    <row r="260" spans="21:42" x14ac:dyDescent="0.25">
      <c r="U260" s="5">
        <f t="shared" ca="1" si="75"/>
        <v>46350.662929050923</v>
      </c>
      <c r="V260">
        <f t="shared" ref="V260:V323" ca="1" si="76">YEAR(U260)</f>
        <v>2026</v>
      </c>
      <c r="W260">
        <f t="shared" ref="W260:W323" ca="1" si="77">MONTH(U260)</f>
        <v>11</v>
      </c>
      <c r="X260">
        <f t="shared" ref="X260:X323" ca="1" si="78">DAY(U260)</f>
        <v>24</v>
      </c>
      <c r="Z260" t="b">
        <f t="shared" ref="Z260:Z323" ca="1" si="79">AND(V260=B260,W260=C260,X260=D260)</f>
        <v>0</v>
      </c>
      <c r="AA260" t="b">
        <f t="shared" ref="AA260:AA323" ca="1" si="80">AND(W260=M260,X260=N260)</f>
        <v>0</v>
      </c>
      <c r="AI260">
        <v>2032</v>
      </c>
      <c r="AJ260">
        <v>12</v>
      </c>
      <c r="AK260">
        <v>25</v>
      </c>
      <c r="AL260" t="s">
        <v>43</v>
      </c>
      <c r="AM260" t="s">
        <v>230</v>
      </c>
      <c r="AN260" t="s">
        <v>1411</v>
      </c>
      <c r="AO260" s="1">
        <v>95</v>
      </c>
      <c r="AP260" t="s">
        <v>7</v>
      </c>
    </row>
    <row r="261" spans="21:42" x14ac:dyDescent="0.25">
      <c r="U261" s="5">
        <f t="shared" ref="U261:U324" ca="1" si="81">U260+1</f>
        <v>46351.662929050923</v>
      </c>
      <c r="V261">
        <f t="shared" ca="1" si="76"/>
        <v>2026</v>
      </c>
      <c r="W261">
        <f t="shared" ca="1" si="77"/>
        <v>11</v>
      </c>
      <c r="X261">
        <f t="shared" ca="1" si="78"/>
        <v>25</v>
      </c>
      <c r="Z261" t="b">
        <f t="shared" ca="1" si="79"/>
        <v>0</v>
      </c>
      <c r="AA261" t="b">
        <f t="shared" ca="1" si="80"/>
        <v>0</v>
      </c>
      <c r="AI261">
        <v>2032</v>
      </c>
      <c r="AJ261">
        <v>12</v>
      </c>
      <c r="AK261">
        <v>26</v>
      </c>
      <c r="AL261" t="s">
        <v>43</v>
      </c>
      <c r="AM261" t="s">
        <v>201</v>
      </c>
      <c r="AN261" t="s">
        <v>86</v>
      </c>
      <c r="AO261" s="1">
        <v>108</v>
      </c>
      <c r="AP261" t="s">
        <v>78</v>
      </c>
    </row>
    <row r="262" spans="21:42" x14ac:dyDescent="0.25">
      <c r="U262" s="5">
        <f t="shared" ca="1" si="81"/>
        <v>46352.662929050923</v>
      </c>
      <c r="V262">
        <f t="shared" ca="1" si="76"/>
        <v>2026</v>
      </c>
      <c r="W262">
        <f t="shared" ca="1" si="77"/>
        <v>11</v>
      </c>
      <c r="X262">
        <f t="shared" ca="1" si="78"/>
        <v>26</v>
      </c>
      <c r="Z262" t="b">
        <f t="shared" ca="1" si="79"/>
        <v>0</v>
      </c>
      <c r="AA262" t="b">
        <f t="shared" ca="1" si="80"/>
        <v>0</v>
      </c>
      <c r="AI262">
        <v>2032</v>
      </c>
      <c r="AJ262">
        <v>12</v>
      </c>
      <c r="AK262">
        <v>28</v>
      </c>
      <c r="AL262" t="s">
        <v>52</v>
      </c>
      <c r="AM262" t="s">
        <v>245</v>
      </c>
      <c r="AN262" t="s">
        <v>1411</v>
      </c>
      <c r="AO262" s="1">
        <v>77</v>
      </c>
      <c r="AP262" t="s">
        <v>1367</v>
      </c>
    </row>
    <row r="263" spans="21:42" x14ac:dyDescent="0.25">
      <c r="U263" s="5">
        <f t="shared" ca="1" si="81"/>
        <v>46353.662929050923</v>
      </c>
      <c r="V263">
        <f t="shared" ca="1" si="76"/>
        <v>2026</v>
      </c>
      <c r="W263">
        <f t="shared" ca="1" si="77"/>
        <v>11</v>
      </c>
      <c r="X263">
        <f t="shared" ca="1" si="78"/>
        <v>27</v>
      </c>
      <c r="Z263" t="b">
        <f t="shared" ca="1" si="79"/>
        <v>0</v>
      </c>
      <c r="AA263" t="b">
        <f t="shared" ca="1" si="80"/>
        <v>0</v>
      </c>
      <c r="AI263">
        <v>2033</v>
      </c>
      <c r="AJ263">
        <v>1</v>
      </c>
      <c r="AK263">
        <v>1</v>
      </c>
      <c r="AL263" t="s">
        <v>93</v>
      </c>
      <c r="AM263" t="s">
        <v>256</v>
      </c>
      <c r="AN263" t="s">
        <v>83</v>
      </c>
      <c r="AO263" s="1">
        <v>77</v>
      </c>
      <c r="AP263" t="s">
        <v>8</v>
      </c>
    </row>
    <row r="264" spans="21:42" x14ac:dyDescent="0.25">
      <c r="U264" s="5">
        <f t="shared" ca="1" si="81"/>
        <v>46354.662929050923</v>
      </c>
      <c r="V264">
        <f t="shared" ca="1" si="76"/>
        <v>2026</v>
      </c>
      <c r="W264">
        <f t="shared" ca="1" si="77"/>
        <v>11</v>
      </c>
      <c r="X264">
        <f t="shared" ca="1" si="78"/>
        <v>28</v>
      </c>
      <c r="Z264" t="b">
        <f t="shared" ca="1" si="79"/>
        <v>0</v>
      </c>
      <c r="AA264" t="b">
        <f t="shared" ca="1" si="80"/>
        <v>0</v>
      </c>
      <c r="AI264">
        <v>2033</v>
      </c>
      <c r="AJ264">
        <v>2</v>
      </c>
      <c r="AK264">
        <v>1</v>
      </c>
      <c r="AL264" t="s">
        <v>91</v>
      </c>
      <c r="AM264" t="s">
        <v>164</v>
      </c>
      <c r="AN264" t="s">
        <v>85</v>
      </c>
      <c r="AO264" s="1">
        <v>249</v>
      </c>
      <c r="AP264" t="s">
        <v>1487</v>
      </c>
    </row>
    <row r="265" spans="21:42" x14ac:dyDescent="0.25">
      <c r="U265" s="5">
        <f t="shared" ca="1" si="81"/>
        <v>46355.662929050923</v>
      </c>
      <c r="V265">
        <f t="shared" ca="1" si="76"/>
        <v>2026</v>
      </c>
      <c r="W265">
        <f t="shared" ca="1" si="77"/>
        <v>11</v>
      </c>
      <c r="X265">
        <f t="shared" ca="1" si="78"/>
        <v>29</v>
      </c>
      <c r="Z265" t="b">
        <f t="shared" ca="1" si="79"/>
        <v>0</v>
      </c>
      <c r="AA265" t="b">
        <f t="shared" ca="1" si="80"/>
        <v>0</v>
      </c>
      <c r="AI265">
        <v>2033</v>
      </c>
      <c r="AJ265">
        <v>2</v>
      </c>
      <c r="AK265">
        <v>14</v>
      </c>
      <c r="AL265" t="s">
        <v>93</v>
      </c>
      <c r="AM265" t="s">
        <v>1392</v>
      </c>
      <c r="AN265" t="s">
        <v>258</v>
      </c>
      <c r="AO265" s="1">
        <v>70</v>
      </c>
      <c r="AP265" t="s">
        <v>1371</v>
      </c>
    </row>
    <row r="266" spans="21:42" x14ac:dyDescent="0.25">
      <c r="U266" s="5">
        <f t="shared" ca="1" si="81"/>
        <v>46356.662929050923</v>
      </c>
      <c r="V266">
        <f t="shared" ca="1" si="76"/>
        <v>2026</v>
      </c>
      <c r="W266">
        <f t="shared" ca="1" si="77"/>
        <v>11</v>
      </c>
      <c r="X266">
        <f t="shared" ca="1" si="78"/>
        <v>30</v>
      </c>
      <c r="Z266" t="b">
        <f t="shared" ca="1" si="79"/>
        <v>0</v>
      </c>
      <c r="AA266" t="b">
        <f t="shared" ca="1" si="80"/>
        <v>0</v>
      </c>
      <c r="AI266">
        <v>2033</v>
      </c>
      <c r="AJ266">
        <v>2</v>
      </c>
      <c r="AK266">
        <v>27</v>
      </c>
      <c r="AL266" t="s">
        <v>93</v>
      </c>
      <c r="AM266" t="s">
        <v>164</v>
      </c>
      <c r="AN266" t="s">
        <v>84</v>
      </c>
      <c r="AO266" s="1">
        <v>83</v>
      </c>
      <c r="AP266" t="s">
        <v>1496</v>
      </c>
    </row>
    <row r="267" spans="21:42" x14ac:dyDescent="0.25">
      <c r="U267" s="5">
        <f t="shared" ca="1" si="81"/>
        <v>46357.662929050923</v>
      </c>
      <c r="V267">
        <f t="shared" ca="1" si="76"/>
        <v>2026</v>
      </c>
      <c r="W267">
        <f t="shared" ca="1" si="77"/>
        <v>12</v>
      </c>
      <c r="X267">
        <f t="shared" ca="1" si="78"/>
        <v>1</v>
      </c>
      <c r="Z267" t="b">
        <f t="shared" ca="1" si="79"/>
        <v>0</v>
      </c>
      <c r="AA267" t="b">
        <f t="shared" ca="1" si="80"/>
        <v>0</v>
      </c>
      <c r="AI267">
        <v>2033</v>
      </c>
      <c r="AJ267">
        <v>2</v>
      </c>
      <c r="AK267">
        <v>27</v>
      </c>
      <c r="AL267" t="s">
        <v>93</v>
      </c>
      <c r="AM267" t="s">
        <v>164</v>
      </c>
      <c r="AN267" t="s">
        <v>84</v>
      </c>
      <c r="AO267" s="1">
        <v>117</v>
      </c>
      <c r="AP267" t="s">
        <v>1499</v>
      </c>
    </row>
    <row r="268" spans="21:42" x14ac:dyDescent="0.25">
      <c r="U268" s="5">
        <f t="shared" ca="1" si="81"/>
        <v>46358.662929050923</v>
      </c>
      <c r="V268">
        <f t="shared" ca="1" si="76"/>
        <v>2026</v>
      </c>
      <c r="W268">
        <f t="shared" ca="1" si="77"/>
        <v>12</v>
      </c>
      <c r="X268">
        <f t="shared" ca="1" si="78"/>
        <v>2</v>
      </c>
      <c r="Z268" t="b">
        <f t="shared" ca="1" si="79"/>
        <v>0</v>
      </c>
      <c r="AA268" t="b">
        <f t="shared" ca="1" si="80"/>
        <v>0</v>
      </c>
      <c r="AI268">
        <v>2033</v>
      </c>
      <c r="AJ268">
        <v>2</v>
      </c>
      <c r="AK268">
        <v>28</v>
      </c>
      <c r="AL268" t="s">
        <v>93</v>
      </c>
      <c r="AM268" t="s">
        <v>164</v>
      </c>
      <c r="AN268" t="s">
        <v>84</v>
      </c>
      <c r="AO268" s="1">
        <v>89</v>
      </c>
      <c r="AP268" t="s">
        <v>1500</v>
      </c>
    </row>
    <row r="269" spans="21:42" x14ac:dyDescent="0.25">
      <c r="U269" s="5">
        <f t="shared" ca="1" si="81"/>
        <v>46359.662929050923</v>
      </c>
      <c r="V269">
        <f t="shared" ca="1" si="76"/>
        <v>2026</v>
      </c>
      <c r="W269">
        <f t="shared" ca="1" si="77"/>
        <v>12</v>
      </c>
      <c r="X269">
        <f t="shared" ca="1" si="78"/>
        <v>3</v>
      </c>
      <c r="Z269" t="b">
        <f t="shared" ca="1" si="79"/>
        <v>0</v>
      </c>
      <c r="AA269" t="b">
        <f t="shared" ca="1" si="80"/>
        <v>0</v>
      </c>
      <c r="AI269">
        <v>2033</v>
      </c>
      <c r="AJ269">
        <v>3</v>
      </c>
      <c r="AK269">
        <v>1</v>
      </c>
      <c r="AL269" t="s">
        <v>91</v>
      </c>
      <c r="AM269" t="s">
        <v>164</v>
      </c>
      <c r="AN269" t="s">
        <v>85</v>
      </c>
      <c r="AO269" s="1">
        <v>287</v>
      </c>
      <c r="AP269" t="s">
        <v>122</v>
      </c>
    </row>
    <row r="270" spans="21:42" x14ac:dyDescent="0.25">
      <c r="U270" s="5">
        <f t="shared" ca="1" si="81"/>
        <v>46360.662929050923</v>
      </c>
      <c r="V270">
        <f t="shared" ca="1" si="76"/>
        <v>2026</v>
      </c>
      <c r="W270">
        <f t="shared" ca="1" si="77"/>
        <v>12</v>
      </c>
      <c r="X270">
        <f t="shared" ca="1" si="78"/>
        <v>4</v>
      </c>
      <c r="Z270" t="b">
        <f t="shared" ca="1" si="79"/>
        <v>0</v>
      </c>
      <c r="AA270" t="b">
        <f t="shared" ca="1" si="80"/>
        <v>0</v>
      </c>
      <c r="AI270">
        <v>2033</v>
      </c>
      <c r="AJ270">
        <v>3</v>
      </c>
      <c r="AK270">
        <v>2</v>
      </c>
      <c r="AL270" t="s">
        <v>89</v>
      </c>
      <c r="AM270" t="s">
        <v>204</v>
      </c>
      <c r="AN270" t="s">
        <v>86</v>
      </c>
      <c r="AO270" s="1">
        <v>239</v>
      </c>
      <c r="AP270" t="s">
        <v>139</v>
      </c>
    </row>
    <row r="271" spans="21:42" x14ac:dyDescent="0.25">
      <c r="U271" s="5">
        <f t="shared" ca="1" si="81"/>
        <v>46361.662929050923</v>
      </c>
      <c r="V271">
        <f t="shared" ca="1" si="76"/>
        <v>2026</v>
      </c>
      <c r="W271">
        <f t="shared" ca="1" si="77"/>
        <v>12</v>
      </c>
      <c r="X271">
        <f t="shared" ca="1" si="78"/>
        <v>5</v>
      </c>
      <c r="Z271" t="b">
        <f t="shared" ca="1" si="79"/>
        <v>0</v>
      </c>
      <c r="AA271" t="b">
        <f t="shared" ca="1" si="80"/>
        <v>0</v>
      </c>
      <c r="AI271">
        <v>2033</v>
      </c>
      <c r="AJ271">
        <v>3</v>
      </c>
      <c r="AK271">
        <v>14</v>
      </c>
      <c r="AL271" t="s">
        <v>45</v>
      </c>
      <c r="AM271" t="s">
        <v>161</v>
      </c>
      <c r="AN271" t="s">
        <v>1413</v>
      </c>
      <c r="AO271" s="1">
        <v>95</v>
      </c>
      <c r="AP271" t="s">
        <v>1524</v>
      </c>
    </row>
    <row r="272" spans="21:42" x14ac:dyDescent="0.25">
      <c r="U272" s="5">
        <f t="shared" ca="1" si="81"/>
        <v>46362.662929050923</v>
      </c>
      <c r="V272">
        <f t="shared" ca="1" si="76"/>
        <v>2026</v>
      </c>
      <c r="W272">
        <f t="shared" ca="1" si="77"/>
        <v>12</v>
      </c>
      <c r="X272">
        <f t="shared" ca="1" si="78"/>
        <v>6</v>
      </c>
      <c r="Z272" t="b">
        <f t="shared" ca="1" si="79"/>
        <v>0</v>
      </c>
      <c r="AA272" t="b">
        <f t="shared" ca="1" si="80"/>
        <v>0</v>
      </c>
      <c r="AI272">
        <v>2033</v>
      </c>
      <c r="AJ272">
        <v>3</v>
      </c>
      <c r="AK272">
        <v>21</v>
      </c>
      <c r="AL272" t="s">
        <v>56</v>
      </c>
      <c r="AM272" t="s">
        <v>184</v>
      </c>
      <c r="AN272" t="s">
        <v>84</v>
      </c>
      <c r="AO272" s="1">
        <v>73</v>
      </c>
      <c r="AP272" t="s">
        <v>123</v>
      </c>
    </row>
    <row r="273" spans="21:42" x14ac:dyDescent="0.25">
      <c r="U273" s="5">
        <f t="shared" ca="1" si="81"/>
        <v>46363.662929050923</v>
      </c>
      <c r="V273">
        <f t="shared" ca="1" si="76"/>
        <v>2026</v>
      </c>
      <c r="W273">
        <f t="shared" ca="1" si="77"/>
        <v>12</v>
      </c>
      <c r="X273">
        <f t="shared" ca="1" si="78"/>
        <v>7</v>
      </c>
      <c r="Z273" t="b">
        <f t="shared" ca="1" si="79"/>
        <v>0</v>
      </c>
      <c r="AA273" t="b">
        <f t="shared" ca="1" si="80"/>
        <v>0</v>
      </c>
      <c r="AI273">
        <v>2033</v>
      </c>
      <c r="AJ273">
        <v>4</v>
      </c>
      <c r="AK273">
        <v>1</v>
      </c>
      <c r="AL273" t="s">
        <v>91</v>
      </c>
      <c r="AM273" t="s">
        <v>164</v>
      </c>
      <c r="AN273" t="s">
        <v>85</v>
      </c>
      <c r="AO273" s="1">
        <v>265</v>
      </c>
      <c r="AP273" t="s">
        <v>124</v>
      </c>
    </row>
    <row r="274" spans="21:42" x14ac:dyDescent="0.25">
      <c r="U274" s="5">
        <f t="shared" ca="1" si="81"/>
        <v>46364.662929050923</v>
      </c>
      <c r="V274">
        <f t="shared" ca="1" si="76"/>
        <v>2026</v>
      </c>
      <c r="W274">
        <f t="shared" ca="1" si="77"/>
        <v>12</v>
      </c>
      <c r="X274">
        <f t="shared" ca="1" si="78"/>
        <v>8</v>
      </c>
      <c r="Z274" t="b">
        <f t="shared" ca="1" si="79"/>
        <v>0</v>
      </c>
      <c r="AA274" t="b">
        <f t="shared" ca="1" si="80"/>
        <v>0</v>
      </c>
      <c r="AI274">
        <v>2033</v>
      </c>
      <c r="AJ274">
        <v>4</v>
      </c>
      <c r="AK274">
        <v>15</v>
      </c>
      <c r="AL274" t="s">
        <v>54</v>
      </c>
      <c r="AM274" t="s">
        <v>181</v>
      </c>
      <c r="AN274" t="s">
        <v>83</v>
      </c>
      <c r="AO274" s="1">
        <v>213</v>
      </c>
      <c r="AP274" t="s">
        <v>148</v>
      </c>
    </row>
    <row r="275" spans="21:42" x14ac:dyDescent="0.25">
      <c r="U275" s="5">
        <f t="shared" ca="1" si="81"/>
        <v>46365.662929050923</v>
      </c>
      <c r="V275">
        <f t="shared" ca="1" si="76"/>
        <v>2026</v>
      </c>
      <c r="W275">
        <f t="shared" ca="1" si="77"/>
        <v>12</v>
      </c>
      <c r="X275">
        <f t="shared" ca="1" si="78"/>
        <v>9</v>
      </c>
      <c r="Z275" t="b">
        <f t="shared" ca="1" si="79"/>
        <v>0</v>
      </c>
      <c r="AA275" t="b">
        <f t="shared" ca="1" si="80"/>
        <v>0</v>
      </c>
      <c r="AI275">
        <v>2033</v>
      </c>
      <c r="AJ275">
        <v>4</v>
      </c>
      <c r="AK275">
        <v>17</v>
      </c>
      <c r="AL275" t="s">
        <v>58</v>
      </c>
      <c r="AM275" t="s">
        <v>158</v>
      </c>
      <c r="AN275" t="s">
        <v>261</v>
      </c>
      <c r="AO275" s="1">
        <v>95</v>
      </c>
      <c r="AP275" t="s">
        <v>12</v>
      </c>
    </row>
    <row r="276" spans="21:42" x14ac:dyDescent="0.25">
      <c r="U276" s="5">
        <f t="shared" ca="1" si="81"/>
        <v>46366.662929050923</v>
      </c>
      <c r="V276">
        <f t="shared" ca="1" si="76"/>
        <v>2026</v>
      </c>
      <c r="W276">
        <f t="shared" ca="1" si="77"/>
        <v>12</v>
      </c>
      <c r="X276">
        <f t="shared" ca="1" si="78"/>
        <v>10</v>
      </c>
      <c r="Z276" t="b">
        <f t="shared" ca="1" si="79"/>
        <v>0</v>
      </c>
      <c r="AA276" t="b">
        <f t="shared" ca="1" si="80"/>
        <v>0</v>
      </c>
      <c r="AI276">
        <v>2033</v>
      </c>
      <c r="AJ276">
        <v>4</v>
      </c>
      <c r="AK276">
        <v>18</v>
      </c>
      <c r="AL276" t="s">
        <v>58</v>
      </c>
      <c r="AM276" t="s">
        <v>198</v>
      </c>
      <c r="AN276" t="s">
        <v>265</v>
      </c>
      <c r="AO276" s="1">
        <v>260</v>
      </c>
      <c r="AP276" t="s">
        <v>1502</v>
      </c>
    </row>
    <row r="277" spans="21:42" x14ac:dyDescent="0.25">
      <c r="U277" s="5">
        <f t="shared" ca="1" si="81"/>
        <v>46367.662929050923</v>
      </c>
      <c r="V277">
        <f t="shared" ca="1" si="76"/>
        <v>2026</v>
      </c>
      <c r="W277">
        <f t="shared" ca="1" si="77"/>
        <v>12</v>
      </c>
      <c r="X277">
        <f t="shared" ca="1" si="78"/>
        <v>11</v>
      </c>
      <c r="Z277" t="b">
        <f t="shared" ca="1" si="79"/>
        <v>0</v>
      </c>
      <c r="AA277" t="b">
        <f t="shared" ca="1" si="80"/>
        <v>0</v>
      </c>
      <c r="AI277">
        <v>2033</v>
      </c>
      <c r="AJ277">
        <v>4</v>
      </c>
      <c r="AK277">
        <v>30</v>
      </c>
      <c r="AL277" t="s">
        <v>56</v>
      </c>
      <c r="AM277" t="s">
        <v>184</v>
      </c>
      <c r="AN277" t="s">
        <v>84</v>
      </c>
      <c r="AO277" s="1">
        <v>98</v>
      </c>
      <c r="AP277" t="s">
        <v>126</v>
      </c>
    </row>
    <row r="278" spans="21:42" x14ac:dyDescent="0.25">
      <c r="U278" s="5">
        <f t="shared" ca="1" si="81"/>
        <v>46368.662929050923</v>
      </c>
      <c r="V278">
        <f t="shared" ca="1" si="76"/>
        <v>2026</v>
      </c>
      <c r="W278">
        <f t="shared" ca="1" si="77"/>
        <v>12</v>
      </c>
      <c r="X278">
        <f t="shared" ca="1" si="78"/>
        <v>12</v>
      </c>
      <c r="Z278" t="b">
        <f t="shared" ca="1" si="79"/>
        <v>0</v>
      </c>
      <c r="AA278" t="b">
        <f t="shared" ca="1" si="80"/>
        <v>0</v>
      </c>
      <c r="AI278">
        <v>2033</v>
      </c>
      <c r="AJ278">
        <v>5</v>
      </c>
      <c r="AK278">
        <v>1</v>
      </c>
      <c r="AL278" t="s">
        <v>91</v>
      </c>
      <c r="AM278" t="s">
        <v>164</v>
      </c>
      <c r="AN278" t="s">
        <v>85</v>
      </c>
      <c r="AO278" s="1">
        <v>202</v>
      </c>
      <c r="AP278" t="s">
        <v>127</v>
      </c>
    </row>
    <row r="279" spans="21:42" x14ac:dyDescent="0.25">
      <c r="U279" s="5">
        <f t="shared" ca="1" si="81"/>
        <v>46369.662929050923</v>
      </c>
      <c r="V279">
        <f t="shared" ca="1" si="76"/>
        <v>2026</v>
      </c>
      <c r="W279">
        <f t="shared" ca="1" si="77"/>
        <v>12</v>
      </c>
      <c r="X279">
        <f t="shared" ca="1" si="78"/>
        <v>13</v>
      </c>
      <c r="Z279" t="b">
        <f t="shared" ca="1" si="79"/>
        <v>0</v>
      </c>
      <c r="AA279" t="b">
        <f t="shared" ca="1" si="80"/>
        <v>0</v>
      </c>
      <c r="AI279">
        <v>2033</v>
      </c>
      <c r="AJ279">
        <v>5</v>
      </c>
      <c r="AK279">
        <v>4</v>
      </c>
      <c r="AL279" t="s">
        <v>89</v>
      </c>
      <c r="AM279" t="s">
        <v>233</v>
      </c>
      <c r="AN279" t="s">
        <v>83</v>
      </c>
      <c r="AO279" s="1">
        <v>102</v>
      </c>
      <c r="AP279" t="s">
        <v>1364</v>
      </c>
    </row>
    <row r="280" spans="21:42" x14ac:dyDescent="0.25">
      <c r="U280" s="5">
        <f t="shared" ca="1" si="81"/>
        <v>46370.662929050923</v>
      </c>
      <c r="V280">
        <f t="shared" ca="1" si="76"/>
        <v>2026</v>
      </c>
      <c r="W280">
        <f t="shared" ca="1" si="77"/>
        <v>12</v>
      </c>
      <c r="X280">
        <f t="shared" ca="1" si="78"/>
        <v>14</v>
      </c>
      <c r="Z280" t="b">
        <f t="shared" ca="1" si="79"/>
        <v>0</v>
      </c>
      <c r="AA280" t="b">
        <f t="shared" ca="1" si="80"/>
        <v>0</v>
      </c>
      <c r="AI280">
        <v>2033</v>
      </c>
      <c r="AJ280">
        <v>5</v>
      </c>
      <c r="AK280">
        <v>5</v>
      </c>
      <c r="AL280" t="s">
        <v>93</v>
      </c>
      <c r="AM280" t="s">
        <v>152</v>
      </c>
      <c r="AN280" t="s">
        <v>84</v>
      </c>
      <c r="AO280" s="1">
        <v>64</v>
      </c>
      <c r="AP280" t="s">
        <v>107</v>
      </c>
    </row>
    <row r="281" spans="21:42" x14ac:dyDescent="0.25">
      <c r="U281" s="5">
        <f t="shared" ca="1" si="81"/>
        <v>46371.662929050923</v>
      </c>
      <c r="V281">
        <f t="shared" ca="1" si="76"/>
        <v>2026</v>
      </c>
      <c r="W281">
        <f t="shared" ca="1" si="77"/>
        <v>12</v>
      </c>
      <c r="X281">
        <f t="shared" ca="1" si="78"/>
        <v>15</v>
      </c>
      <c r="Z281" t="b">
        <f t="shared" ca="1" si="79"/>
        <v>0</v>
      </c>
      <c r="AA281" t="b">
        <f t="shared" ca="1" si="80"/>
        <v>0</v>
      </c>
      <c r="AI281">
        <v>2033</v>
      </c>
      <c r="AJ281">
        <v>5</v>
      </c>
      <c r="AK281">
        <v>10</v>
      </c>
      <c r="AL281" t="s">
        <v>56</v>
      </c>
      <c r="AM281" t="s">
        <v>184</v>
      </c>
      <c r="AN281" t="s">
        <v>84</v>
      </c>
      <c r="AO281" s="1">
        <v>73</v>
      </c>
      <c r="AP281" t="s">
        <v>128</v>
      </c>
    </row>
    <row r="282" spans="21:42" x14ac:dyDescent="0.25">
      <c r="U282" s="5">
        <f t="shared" ca="1" si="81"/>
        <v>46372.662929050923</v>
      </c>
      <c r="V282">
        <f t="shared" ca="1" si="76"/>
        <v>2026</v>
      </c>
      <c r="W282">
        <f t="shared" ca="1" si="77"/>
        <v>12</v>
      </c>
      <c r="X282">
        <f t="shared" ca="1" si="78"/>
        <v>16</v>
      </c>
      <c r="Z282" t="b">
        <f t="shared" ca="1" si="79"/>
        <v>0</v>
      </c>
      <c r="AA282" t="b">
        <f t="shared" ca="1" si="80"/>
        <v>0</v>
      </c>
      <c r="AI282">
        <v>2033</v>
      </c>
      <c r="AJ282">
        <v>5</v>
      </c>
      <c r="AK282">
        <v>26</v>
      </c>
      <c r="AL282" t="s">
        <v>44</v>
      </c>
      <c r="AM282" t="s">
        <v>227</v>
      </c>
      <c r="AN282" t="s">
        <v>83</v>
      </c>
      <c r="AO282" s="1">
        <v>127</v>
      </c>
      <c r="AP282" t="s">
        <v>14</v>
      </c>
    </row>
    <row r="283" spans="21:42" x14ac:dyDescent="0.25">
      <c r="U283" s="5">
        <f t="shared" ca="1" si="81"/>
        <v>46373.662929050923</v>
      </c>
      <c r="V283">
        <f t="shared" ca="1" si="76"/>
        <v>2026</v>
      </c>
      <c r="W283">
        <f t="shared" ca="1" si="77"/>
        <v>12</v>
      </c>
      <c r="X283">
        <f t="shared" ca="1" si="78"/>
        <v>17</v>
      </c>
      <c r="Z283" t="b">
        <f t="shared" ca="1" si="79"/>
        <v>0</v>
      </c>
      <c r="AA283" t="b">
        <f t="shared" ca="1" si="80"/>
        <v>0</v>
      </c>
      <c r="AI283">
        <v>2033</v>
      </c>
      <c r="AJ283">
        <v>6</v>
      </c>
      <c r="AK283">
        <v>1</v>
      </c>
      <c r="AL283" t="s">
        <v>91</v>
      </c>
      <c r="AM283" t="s">
        <v>164</v>
      </c>
      <c r="AN283" t="s">
        <v>85</v>
      </c>
      <c r="AO283" s="1">
        <v>157</v>
      </c>
      <c r="AP283" t="s">
        <v>130</v>
      </c>
    </row>
    <row r="284" spans="21:42" x14ac:dyDescent="0.25">
      <c r="U284" s="5">
        <f t="shared" ca="1" si="81"/>
        <v>46374.662929050923</v>
      </c>
      <c r="V284">
        <f t="shared" ca="1" si="76"/>
        <v>2026</v>
      </c>
      <c r="W284">
        <f t="shared" ca="1" si="77"/>
        <v>12</v>
      </c>
      <c r="X284">
        <f t="shared" ca="1" si="78"/>
        <v>18</v>
      </c>
      <c r="Z284" t="b">
        <f t="shared" ca="1" si="79"/>
        <v>0</v>
      </c>
      <c r="AA284" t="b">
        <f t="shared" ca="1" si="80"/>
        <v>0</v>
      </c>
      <c r="AI284">
        <v>2033</v>
      </c>
      <c r="AJ284">
        <v>6</v>
      </c>
      <c r="AK284">
        <v>5</v>
      </c>
      <c r="AL284" t="s">
        <v>49</v>
      </c>
      <c r="AM284" t="s">
        <v>167</v>
      </c>
      <c r="AN284" t="s">
        <v>85</v>
      </c>
      <c r="AO284" s="1">
        <v>145</v>
      </c>
      <c r="AP284" t="s">
        <v>24</v>
      </c>
    </row>
    <row r="285" spans="21:42" x14ac:dyDescent="0.25">
      <c r="U285" s="5">
        <f t="shared" ca="1" si="81"/>
        <v>46375.662929050923</v>
      </c>
      <c r="V285">
        <f t="shared" ca="1" si="76"/>
        <v>2026</v>
      </c>
      <c r="W285">
        <f t="shared" ca="1" si="77"/>
        <v>12</v>
      </c>
      <c r="X285">
        <f t="shared" ca="1" si="78"/>
        <v>19</v>
      </c>
      <c r="Z285" t="b">
        <f t="shared" ca="1" si="79"/>
        <v>0</v>
      </c>
      <c r="AA285" t="b">
        <f t="shared" ca="1" si="80"/>
        <v>0</v>
      </c>
      <c r="AI285">
        <v>2033</v>
      </c>
      <c r="AJ285">
        <v>6</v>
      </c>
      <c r="AK285">
        <v>6</v>
      </c>
      <c r="AL285" t="s">
        <v>49</v>
      </c>
      <c r="AM285" t="s">
        <v>167</v>
      </c>
      <c r="AN285" t="s">
        <v>85</v>
      </c>
      <c r="AO285" s="1">
        <v>169</v>
      </c>
      <c r="AP285" t="s">
        <v>1391</v>
      </c>
    </row>
    <row r="286" spans="21:42" x14ac:dyDescent="0.25">
      <c r="U286" s="5">
        <f t="shared" ca="1" si="81"/>
        <v>46376.662929050923</v>
      </c>
      <c r="V286">
        <f t="shared" ca="1" si="76"/>
        <v>2026</v>
      </c>
      <c r="W286">
        <f t="shared" ca="1" si="77"/>
        <v>12</v>
      </c>
      <c r="X286">
        <f t="shared" ca="1" si="78"/>
        <v>20</v>
      </c>
      <c r="Z286" t="b">
        <f t="shared" ca="1" si="79"/>
        <v>0</v>
      </c>
      <c r="AA286" t="b">
        <f t="shared" ca="1" si="80"/>
        <v>0</v>
      </c>
      <c r="AI286">
        <v>2033</v>
      </c>
      <c r="AJ286">
        <v>6</v>
      </c>
      <c r="AK286">
        <v>24</v>
      </c>
      <c r="AL286" t="s">
        <v>93</v>
      </c>
      <c r="AM286" t="s">
        <v>158</v>
      </c>
      <c r="AN286" t="s">
        <v>1412</v>
      </c>
      <c r="AO286" s="1">
        <v>61</v>
      </c>
      <c r="AP286" t="s">
        <v>1369</v>
      </c>
    </row>
    <row r="287" spans="21:42" x14ac:dyDescent="0.25">
      <c r="U287" s="5">
        <f t="shared" ca="1" si="81"/>
        <v>46377.662929050923</v>
      </c>
      <c r="V287">
        <f t="shared" ca="1" si="76"/>
        <v>2026</v>
      </c>
      <c r="W287">
        <f t="shared" ca="1" si="77"/>
        <v>12</v>
      </c>
      <c r="X287">
        <f t="shared" ca="1" si="78"/>
        <v>21</v>
      </c>
      <c r="Z287" t="b">
        <f t="shared" ca="1" si="79"/>
        <v>0</v>
      </c>
      <c r="AA287" t="b">
        <f t="shared" ca="1" si="80"/>
        <v>0</v>
      </c>
      <c r="AI287">
        <v>2033</v>
      </c>
      <c r="AJ287">
        <v>7</v>
      </c>
      <c r="AK287">
        <v>1</v>
      </c>
      <c r="AL287" t="s">
        <v>91</v>
      </c>
      <c r="AM287" t="s">
        <v>164</v>
      </c>
      <c r="AN287" t="s">
        <v>85</v>
      </c>
      <c r="AO287" s="1">
        <v>171</v>
      </c>
      <c r="AP287" t="s">
        <v>131</v>
      </c>
    </row>
    <row r="288" spans="21:42" x14ac:dyDescent="0.25">
      <c r="U288" s="5">
        <f t="shared" ca="1" si="81"/>
        <v>46378.662929050923</v>
      </c>
      <c r="V288">
        <f t="shared" ca="1" si="76"/>
        <v>2026</v>
      </c>
      <c r="W288">
        <f t="shared" ca="1" si="77"/>
        <v>12</v>
      </c>
      <c r="X288">
        <f t="shared" ca="1" si="78"/>
        <v>22</v>
      </c>
      <c r="Z288" t="b">
        <f t="shared" ca="1" si="79"/>
        <v>0</v>
      </c>
      <c r="AA288" t="b">
        <f t="shared" ca="1" si="80"/>
        <v>0</v>
      </c>
      <c r="AI288">
        <v>2033</v>
      </c>
      <c r="AJ288">
        <v>8</v>
      </c>
      <c r="AK288">
        <v>1</v>
      </c>
      <c r="AL288" t="s">
        <v>91</v>
      </c>
      <c r="AM288" t="s">
        <v>164</v>
      </c>
      <c r="AN288" t="s">
        <v>85</v>
      </c>
      <c r="AO288" s="1">
        <v>231</v>
      </c>
      <c r="AP288" t="s">
        <v>132</v>
      </c>
    </row>
    <row r="289" spans="21:42" x14ac:dyDescent="0.25">
      <c r="U289" s="5">
        <f t="shared" ca="1" si="81"/>
        <v>46379.662929050923</v>
      </c>
      <c r="V289">
        <f t="shared" ca="1" si="76"/>
        <v>2026</v>
      </c>
      <c r="W289">
        <f t="shared" ca="1" si="77"/>
        <v>12</v>
      </c>
      <c r="X289">
        <f t="shared" ca="1" si="78"/>
        <v>23</v>
      </c>
      <c r="Z289" t="b">
        <f t="shared" ca="1" si="79"/>
        <v>0</v>
      </c>
      <c r="AA289" t="b">
        <f t="shared" ca="1" si="80"/>
        <v>0</v>
      </c>
      <c r="AI289">
        <v>2033</v>
      </c>
      <c r="AJ289">
        <v>9</v>
      </c>
      <c r="AK289">
        <v>1</v>
      </c>
      <c r="AL289" t="s">
        <v>91</v>
      </c>
      <c r="AM289" t="s">
        <v>164</v>
      </c>
      <c r="AN289" t="s">
        <v>85</v>
      </c>
      <c r="AO289" s="1">
        <v>282</v>
      </c>
      <c r="AP289" t="s">
        <v>133</v>
      </c>
    </row>
    <row r="290" spans="21:42" x14ac:dyDescent="0.25">
      <c r="U290" s="5">
        <f t="shared" ca="1" si="81"/>
        <v>46380.662929050923</v>
      </c>
      <c r="V290">
        <f t="shared" ca="1" si="76"/>
        <v>2026</v>
      </c>
      <c r="W290">
        <f t="shared" ca="1" si="77"/>
        <v>12</v>
      </c>
      <c r="X290">
        <f t="shared" ca="1" si="78"/>
        <v>24</v>
      </c>
      <c r="Z290" t="b">
        <f t="shared" ca="1" si="79"/>
        <v>0</v>
      </c>
      <c r="AA290" t="b">
        <f t="shared" ca="1" si="80"/>
        <v>0</v>
      </c>
      <c r="AI290">
        <v>2033</v>
      </c>
      <c r="AJ290">
        <v>10</v>
      </c>
      <c r="AK290">
        <v>1</v>
      </c>
      <c r="AL290" t="s">
        <v>91</v>
      </c>
      <c r="AM290" t="s">
        <v>164</v>
      </c>
      <c r="AN290" t="s">
        <v>85</v>
      </c>
      <c r="AO290" s="1">
        <v>277</v>
      </c>
      <c r="AP290" t="s">
        <v>134</v>
      </c>
    </row>
    <row r="291" spans="21:42" x14ac:dyDescent="0.25">
      <c r="U291" s="5">
        <f t="shared" ca="1" si="81"/>
        <v>46381.662929050923</v>
      </c>
      <c r="V291">
        <f t="shared" ca="1" si="76"/>
        <v>2026</v>
      </c>
      <c r="W291">
        <f t="shared" ca="1" si="77"/>
        <v>12</v>
      </c>
      <c r="X291">
        <f t="shared" ca="1" si="78"/>
        <v>25</v>
      </c>
      <c r="Z291" t="b">
        <f t="shared" ca="1" si="79"/>
        <v>0</v>
      </c>
      <c r="AA291" t="b">
        <f t="shared" ca="1" si="80"/>
        <v>0</v>
      </c>
      <c r="AI291">
        <v>2033</v>
      </c>
      <c r="AJ291">
        <v>10</v>
      </c>
      <c r="AK291">
        <v>8</v>
      </c>
      <c r="AL291" t="s">
        <v>56</v>
      </c>
      <c r="AM291" t="s">
        <v>184</v>
      </c>
      <c r="AN291" t="s">
        <v>84</v>
      </c>
      <c r="AO291" s="1">
        <v>105</v>
      </c>
      <c r="AP291" t="s">
        <v>135</v>
      </c>
    </row>
    <row r="292" spans="21:42" x14ac:dyDescent="0.25">
      <c r="U292" s="5">
        <f t="shared" ca="1" si="81"/>
        <v>46382.662929050923</v>
      </c>
      <c r="V292">
        <f t="shared" ca="1" si="76"/>
        <v>2026</v>
      </c>
      <c r="W292">
        <f t="shared" ca="1" si="77"/>
        <v>12</v>
      </c>
      <c r="X292">
        <f t="shared" ca="1" si="78"/>
        <v>26</v>
      </c>
      <c r="Z292" t="b">
        <f t="shared" ca="1" si="79"/>
        <v>0</v>
      </c>
      <c r="AA292" t="b">
        <f t="shared" ca="1" si="80"/>
        <v>0</v>
      </c>
      <c r="AI292">
        <v>2033</v>
      </c>
      <c r="AJ292">
        <v>11</v>
      </c>
      <c r="AK292">
        <v>1</v>
      </c>
      <c r="AL292" t="s">
        <v>91</v>
      </c>
      <c r="AM292" t="s">
        <v>164</v>
      </c>
      <c r="AN292" t="s">
        <v>85</v>
      </c>
      <c r="AO292" s="1">
        <v>221</v>
      </c>
      <c r="AP292" t="s">
        <v>136</v>
      </c>
    </row>
    <row r="293" spans="21:42" x14ac:dyDescent="0.25">
      <c r="U293" s="5">
        <f t="shared" ca="1" si="81"/>
        <v>46383.662929050923</v>
      </c>
      <c r="V293">
        <f t="shared" ca="1" si="76"/>
        <v>2026</v>
      </c>
      <c r="W293">
        <f t="shared" ca="1" si="77"/>
        <v>12</v>
      </c>
      <c r="X293">
        <f t="shared" ca="1" si="78"/>
        <v>27</v>
      </c>
      <c r="Z293" t="b">
        <f t="shared" ca="1" si="79"/>
        <v>0</v>
      </c>
      <c r="AA293" t="b">
        <f t="shared" ca="1" si="80"/>
        <v>0</v>
      </c>
      <c r="AI293">
        <v>2033</v>
      </c>
      <c r="AJ293">
        <v>12</v>
      </c>
      <c r="AK293">
        <v>1</v>
      </c>
      <c r="AL293" t="s">
        <v>91</v>
      </c>
      <c r="AM293" t="s">
        <v>164</v>
      </c>
      <c r="AN293" t="s">
        <v>85</v>
      </c>
      <c r="AO293" s="1">
        <v>165</v>
      </c>
      <c r="AP293" t="s">
        <v>137</v>
      </c>
    </row>
    <row r="294" spans="21:42" x14ac:dyDescent="0.25">
      <c r="U294" s="5">
        <f t="shared" ca="1" si="81"/>
        <v>46384.662929050923</v>
      </c>
      <c r="V294">
        <f t="shared" ca="1" si="76"/>
        <v>2026</v>
      </c>
      <c r="W294">
        <f t="shared" ca="1" si="77"/>
        <v>12</v>
      </c>
      <c r="X294">
        <f t="shared" ca="1" si="78"/>
        <v>28</v>
      </c>
      <c r="Z294" t="b">
        <f t="shared" ca="1" si="79"/>
        <v>0</v>
      </c>
      <c r="AA294" t="b">
        <f t="shared" ca="1" si="80"/>
        <v>0</v>
      </c>
      <c r="AI294">
        <v>2033</v>
      </c>
      <c r="AJ294">
        <v>12</v>
      </c>
      <c r="AK294">
        <v>5</v>
      </c>
      <c r="AL294" t="s">
        <v>53</v>
      </c>
      <c r="AM294" t="s">
        <v>224</v>
      </c>
      <c r="AN294" t="s">
        <v>258</v>
      </c>
      <c r="AO294" s="1">
        <v>113</v>
      </c>
      <c r="AP294" t="s">
        <v>1234</v>
      </c>
    </row>
    <row r="295" spans="21:42" x14ac:dyDescent="0.25">
      <c r="U295" s="5">
        <f t="shared" ca="1" si="81"/>
        <v>46385.662929050923</v>
      </c>
      <c r="V295">
        <f t="shared" ca="1" si="76"/>
        <v>2026</v>
      </c>
      <c r="W295">
        <f t="shared" ca="1" si="77"/>
        <v>12</v>
      </c>
      <c r="X295">
        <f t="shared" ca="1" si="78"/>
        <v>29</v>
      </c>
      <c r="Z295" t="b">
        <f t="shared" ca="1" si="79"/>
        <v>0</v>
      </c>
      <c r="AA295" t="b">
        <f t="shared" ca="1" si="80"/>
        <v>0</v>
      </c>
      <c r="AI295">
        <v>2033</v>
      </c>
      <c r="AJ295">
        <v>12</v>
      </c>
      <c r="AK295">
        <v>13</v>
      </c>
      <c r="AL295" t="s">
        <v>56</v>
      </c>
      <c r="AM295" t="s">
        <v>184</v>
      </c>
      <c r="AN295" t="s">
        <v>84</v>
      </c>
      <c r="AO295" s="1">
        <v>114</v>
      </c>
      <c r="AP295" t="s">
        <v>138</v>
      </c>
    </row>
    <row r="296" spans="21:42" x14ac:dyDescent="0.25">
      <c r="U296" s="5">
        <f t="shared" ca="1" si="81"/>
        <v>46386.662929050923</v>
      </c>
      <c r="V296">
        <f t="shared" ca="1" si="76"/>
        <v>2026</v>
      </c>
      <c r="W296">
        <f t="shared" ca="1" si="77"/>
        <v>12</v>
      </c>
      <c r="X296">
        <f t="shared" ca="1" si="78"/>
        <v>30</v>
      </c>
      <c r="Z296" t="b">
        <f t="shared" ca="1" si="79"/>
        <v>0</v>
      </c>
      <c r="AA296" t="b">
        <f t="shared" ca="1" si="80"/>
        <v>0</v>
      </c>
      <c r="AI296">
        <v>2033</v>
      </c>
      <c r="AJ296">
        <v>12</v>
      </c>
      <c r="AK296">
        <v>25</v>
      </c>
      <c r="AL296" t="s">
        <v>43</v>
      </c>
      <c r="AM296" t="s">
        <v>230</v>
      </c>
      <c r="AN296" t="s">
        <v>1411</v>
      </c>
      <c r="AO296" s="1">
        <v>95</v>
      </c>
      <c r="AP296" t="s">
        <v>7</v>
      </c>
    </row>
    <row r="297" spans="21:42" x14ac:dyDescent="0.25">
      <c r="U297" s="5">
        <f t="shared" ca="1" si="81"/>
        <v>46387.662929050923</v>
      </c>
      <c r="V297">
        <f t="shared" ca="1" si="76"/>
        <v>2026</v>
      </c>
      <c r="W297">
        <f t="shared" ca="1" si="77"/>
        <v>12</v>
      </c>
      <c r="X297">
        <f t="shared" ca="1" si="78"/>
        <v>31</v>
      </c>
      <c r="Z297" t="b">
        <f t="shared" ca="1" si="79"/>
        <v>0</v>
      </c>
      <c r="AA297" t="b">
        <f t="shared" ca="1" si="80"/>
        <v>0</v>
      </c>
      <c r="AI297">
        <v>2033</v>
      </c>
      <c r="AJ297">
        <v>12</v>
      </c>
      <c r="AK297">
        <v>26</v>
      </c>
      <c r="AL297" t="s">
        <v>43</v>
      </c>
      <c r="AM297" t="s">
        <v>201</v>
      </c>
      <c r="AN297" t="s">
        <v>86</v>
      </c>
      <c r="AO297" s="1">
        <v>108</v>
      </c>
      <c r="AP297" t="s">
        <v>78</v>
      </c>
    </row>
    <row r="298" spans="21:42" x14ac:dyDescent="0.25">
      <c r="U298" s="5">
        <f t="shared" ca="1" si="81"/>
        <v>46388.662929050923</v>
      </c>
      <c r="V298">
        <f t="shared" ca="1" si="76"/>
        <v>2027</v>
      </c>
      <c r="W298">
        <f t="shared" ca="1" si="77"/>
        <v>1</v>
      </c>
      <c r="X298">
        <f t="shared" ca="1" si="78"/>
        <v>1</v>
      </c>
      <c r="Z298" t="b">
        <f t="shared" ca="1" si="79"/>
        <v>0</v>
      </c>
      <c r="AA298" t="b">
        <f t="shared" ca="1" si="80"/>
        <v>0</v>
      </c>
      <c r="AI298">
        <v>2033</v>
      </c>
      <c r="AJ298">
        <v>12</v>
      </c>
      <c r="AK298">
        <v>28</v>
      </c>
      <c r="AL298" t="s">
        <v>52</v>
      </c>
      <c r="AM298" t="s">
        <v>245</v>
      </c>
      <c r="AN298" t="s">
        <v>1411</v>
      </c>
      <c r="AO298" s="1">
        <v>77</v>
      </c>
      <c r="AP298" t="s">
        <v>1367</v>
      </c>
    </row>
    <row r="299" spans="21:42" x14ac:dyDescent="0.25">
      <c r="U299" s="5">
        <f t="shared" ca="1" si="81"/>
        <v>46389.662929050923</v>
      </c>
      <c r="V299">
        <f t="shared" ca="1" si="76"/>
        <v>2027</v>
      </c>
      <c r="W299">
        <f t="shared" ca="1" si="77"/>
        <v>1</v>
      </c>
      <c r="X299">
        <f t="shared" ca="1" si="78"/>
        <v>2</v>
      </c>
      <c r="Z299" t="b">
        <f t="shared" ca="1" si="79"/>
        <v>0</v>
      </c>
      <c r="AA299" t="b">
        <f t="shared" ca="1" si="80"/>
        <v>0</v>
      </c>
      <c r="AI299">
        <v>2034</v>
      </c>
      <c r="AJ299">
        <v>1</v>
      </c>
      <c r="AK299">
        <v>1</v>
      </c>
      <c r="AL299" t="s">
        <v>93</v>
      </c>
      <c r="AM299" t="s">
        <v>256</v>
      </c>
      <c r="AN299" t="s">
        <v>83</v>
      </c>
      <c r="AO299" s="1">
        <v>77</v>
      </c>
      <c r="AP299" t="s">
        <v>8</v>
      </c>
    </row>
    <row r="300" spans="21:42" x14ac:dyDescent="0.25">
      <c r="U300" s="5">
        <f t="shared" ca="1" si="81"/>
        <v>46390.662929050923</v>
      </c>
      <c r="V300">
        <f t="shared" ca="1" si="76"/>
        <v>2027</v>
      </c>
      <c r="W300">
        <f t="shared" ca="1" si="77"/>
        <v>1</v>
      </c>
      <c r="X300">
        <f t="shared" ca="1" si="78"/>
        <v>3</v>
      </c>
      <c r="Z300" t="b">
        <f t="shared" ca="1" si="79"/>
        <v>0</v>
      </c>
      <c r="AA300" t="b">
        <f t="shared" ca="1" si="80"/>
        <v>0</v>
      </c>
      <c r="AI300">
        <v>2034</v>
      </c>
      <c r="AJ300">
        <v>2</v>
      </c>
      <c r="AK300">
        <v>1</v>
      </c>
      <c r="AL300" t="s">
        <v>91</v>
      </c>
      <c r="AM300" t="s">
        <v>164</v>
      </c>
      <c r="AN300" t="s">
        <v>85</v>
      </c>
      <c r="AO300" s="1">
        <v>249</v>
      </c>
      <c r="AP300" t="s">
        <v>1487</v>
      </c>
    </row>
    <row r="301" spans="21:42" x14ac:dyDescent="0.25">
      <c r="U301" s="5">
        <f t="shared" ca="1" si="81"/>
        <v>46391.662929050923</v>
      </c>
      <c r="V301">
        <f t="shared" ca="1" si="76"/>
        <v>2027</v>
      </c>
      <c r="W301">
        <f t="shared" ca="1" si="77"/>
        <v>1</v>
      </c>
      <c r="X301">
        <f t="shared" ca="1" si="78"/>
        <v>4</v>
      </c>
      <c r="Z301" t="b">
        <f t="shared" ca="1" si="79"/>
        <v>0</v>
      </c>
      <c r="AA301" t="b">
        <f t="shared" ca="1" si="80"/>
        <v>0</v>
      </c>
      <c r="AI301">
        <v>2034</v>
      </c>
      <c r="AJ301">
        <v>2</v>
      </c>
      <c r="AK301">
        <v>14</v>
      </c>
      <c r="AL301" t="s">
        <v>93</v>
      </c>
      <c r="AM301" t="s">
        <v>1392</v>
      </c>
      <c r="AN301" t="s">
        <v>258</v>
      </c>
      <c r="AO301" s="1">
        <v>70</v>
      </c>
      <c r="AP301" t="s">
        <v>1371</v>
      </c>
    </row>
    <row r="302" spans="21:42" x14ac:dyDescent="0.25">
      <c r="U302" s="5">
        <f t="shared" ca="1" si="81"/>
        <v>46392.662929050923</v>
      </c>
      <c r="V302">
        <f t="shared" ca="1" si="76"/>
        <v>2027</v>
      </c>
      <c r="W302">
        <f t="shared" ca="1" si="77"/>
        <v>1</v>
      </c>
      <c r="X302">
        <f t="shared" ca="1" si="78"/>
        <v>5</v>
      </c>
      <c r="Z302" t="b">
        <f t="shared" ca="1" si="79"/>
        <v>0</v>
      </c>
      <c r="AA302" t="b">
        <f t="shared" ca="1" si="80"/>
        <v>0</v>
      </c>
      <c r="AI302">
        <v>2034</v>
      </c>
      <c r="AJ302">
        <v>2</v>
      </c>
      <c r="AK302">
        <v>19</v>
      </c>
      <c r="AL302" t="s">
        <v>93</v>
      </c>
      <c r="AM302" t="s">
        <v>164</v>
      </c>
      <c r="AN302" t="s">
        <v>84</v>
      </c>
      <c r="AO302" s="1">
        <v>104</v>
      </c>
      <c r="AP302" t="s">
        <v>1489</v>
      </c>
    </row>
    <row r="303" spans="21:42" x14ac:dyDescent="0.25">
      <c r="U303" s="5">
        <f t="shared" ca="1" si="81"/>
        <v>46393.662929050923</v>
      </c>
      <c r="V303">
        <f t="shared" ca="1" si="76"/>
        <v>2027</v>
      </c>
      <c r="W303">
        <f t="shared" ca="1" si="77"/>
        <v>1</v>
      </c>
      <c r="X303">
        <f t="shared" ca="1" si="78"/>
        <v>6</v>
      </c>
      <c r="Z303" t="b">
        <f t="shared" ca="1" si="79"/>
        <v>0</v>
      </c>
      <c r="AA303" t="b">
        <f t="shared" ca="1" si="80"/>
        <v>0</v>
      </c>
      <c r="AI303">
        <v>2034</v>
      </c>
      <c r="AJ303">
        <v>2</v>
      </c>
      <c r="AK303">
        <v>19</v>
      </c>
      <c r="AL303" t="s">
        <v>93</v>
      </c>
      <c r="AM303" t="s">
        <v>164</v>
      </c>
      <c r="AN303" t="s">
        <v>84</v>
      </c>
      <c r="AO303" s="1">
        <v>80</v>
      </c>
      <c r="AP303" t="s">
        <v>1499</v>
      </c>
    </row>
    <row r="304" spans="21:42" x14ac:dyDescent="0.25">
      <c r="U304" s="5">
        <f t="shared" ca="1" si="81"/>
        <v>46394.662929050923</v>
      </c>
      <c r="V304">
        <f t="shared" ca="1" si="76"/>
        <v>2027</v>
      </c>
      <c r="W304">
        <f t="shared" ca="1" si="77"/>
        <v>1</v>
      </c>
      <c r="X304">
        <f t="shared" ca="1" si="78"/>
        <v>7</v>
      </c>
      <c r="Z304" t="b">
        <f t="shared" ca="1" si="79"/>
        <v>0</v>
      </c>
      <c r="AA304" t="b">
        <f t="shared" ca="1" si="80"/>
        <v>0</v>
      </c>
      <c r="AI304">
        <v>2034</v>
      </c>
      <c r="AJ304">
        <v>2</v>
      </c>
      <c r="AK304">
        <v>20</v>
      </c>
      <c r="AL304" t="s">
        <v>93</v>
      </c>
      <c r="AM304" t="s">
        <v>164</v>
      </c>
      <c r="AN304" t="s">
        <v>84</v>
      </c>
      <c r="AO304" s="1">
        <v>94</v>
      </c>
      <c r="AP304" t="s">
        <v>1501</v>
      </c>
    </row>
    <row r="305" spans="21:42" x14ac:dyDescent="0.25">
      <c r="U305" s="5">
        <f t="shared" ca="1" si="81"/>
        <v>46395.662929050923</v>
      </c>
      <c r="V305">
        <f t="shared" ca="1" si="76"/>
        <v>2027</v>
      </c>
      <c r="W305">
        <f t="shared" ca="1" si="77"/>
        <v>1</v>
      </c>
      <c r="X305">
        <f t="shared" ca="1" si="78"/>
        <v>8</v>
      </c>
      <c r="Z305" t="b">
        <f t="shared" ca="1" si="79"/>
        <v>0</v>
      </c>
      <c r="AA305" t="b">
        <f t="shared" ca="1" si="80"/>
        <v>0</v>
      </c>
      <c r="AI305">
        <v>2034</v>
      </c>
      <c r="AJ305">
        <v>2</v>
      </c>
      <c r="AK305">
        <v>22</v>
      </c>
      <c r="AL305" t="s">
        <v>89</v>
      </c>
      <c r="AM305" t="s">
        <v>204</v>
      </c>
      <c r="AN305" t="s">
        <v>86</v>
      </c>
      <c r="AO305" s="1">
        <v>197</v>
      </c>
      <c r="AP305" t="s">
        <v>143</v>
      </c>
    </row>
    <row r="306" spans="21:42" x14ac:dyDescent="0.25">
      <c r="U306" s="5">
        <f t="shared" ca="1" si="81"/>
        <v>46396.662929050923</v>
      </c>
      <c r="V306">
        <f t="shared" ca="1" si="76"/>
        <v>2027</v>
      </c>
      <c r="W306">
        <f t="shared" ca="1" si="77"/>
        <v>1</v>
      </c>
      <c r="X306">
        <f t="shared" ca="1" si="78"/>
        <v>9</v>
      </c>
      <c r="Z306" t="b">
        <f t="shared" ca="1" si="79"/>
        <v>0</v>
      </c>
      <c r="AA306" t="b">
        <f t="shared" ca="1" si="80"/>
        <v>0</v>
      </c>
      <c r="AI306">
        <v>2034</v>
      </c>
      <c r="AJ306">
        <v>3</v>
      </c>
      <c r="AK306">
        <v>1</v>
      </c>
      <c r="AL306" t="s">
        <v>91</v>
      </c>
      <c r="AM306" t="s">
        <v>164</v>
      </c>
      <c r="AN306" t="s">
        <v>85</v>
      </c>
      <c r="AO306" s="1">
        <v>287</v>
      </c>
      <c r="AP306" t="s">
        <v>122</v>
      </c>
    </row>
    <row r="307" spans="21:42" x14ac:dyDescent="0.25">
      <c r="U307" s="5">
        <f t="shared" ca="1" si="81"/>
        <v>46397.662929050923</v>
      </c>
      <c r="V307">
        <f t="shared" ca="1" si="76"/>
        <v>2027</v>
      </c>
      <c r="W307">
        <f t="shared" ca="1" si="77"/>
        <v>1</v>
      </c>
      <c r="X307">
        <f t="shared" ca="1" si="78"/>
        <v>10</v>
      </c>
      <c r="Z307" t="b">
        <f t="shared" ca="1" si="79"/>
        <v>0</v>
      </c>
      <c r="AA307" t="b">
        <f t="shared" ca="1" si="80"/>
        <v>0</v>
      </c>
      <c r="AI307">
        <v>2034</v>
      </c>
      <c r="AJ307">
        <v>3</v>
      </c>
      <c r="AK307">
        <v>14</v>
      </c>
      <c r="AL307" t="s">
        <v>45</v>
      </c>
      <c r="AM307" t="s">
        <v>161</v>
      </c>
      <c r="AN307" t="s">
        <v>1413</v>
      </c>
      <c r="AO307" s="1">
        <v>95</v>
      </c>
      <c r="AP307" t="s">
        <v>1524</v>
      </c>
    </row>
    <row r="308" spans="21:42" x14ac:dyDescent="0.25">
      <c r="U308" s="5">
        <f t="shared" ca="1" si="81"/>
        <v>46398.662929050923</v>
      </c>
      <c r="V308">
        <f t="shared" ca="1" si="76"/>
        <v>2027</v>
      </c>
      <c r="W308">
        <f t="shared" ca="1" si="77"/>
        <v>1</v>
      </c>
      <c r="X308">
        <f t="shared" ca="1" si="78"/>
        <v>11</v>
      </c>
      <c r="Z308" t="b">
        <f t="shared" ca="1" si="79"/>
        <v>0</v>
      </c>
      <c r="AA308" t="b">
        <f t="shared" ca="1" si="80"/>
        <v>0</v>
      </c>
      <c r="AI308">
        <v>2034</v>
      </c>
      <c r="AJ308">
        <v>3</v>
      </c>
      <c r="AK308">
        <v>21</v>
      </c>
      <c r="AL308" t="s">
        <v>56</v>
      </c>
      <c r="AM308" t="s">
        <v>184</v>
      </c>
      <c r="AN308" t="s">
        <v>84</v>
      </c>
      <c r="AO308" s="1">
        <v>73</v>
      </c>
      <c r="AP308" t="s">
        <v>123</v>
      </c>
    </row>
    <row r="309" spans="21:42" x14ac:dyDescent="0.25">
      <c r="U309" s="5">
        <f t="shared" ca="1" si="81"/>
        <v>46399.662929050923</v>
      </c>
      <c r="V309">
        <f t="shared" ca="1" si="76"/>
        <v>2027</v>
      </c>
      <c r="W309">
        <f t="shared" ca="1" si="77"/>
        <v>1</v>
      </c>
      <c r="X309">
        <f t="shared" ca="1" si="78"/>
        <v>12</v>
      </c>
      <c r="Z309" t="b">
        <f t="shared" ca="1" si="79"/>
        <v>0</v>
      </c>
      <c r="AA309" t="b">
        <f t="shared" ca="1" si="80"/>
        <v>0</v>
      </c>
      <c r="AI309">
        <v>2034</v>
      </c>
      <c r="AJ309">
        <v>4</v>
      </c>
      <c r="AK309">
        <v>1</v>
      </c>
      <c r="AL309" t="s">
        <v>91</v>
      </c>
      <c r="AM309" t="s">
        <v>164</v>
      </c>
      <c r="AN309" t="s">
        <v>85</v>
      </c>
      <c r="AO309" s="1">
        <v>265</v>
      </c>
      <c r="AP309" t="s">
        <v>124</v>
      </c>
    </row>
    <row r="310" spans="21:42" x14ac:dyDescent="0.25">
      <c r="U310" s="5">
        <f t="shared" ca="1" si="81"/>
        <v>46400.662929050923</v>
      </c>
      <c r="V310">
        <f t="shared" ca="1" si="76"/>
        <v>2027</v>
      </c>
      <c r="W310">
        <f t="shared" ca="1" si="77"/>
        <v>1</v>
      </c>
      <c r="X310">
        <f t="shared" ca="1" si="78"/>
        <v>13</v>
      </c>
      <c r="Z310" t="b">
        <f t="shared" ca="1" si="79"/>
        <v>0</v>
      </c>
      <c r="AA310" t="b">
        <f t="shared" ca="1" si="80"/>
        <v>0</v>
      </c>
      <c r="AI310">
        <v>2034</v>
      </c>
      <c r="AJ310">
        <v>4</v>
      </c>
      <c r="AK310">
        <v>7</v>
      </c>
      <c r="AL310" t="s">
        <v>54</v>
      </c>
      <c r="AM310" t="s">
        <v>181</v>
      </c>
      <c r="AN310" t="s">
        <v>83</v>
      </c>
      <c r="AO310" s="1">
        <v>187</v>
      </c>
      <c r="AP310" t="s">
        <v>28</v>
      </c>
    </row>
    <row r="311" spans="21:42" x14ac:dyDescent="0.25">
      <c r="U311" s="5">
        <f t="shared" ca="1" si="81"/>
        <v>46401.662929050923</v>
      </c>
      <c r="V311">
        <f t="shared" ca="1" si="76"/>
        <v>2027</v>
      </c>
      <c r="W311">
        <f t="shared" ca="1" si="77"/>
        <v>1</v>
      </c>
      <c r="X311">
        <f t="shared" ca="1" si="78"/>
        <v>14</v>
      </c>
      <c r="Z311" t="b">
        <f t="shared" ca="1" si="79"/>
        <v>0</v>
      </c>
      <c r="AA311" t="b">
        <f t="shared" ca="1" si="80"/>
        <v>0</v>
      </c>
      <c r="AI311">
        <v>2034</v>
      </c>
      <c r="AJ311">
        <v>4</v>
      </c>
      <c r="AK311">
        <v>9</v>
      </c>
      <c r="AL311" t="s">
        <v>58</v>
      </c>
      <c r="AM311" t="s">
        <v>158</v>
      </c>
      <c r="AN311" t="s">
        <v>261</v>
      </c>
      <c r="AO311" s="1">
        <v>90</v>
      </c>
      <c r="AP311" t="s">
        <v>12</v>
      </c>
    </row>
    <row r="312" spans="21:42" x14ac:dyDescent="0.25">
      <c r="U312" s="5">
        <f t="shared" ca="1" si="81"/>
        <v>46402.662929050923</v>
      </c>
      <c r="V312">
        <f t="shared" ca="1" si="76"/>
        <v>2027</v>
      </c>
      <c r="W312">
        <f t="shared" ca="1" si="77"/>
        <v>1</v>
      </c>
      <c r="X312">
        <f t="shared" ca="1" si="78"/>
        <v>15</v>
      </c>
      <c r="Z312" t="b">
        <f t="shared" ca="1" si="79"/>
        <v>0</v>
      </c>
      <c r="AA312" t="b">
        <f t="shared" ca="1" si="80"/>
        <v>0</v>
      </c>
      <c r="AI312">
        <v>2034</v>
      </c>
      <c r="AJ312">
        <v>4</v>
      </c>
      <c r="AK312">
        <v>10</v>
      </c>
      <c r="AL312" t="s">
        <v>58</v>
      </c>
      <c r="AM312" t="s">
        <v>198</v>
      </c>
      <c r="AN312" t="s">
        <v>265</v>
      </c>
      <c r="AO312" s="1">
        <v>314</v>
      </c>
      <c r="AP312" t="s">
        <v>1375</v>
      </c>
    </row>
    <row r="313" spans="21:42" x14ac:dyDescent="0.25">
      <c r="U313" s="5">
        <f t="shared" ca="1" si="81"/>
        <v>46403.662929050923</v>
      </c>
      <c r="V313">
        <f t="shared" ca="1" si="76"/>
        <v>2027</v>
      </c>
      <c r="W313">
        <f t="shared" ca="1" si="77"/>
        <v>1</v>
      </c>
      <c r="X313">
        <f t="shared" ca="1" si="78"/>
        <v>16</v>
      </c>
      <c r="Z313" t="b">
        <f t="shared" ca="1" si="79"/>
        <v>0</v>
      </c>
      <c r="AA313" t="b">
        <f t="shared" ca="1" si="80"/>
        <v>0</v>
      </c>
      <c r="AI313">
        <v>2034</v>
      </c>
      <c r="AJ313">
        <v>4</v>
      </c>
      <c r="AK313">
        <v>30</v>
      </c>
      <c r="AL313" t="s">
        <v>56</v>
      </c>
      <c r="AM313" t="s">
        <v>184</v>
      </c>
      <c r="AN313" t="s">
        <v>84</v>
      </c>
      <c r="AO313" s="1">
        <v>98</v>
      </c>
      <c r="AP313" t="s">
        <v>126</v>
      </c>
    </row>
    <row r="314" spans="21:42" x14ac:dyDescent="0.25">
      <c r="U314" s="5">
        <f t="shared" ca="1" si="81"/>
        <v>46404.662929050923</v>
      </c>
      <c r="V314">
        <f t="shared" ca="1" si="76"/>
        <v>2027</v>
      </c>
      <c r="W314">
        <f t="shared" ca="1" si="77"/>
        <v>1</v>
      </c>
      <c r="X314">
        <f t="shared" ca="1" si="78"/>
        <v>17</v>
      </c>
      <c r="Z314" t="b">
        <f t="shared" ca="1" si="79"/>
        <v>0</v>
      </c>
      <c r="AA314" t="b">
        <f t="shared" ca="1" si="80"/>
        <v>0</v>
      </c>
      <c r="AI314">
        <v>2034</v>
      </c>
      <c r="AJ314">
        <v>5</v>
      </c>
      <c r="AK314">
        <v>1</v>
      </c>
      <c r="AL314" t="s">
        <v>91</v>
      </c>
      <c r="AM314" t="s">
        <v>164</v>
      </c>
      <c r="AN314" t="s">
        <v>85</v>
      </c>
      <c r="AO314" s="1">
        <v>202</v>
      </c>
      <c r="AP314" t="s">
        <v>127</v>
      </c>
    </row>
    <row r="315" spans="21:42" x14ac:dyDescent="0.25">
      <c r="U315" s="5">
        <f t="shared" ca="1" si="81"/>
        <v>46405.662929050923</v>
      </c>
      <c r="V315">
        <f t="shared" ca="1" si="76"/>
        <v>2027</v>
      </c>
      <c r="W315">
        <f t="shared" ca="1" si="77"/>
        <v>1</v>
      </c>
      <c r="X315">
        <f t="shared" ca="1" si="78"/>
        <v>18</v>
      </c>
      <c r="Z315" t="b">
        <f t="shared" ca="1" si="79"/>
        <v>0</v>
      </c>
      <c r="AA315" t="b">
        <f t="shared" ca="1" si="80"/>
        <v>0</v>
      </c>
      <c r="AI315">
        <v>2034</v>
      </c>
      <c r="AJ315">
        <v>5</v>
      </c>
      <c r="AK315">
        <v>4</v>
      </c>
      <c r="AL315" t="s">
        <v>89</v>
      </c>
      <c r="AM315" t="s">
        <v>233</v>
      </c>
      <c r="AN315" t="s">
        <v>83</v>
      </c>
      <c r="AO315" s="1">
        <v>102</v>
      </c>
      <c r="AP315" t="s">
        <v>1364</v>
      </c>
    </row>
    <row r="316" spans="21:42" x14ac:dyDescent="0.25">
      <c r="U316" s="5">
        <f t="shared" ca="1" si="81"/>
        <v>46406.662929050923</v>
      </c>
      <c r="V316">
        <f t="shared" ca="1" si="76"/>
        <v>2027</v>
      </c>
      <c r="W316">
        <f t="shared" ca="1" si="77"/>
        <v>1</v>
      </c>
      <c r="X316">
        <f t="shared" ca="1" si="78"/>
        <v>19</v>
      </c>
      <c r="Z316" t="b">
        <f t="shared" ca="1" si="79"/>
        <v>0</v>
      </c>
      <c r="AA316" t="b">
        <f t="shared" ca="1" si="80"/>
        <v>0</v>
      </c>
      <c r="AI316">
        <v>2034</v>
      </c>
      <c r="AJ316">
        <v>5</v>
      </c>
      <c r="AK316">
        <v>5</v>
      </c>
      <c r="AL316" t="s">
        <v>93</v>
      </c>
      <c r="AM316" t="s">
        <v>152</v>
      </c>
      <c r="AN316" t="s">
        <v>84</v>
      </c>
      <c r="AO316" s="1">
        <v>64</v>
      </c>
      <c r="AP316" t="s">
        <v>107</v>
      </c>
    </row>
    <row r="317" spans="21:42" x14ac:dyDescent="0.25">
      <c r="U317" s="5">
        <f t="shared" ca="1" si="81"/>
        <v>46407.662929050923</v>
      </c>
      <c r="V317">
        <f t="shared" ca="1" si="76"/>
        <v>2027</v>
      </c>
      <c r="W317">
        <f t="shared" ca="1" si="77"/>
        <v>1</v>
      </c>
      <c r="X317">
        <f t="shared" ca="1" si="78"/>
        <v>20</v>
      </c>
      <c r="Z317" t="b">
        <f t="shared" ca="1" si="79"/>
        <v>0</v>
      </c>
      <c r="AA317" t="b">
        <f t="shared" ca="1" si="80"/>
        <v>0</v>
      </c>
      <c r="AI317">
        <v>2034</v>
      </c>
      <c r="AJ317">
        <v>5</v>
      </c>
      <c r="AK317">
        <v>10</v>
      </c>
      <c r="AL317" t="s">
        <v>56</v>
      </c>
      <c r="AM317" t="s">
        <v>184</v>
      </c>
      <c r="AN317" t="s">
        <v>84</v>
      </c>
      <c r="AO317" s="1">
        <v>73</v>
      </c>
      <c r="AP317" t="s">
        <v>128</v>
      </c>
    </row>
    <row r="318" spans="21:42" x14ac:dyDescent="0.25">
      <c r="U318" s="5">
        <f t="shared" ca="1" si="81"/>
        <v>46408.662929050923</v>
      </c>
      <c r="V318">
        <f t="shared" ca="1" si="76"/>
        <v>2027</v>
      </c>
      <c r="W318">
        <f t="shared" ca="1" si="77"/>
        <v>1</v>
      </c>
      <c r="X318">
        <f t="shared" ca="1" si="78"/>
        <v>21</v>
      </c>
      <c r="Z318" t="b">
        <f t="shared" ca="1" si="79"/>
        <v>0</v>
      </c>
      <c r="AA318" t="b">
        <f t="shared" ca="1" si="80"/>
        <v>0</v>
      </c>
      <c r="AI318">
        <v>2034</v>
      </c>
      <c r="AJ318">
        <v>5</v>
      </c>
      <c r="AK318">
        <v>18</v>
      </c>
      <c r="AL318" t="s">
        <v>44</v>
      </c>
      <c r="AM318" t="s">
        <v>227</v>
      </c>
      <c r="AN318" t="s">
        <v>83</v>
      </c>
      <c r="AO318" s="1">
        <v>107</v>
      </c>
      <c r="AP318" t="s">
        <v>14</v>
      </c>
    </row>
    <row r="319" spans="21:42" x14ac:dyDescent="0.25">
      <c r="U319" s="5">
        <f t="shared" ca="1" si="81"/>
        <v>46409.662929050923</v>
      </c>
      <c r="V319">
        <f t="shared" ca="1" si="76"/>
        <v>2027</v>
      </c>
      <c r="W319">
        <f t="shared" ca="1" si="77"/>
        <v>1</v>
      </c>
      <c r="X319">
        <f t="shared" ca="1" si="78"/>
        <v>22</v>
      </c>
      <c r="Z319" t="b">
        <f t="shared" ca="1" si="79"/>
        <v>0</v>
      </c>
      <c r="AA319" t="b">
        <f t="shared" ca="1" si="80"/>
        <v>0</v>
      </c>
      <c r="AI319">
        <v>2034</v>
      </c>
      <c r="AJ319">
        <v>5</v>
      </c>
      <c r="AK319">
        <v>28</v>
      </c>
      <c r="AL319" t="s">
        <v>49</v>
      </c>
      <c r="AM319" t="s">
        <v>167</v>
      </c>
      <c r="AN319" t="s">
        <v>85</v>
      </c>
      <c r="AO319" s="1">
        <v>121</v>
      </c>
      <c r="AP319" t="s">
        <v>129</v>
      </c>
    </row>
    <row r="320" spans="21:42" x14ac:dyDescent="0.25">
      <c r="U320" s="5">
        <f t="shared" ca="1" si="81"/>
        <v>46410.662929050923</v>
      </c>
      <c r="V320">
        <f t="shared" ca="1" si="76"/>
        <v>2027</v>
      </c>
      <c r="W320">
        <f t="shared" ca="1" si="77"/>
        <v>1</v>
      </c>
      <c r="X320">
        <f t="shared" ca="1" si="78"/>
        <v>23</v>
      </c>
      <c r="Z320" t="b">
        <f t="shared" ca="1" si="79"/>
        <v>0</v>
      </c>
      <c r="AA320" t="b">
        <f t="shared" ca="1" si="80"/>
        <v>0</v>
      </c>
      <c r="AI320">
        <v>2034</v>
      </c>
      <c r="AJ320">
        <v>5</v>
      </c>
      <c r="AK320">
        <v>29</v>
      </c>
      <c r="AL320" t="s">
        <v>49</v>
      </c>
      <c r="AM320" t="s">
        <v>167</v>
      </c>
      <c r="AN320" t="s">
        <v>85</v>
      </c>
      <c r="AO320" s="1">
        <v>195</v>
      </c>
      <c r="AP320" t="s">
        <v>1491</v>
      </c>
    </row>
    <row r="321" spans="21:42" x14ac:dyDescent="0.25">
      <c r="U321" s="5">
        <f t="shared" ca="1" si="81"/>
        <v>46411.662929050923</v>
      </c>
      <c r="V321">
        <f t="shared" ca="1" si="76"/>
        <v>2027</v>
      </c>
      <c r="W321">
        <f t="shared" ca="1" si="77"/>
        <v>1</v>
      </c>
      <c r="X321">
        <f t="shared" ca="1" si="78"/>
        <v>24</v>
      </c>
      <c r="Z321" t="b">
        <f t="shared" ca="1" si="79"/>
        <v>0</v>
      </c>
      <c r="AA321" t="b">
        <f t="shared" ca="1" si="80"/>
        <v>0</v>
      </c>
      <c r="AI321">
        <v>2034</v>
      </c>
      <c r="AJ321">
        <v>6</v>
      </c>
      <c r="AK321">
        <v>1</v>
      </c>
      <c r="AL321" t="s">
        <v>91</v>
      </c>
      <c r="AM321" t="s">
        <v>164</v>
      </c>
      <c r="AN321" t="s">
        <v>85</v>
      </c>
      <c r="AO321" s="1">
        <v>157</v>
      </c>
      <c r="AP321" t="s">
        <v>130</v>
      </c>
    </row>
    <row r="322" spans="21:42" x14ac:dyDescent="0.25">
      <c r="U322" s="5">
        <f t="shared" ca="1" si="81"/>
        <v>46412.662929050923</v>
      </c>
      <c r="V322">
        <f t="shared" ca="1" si="76"/>
        <v>2027</v>
      </c>
      <c r="W322">
        <f t="shared" ca="1" si="77"/>
        <v>1</v>
      </c>
      <c r="X322">
        <f t="shared" ca="1" si="78"/>
        <v>25</v>
      </c>
      <c r="Z322" t="b">
        <f t="shared" ca="1" si="79"/>
        <v>0</v>
      </c>
      <c r="AA322" t="b">
        <f t="shared" ca="1" si="80"/>
        <v>0</v>
      </c>
      <c r="AI322">
        <v>2034</v>
      </c>
      <c r="AJ322">
        <v>6</v>
      </c>
      <c r="AK322">
        <v>24</v>
      </c>
      <c r="AL322" t="s">
        <v>93</v>
      </c>
      <c r="AM322" t="s">
        <v>158</v>
      </c>
      <c r="AN322" t="s">
        <v>1412</v>
      </c>
      <c r="AO322" s="1">
        <v>61</v>
      </c>
      <c r="AP322" t="s">
        <v>1369</v>
      </c>
    </row>
    <row r="323" spans="21:42" x14ac:dyDescent="0.25">
      <c r="U323" s="5">
        <f t="shared" ca="1" si="81"/>
        <v>46413.662929050923</v>
      </c>
      <c r="V323">
        <f t="shared" ca="1" si="76"/>
        <v>2027</v>
      </c>
      <c r="W323">
        <f t="shared" ca="1" si="77"/>
        <v>1</v>
      </c>
      <c r="X323">
        <f t="shared" ca="1" si="78"/>
        <v>26</v>
      </c>
      <c r="Z323" t="b">
        <f t="shared" ca="1" si="79"/>
        <v>0</v>
      </c>
      <c r="AA323" t="b">
        <f t="shared" ca="1" si="80"/>
        <v>0</v>
      </c>
      <c r="AI323">
        <v>2034</v>
      </c>
      <c r="AJ323">
        <v>7</v>
      </c>
      <c r="AK323">
        <v>1</v>
      </c>
      <c r="AL323" t="s">
        <v>91</v>
      </c>
      <c r="AM323" t="s">
        <v>164</v>
      </c>
      <c r="AN323" t="s">
        <v>85</v>
      </c>
      <c r="AO323" s="1">
        <v>171</v>
      </c>
      <c r="AP323" t="s">
        <v>131</v>
      </c>
    </row>
    <row r="324" spans="21:42" x14ac:dyDescent="0.25">
      <c r="U324" s="5">
        <f t="shared" ca="1" si="81"/>
        <v>46414.662929050923</v>
      </c>
      <c r="V324">
        <f t="shared" ref="V324:V368" ca="1" si="82">YEAR(U324)</f>
        <v>2027</v>
      </c>
      <c r="W324">
        <f t="shared" ref="W324:W368" ca="1" si="83">MONTH(U324)</f>
        <v>1</v>
      </c>
      <c r="X324">
        <f t="shared" ref="X324:X368" ca="1" si="84">DAY(U324)</f>
        <v>27</v>
      </c>
      <c r="Z324" t="b">
        <f t="shared" ref="Z324:Z368" ca="1" si="85">AND(V324=B324,W324=C324,X324=D324)</f>
        <v>0</v>
      </c>
      <c r="AA324" t="b">
        <f t="shared" ref="AA324:AA368" ca="1" si="86">AND(W324=M324,X324=N324)</f>
        <v>0</v>
      </c>
      <c r="AI324">
        <v>2034</v>
      </c>
      <c r="AJ324">
        <v>8</v>
      </c>
      <c r="AK324">
        <v>1</v>
      </c>
      <c r="AL324" t="s">
        <v>91</v>
      </c>
      <c r="AM324" t="s">
        <v>164</v>
      </c>
      <c r="AN324" t="s">
        <v>85</v>
      </c>
      <c r="AO324" s="1">
        <v>231</v>
      </c>
      <c r="AP324" t="s">
        <v>132</v>
      </c>
    </row>
    <row r="325" spans="21:42" x14ac:dyDescent="0.25">
      <c r="U325" s="5">
        <f t="shared" ref="U325:U368" ca="1" si="87">U324+1</f>
        <v>46415.662929050923</v>
      </c>
      <c r="V325">
        <f t="shared" ca="1" si="82"/>
        <v>2027</v>
      </c>
      <c r="W325">
        <f t="shared" ca="1" si="83"/>
        <v>1</v>
      </c>
      <c r="X325">
        <f t="shared" ca="1" si="84"/>
        <v>28</v>
      </c>
      <c r="Z325" t="b">
        <f t="shared" ca="1" si="85"/>
        <v>0</v>
      </c>
      <c r="AA325" t="b">
        <f t="shared" ca="1" si="86"/>
        <v>0</v>
      </c>
      <c r="AI325">
        <v>2034</v>
      </c>
      <c r="AJ325">
        <v>9</v>
      </c>
      <c r="AK325">
        <v>1</v>
      </c>
      <c r="AL325" t="s">
        <v>91</v>
      </c>
      <c r="AM325" t="s">
        <v>164</v>
      </c>
      <c r="AN325" t="s">
        <v>85</v>
      </c>
      <c r="AO325" s="1">
        <v>282</v>
      </c>
      <c r="AP325" t="s">
        <v>133</v>
      </c>
    </row>
    <row r="326" spans="21:42" x14ac:dyDescent="0.25">
      <c r="U326" s="5">
        <f t="shared" ca="1" si="87"/>
        <v>46416.662929050923</v>
      </c>
      <c r="V326">
        <f t="shared" ca="1" si="82"/>
        <v>2027</v>
      </c>
      <c r="W326">
        <f t="shared" ca="1" si="83"/>
        <v>1</v>
      </c>
      <c r="X326">
        <f t="shared" ca="1" si="84"/>
        <v>29</v>
      </c>
      <c r="Z326" t="b">
        <f t="shared" ca="1" si="85"/>
        <v>0</v>
      </c>
      <c r="AA326" t="b">
        <f t="shared" ca="1" si="86"/>
        <v>0</v>
      </c>
      <c r="AI326">
        <v>2034</v>
      </c>
      <c r="AJ326">
        <v>10</v>
      </c>
      <c r="AK326">
        <v>1</v>
      </c>
      <c r="AL326" t="s">
        <v>91</v>
      </c>
      <c r="AM326" t="s">
        <v>164</v>
      </c>
      <c r="AN326" t="s">
        <v>85</v>
      </c>
      <c r="AO326" s="1">
        <v>277</v>
      </c>
      <c r="AP326" t="s">
        <v>134</v>
      </c>
    </row>
    <row r="327" spans="21:42" x14ac:dyDescent="0.25">
      <c r="U327" s="5">
        <f t="shared" ca="1" si="87"/>
        <v>46417.662929050923</v>
      </c>
      <c r="V327">
        <f t="shared" ca="1" si="82"/>
        <v>2027</v>
      </c>
      <c r="W327">
        <f t="shared" ca="1" si="83"/>
        <v>1</v>
      </c>
      <c r="X327">
        <f t="shared" ca="1" si="84"/>
        <v>30</v>
      </c>
      <c r="Z327" t="b">
        <f t="shared" ca="1" si="85"/>
        <v>0</v>
      </c>
      <c r="AA327" t="b">
        <f t="shared" ca="1" si="86"/>
        <v>0</v>
      </c>
      <c r="AI327">
        <v>2034</v>
      </c>
      <c r="AJ327">
        <v>10</v>
      </c>
      <c r="AK327">
        <v>8</v>
      </c>
      <c r="AL327" t="s">
        <v>56</v>
      </c>
      <c r="AM327" t="s">
        <v>184</v>
      </c>
      <c r="AN327" t="s">
        <v>84</v>
      </c>
      <c r="AO327" s="1">
        <v>105</v>
      </c>
      <c r="AP327" t="s">
        <v>135</v>
      </c>
    </row>
    <row r="328" spans="21:42" x14ac:dyDescent="0.25">
      <c r="U328" s="5">
        <f t="shared" ca="1" si="87"/>
        <v>46418.662929050923</v>
      </c>
      <c r="V328">
        <f t="shared" ca="1" si="82"/>
        <v>2027</v>
      </c>
      <c r="W328">
        <f t="shared" ca="1" si="83"/>
        <v>1</v>
      </c>
      <c r="X328">
        <f t="shared" ca="1" si="84"/>
        <v>31</v>
      </c>
      <c r="Z328" t="b">
        <f t="shared" ca="1" si="85"/>
        <v>0</v>
      </c>
      <c r="AA328" t="b">
        <f t="shared" ca="1" si="86"/>
        <v>0</v>
      </c>
      <c r="AI328">
        <v>2034</v>
      </c>
      <c r="AJ328">
        <v>11</v>
      </c>
      <c r="AK328">
        <v>1</v>
      </c>
      <c r="AL328" t="s">
        <v>91</v>
      </c>
      <c r="AM328" t="s">
        <v>164</v>
      </c>
      <c r="AN328" t="s">
        <v>85</v>
      </c>
      <c r="AO328" s="1">
        <v>221</v>
      </c>
      <c r="AP328" t="s">
        <v>136</v>
      </c>
    </row>
    <row r="329" spans="21:42" x14ac:dyDescent="0.25">
      <c r="U329" s="5">
        <f t="shared" ca="1" si="87"/>
        <v>46419.662929050923</v>
      </c>
      <c r="V329">
        <f t="shared" ca="1" si="82"/>
        <v>2027</v>
      </c>
      <c r="W329">
        <f t="shared" ca="1" si="83"/>
        <v>2</v>
      </c>
      <c r="X329">
        <f t="shared" ca="1" si="84"/>
        <v>1</v>
      </c>
      <c r="Z329" t="b">
        <f t="shared" ca="1" si="85"/>
        <v>0</v>
      </c>
      <c r="AA329" t="b">
        <f t="shared" ca="1" si="86"/>
        <v>0</v>
      </c>
      <c r="AI329">
        <v>2034</v>
      </c>
      <c r="AJ329">
        <v>12</v>
      </c>
      <c r="AK329">
        <v>1</v>
      </c>
      <c r="AL329" t="s">
        <v>91</v>
      </c>
      <c r="AM329" t="s">
        <v>164</v>
      </c>
      <c r="AN329" t="s">
        <v>85</v>
      </c>
      <c r="AO329" s="1">
        <v>165</v>
      </c>
      <c r="AP329" t="s">
        <v>137</v>
      </c>
    </row>
    <row r="330" spans="21:42" x14ac:dyDescent="0.25">
      <c r="U330" s="5">
        <f t="shared" ca="1" si="87"/>
        <v>46420.662929050923</v>
      </c>
      <c r="V330">
        <f t="shared" ca="1" si="82"/>
        <v>2027</v>
      </c>
      <c r="W330">
        <f t="shared" ca="1" si="83"/>
        <v>2</v>
      </c>
      <c r="X330">
        <f t="shared" ca="1" si="84"/>
        <v>2</v>
      </c>
      <c r="Z330" t="b">
        <f t="shared" ca="1" si="85"/>
        <v>0</v>
      </c>
      <c r="AA330" t="b">
        <f t="shared" ca="1" si="86"/>
        <v>0</v>
      </c>
      <c r="AI330">
        <v>2034</v>
      </c>
      <c r="AJ330">
        <v>12</v>
      </c>
      <c r="AK330">
        <v>5</v>
      </c>
      <c r="AL330" t="s">
        <v>53</v>
      </c>
      <c r="AM330" t="s">
        <v>224</v>
      </c>
      <c r="AN330" t="s">
        <v>258</v>
      </c>
      <c r="AO330" s="1">
        <v>113</v>
      </c>
      <c r="AP330" t="s">
        <v>1234</v>
      </c>
    </row>
    <row r="331" spans="21:42" x14ac:dyDescent="0.25">
      <c r="U331" s="5">
        <f t="shared" ca="1" si="87"/>
        <v>46421.662929050923</v>
      </c>
      <c r="V331">
        <f t="shared" ca="1" si="82"/>
        <v>2027</v>
      </c>
      <c r="W331">
        <f t="shared" ca="1" si="83"/>
        <v>2</v>
      </c>
      <c r="X331">
        <f t="shared" ca="1" si="84"/>
        <v>3</v>
      </c>
      <c r="Z331" t="b">
        <f t="shared" ca="1" si="85"/>
        <v>0</v>
      </c>
      <c r="AA331" t="b">
        <f t="shared" ca="1" si="86"/>
        <v>0</v>
      </c>
      <c r="AI331">
        <v>2034</v>
      </c>
      <c r="AJ331">
        <v>12</v>
      </c>
      <c r="AK331">
        <v>13</v>
      </c>
      <c r="AL331" t="s">
        <v>56</v>
      </c>
      <c r="AM331" t="s">
        <v>184</v>
      </c>
      <c r="AN331" t="s">
        <v>84</v>
      </c>
      <c r="AO331" s="1">
        <v>114</v>
      </c>
      <c r="AP331" t="s">
        <v>138</v>
      </c>
    </row>
    <row r="332" spans="21:42" x14ac:dyDescent="0.25">
      <c r="U332" s="5">
        <f t="shared" ca="1" si="87"/>
        <v>46422.662929050923</v>
      </c>
      <c r="V332">
        <f t="shared" ca="1" si="82"/>
        <v>2027</v>
      </c>
      <c r="W332">
        <f t="shared" ca="1" si="83"/>
        <v>2</v>
      </c>
      <c r="X332">
        <f t="shared" ca="1" si="84"/>
        <v>4</v>
      </c>
      <c r="Z332" t="b">
        <f t="shared" ca="1" si="85"/>
        <v>0</v>
      </c>
      <c r="AA332" t="b">
        <f t="shared" ca="1" si="86"/>
        <v>0</v>
      </c>
      <c r="AI332">
        <v>2034</v>
      </c>
      <c r="AJ332">
        <v>12</v>
      </c>
      <c r="AK332">
        <v>25</v>
      </c>
      <c r="AL332" t="s">
        <v>43</v>
      </c>
      <c r="AM332" t="s">
        <v>230</v>
      </c>
      <c r="AN332" t="s">
        <v>1411</v>
      </c>
      <c r="AO332" s="1">
        <v>95</v>
      </c>
      <c r="AP332" t="s">
        <v>7</v>
      </c>
    </row>
    <row r="333" spans="21:42" x14ac:dyDescent="0.25">
      <c r="U333" s="5">
        <f t="shared" ca="1" si="87"/>
        <v>46423.662929050923</v>
      </c>
      <c r="V333">
        <f t="shared" ca="1" si="82"/>
        <v>2027</v>
      </c>
      <c r="W333">
        <f t="shared" ca="1" si="83"/>
        <v>2</v>
      </c>
      <c r="X333">
        <f t="shared" ca="1" si="84"/>
        <v>5</v>
      </c>
      <c r="Z333" t="b">
        <f t="shared" ca="1" si="85"/>
        <v>0</v>
      </c>
      <c r="AA333" t="b">
        <f t="shared" ca="1" si="86"/>
        <v>0</v>
      </c>
      <c r="AI333">
        <v>2034</v>
      </c>
      <c r="AJ333">
        <v>12</v>
      </c>
      <c r="AK333">
        <v>26</v>
      </c>
      <c r="AL333" t="s">
        <v>43</v>
      </c>
      <c r="AM333" t="s">
        <v>201</v>
      </c>
      <c r="AN333" t="s">
        <v>86</v>
      </c>
      <c r="AO333" s="1">
        <v>108</v>
      </c>
      <c r="AP333" t="s">
        <v>78</v>
      </c>
    </row>
    <row r="334" spans="21:42" x14ac:dyDescent="0.25">
      <c r="U334" s="5">
        <f t="shared" ca="1" si="87"/>
        <v>46424.662929050923</v>
      </c>
      <c r="V334">
        <f t="shared" ca="1" si="82"/>
        <v>2027</v>
      </c>
      <c r="W334">
        <f t="shared" ca="1" si="83"/>
        <v>2</v>
      </c>
      <c r="X334">
        <f t="shared" ca="1" si="84"/>
        <v>6</v>
      </c>
      <c r="Z334" t="b">
        <f t="shared" ca="1" si="85"/>
        <v>0</v>
      </c>
      <c r="AA334" t="b">
        <f t="shared" ca="1" si="86"/>
        <v>0</v>
      </c>
      <c r="AI334">
        <v>2034</v>
      </c>
      <c r="AJ334">
        <v>12</v>
      </c>
      <c r="AK334">
        <v>28</v>
      </c>
      <c r="AL334" t="s">
        <v>52</v>
      </c>
      <c r="AM334" t="s">
        <v>245</v>
      </c>
      <c r="AN334" t="s">
        <v>1411</v>
      </c>
      <c r="AO334" s="1">
        <v>77</v>
      </c>
      <c r="AP334" t="s">
        <v>1367</v>
      </c>
    </row>
    <row r="335" spans="21:42" x14ac:dyDescent="0.25">
      <c r="U335" s="5">
        <f t="shared" ca="1" si="87"/>
        <v>46425.662929050923</v>
      </c>
      <c r="V335">
        <f t="shared" ca="1" si="82"/>
        <v>2027</v>
      </c>
      <c r="W335">
        <f t="shared" ca="1" si="83"/>
        <v>2</v>
      </c>
      <c r="X335">
        <f t="shared" ca="1" si="84"/>
        <v>7</v>
      </c>
      <c r="Z335" t="b">
        <f t="shared" ca="1" si="85"/>
        <v>0</v>
      </c>
      <c r="AA335" t="b">
        <f t="shared" ca="1" si="86"/>
        <v>0</v>
      </c>
      <c r="AI335">
        <v>2035</v>
      </c>
      <c r="AJ335">
        <v>1</v>
      </c>
      <c r="AK335">
        <v>1</v>
      </c>
      <c r="AL335" t="s">
        <v>93</v>
      </c>
      <c r="AM335" t="s">
        <v>256</v>
      </c>
      <c r="AN335" t="s">
        <v>83</v>
      </c>
      <c r="AO335" s="1">
        <v>77</v>
      </c>
      <c r="AP335" t="s">
        <v>8</v>
      </c>
    </row>
    <row r="336" spans="21:42" x14ac:dyDescent="0.25">
      <c r="U336" s="5">
        <f t="shared" ca="1" si="87"/>
        <v>46426.662929050923</v>
      </c>
      <c r="V336">
        <f t="shared" ca="1" si="82"/>
        <v>2027</v>
      </c>
      <c r="W336">
        <f t="shared" ca="1" si="83"/>
        <v>2</v>
      </c>
      <c r="X336">
        <f t="shared" ca="1" si="84"/>
        <v>8</v>
      </c>
      <c r="Z336" t="b">
        <f t="shared" ca="1" si="85"/>
        <v>0</v>
      </c>
      <c r="AA336" t="b">
        <f t="shared" ca="1" si="86"/>
        <v>0</v>
      </c>
      <c r="AI336">
        <v>2035</v>
      </c>
      <c r="AJ336">
        <v>2</v>
      </c>
      <c r="AK336">
        <v>1</v>
      </c>
      <c r="AL336" t="s">
        <v>91</v>
      </c>
      <c r="AM336" t="s">
        <v>164</v>
      </c>
      <c r="AN336" t="s">
        <v>85</v>
      </c>
      <c r="AO336" s="1">
        <v>249</v>
      </c>
      <c r="AP336" t="s">
        <v>1487</v>
      </c>
    </row>
    <row r="337" spans="21:42" x14ac:dyDescent="0.25">
      <c r="U337" s="5">
        <f t="shared" ca="1" si="87"/>
        <v>46427.662929050923</v>
      </c>
      <c r="V337">
        <f t="shared" ca="1" si="82"/>
        <v>2027</v>
      </c>
      <c r="W337">
        <f t="shared" ca="1" si="83"/>
        <v>2</v>
      </c>
      <c r="X337">
        <f t="shared" ca="1" si="84"/>
        <v>9</v>
      </c>
      <c r="Z337" t="b">
        <f t="shared" ca="1" si="85"/>
        <v>0</v>
      </c>
      <c r="AA337" t="b">
        <f t="shared" ca="1" si="86"/>
        <v>0</v>
      </c>
      <c r="AI337">
        <v>2035</v>
      </c>
      <c r="AJ337">
        <v>2</v>
      </c>
      <c r="AK337">
        <v>4</v>
      </c>
      <c r="AL337" t="s">
        <v>93</v>
      </c>
      <c r="AM337" t="s">
        <v>164</v>
      </c>
      <c r="AN337" t="s">
        <v>84</v>
      </c>
      <c r="AO337" s="1">
        <v>85</v>
      </c>
      <c r="AP337" t="s">
        <v>1492</v>
      </c>
    </row>
    <row r="338" spans="21:42" x14ac:dyDescent="0.25">
      <c r="U338" s="5">
        <f t="shared" ca="1" si="87"/>
        <v>46428.662929050923</v>
      </c>
      <c r="V338">
        <f t="shared" ca="1" si="82"/>
        <v>2027</v>
      </c>
      <c r="W338">
        <f t="shared" ca="1" si="83"/>
        <v>2</v>
      </c>
      <c r="X338">
        <f t="shared" ca="1" si="84"/>
        <v>10</v>
      </c>
      <c r="Z338" t="b">
        <f t="shared" ca="1" si="85"/>
        <v>0</v>
      </c>
      <c r="AA338" t="b">
        <f t="shared" ca="1" si="86"/>
        <v>0</v>
      </c>
      <c r="AI338">
        <v>2035</v>
      </c>
      <c r="AJ338">
        <v>2</v>
      </c>
      <c r="AK338">
        <v>4</v>
      </c>
      <c r="AL338" t="s">
        <v>93</v>
      </c>
      <c r="AM338" t="s">
        <v>164</v>
      </c>
      <c r="AN338" t="s">
        <v>84</v>
      </c>
      <c r="AO338" s="1">
        <v>94</v>
      </c>
      <c r="AP338" t="s">
        <v>1489</v>
      </c>
    </row>
    <row r="339" spans="21:42" x14ac:dyDescent="0.25">
      <c r="U339" s="5">
        <f t="shared" ca="1" si="87"/>
        <v>46429.662929050923</v>
      </c>
      <c r="V339">
        <f t="shared" ca="1" si="82"/>
        <v>2027</v>
      </c>
      <c r="W339">
        <f t="shared" ca="1" si="83"/>
        <v>2</v>
      </c>
      <c r="X339">
        <f t="shared" ca="1" si="84"/>
        <v>11</v>
      </c>
      <c r="Z339" t="b">
        <f t="shared" ca="1" si="85"/>
        <v>0</v>
      </c>
      <c r="AA339" t="b">
        <f t="shared" ca="1" si="86"/>
        <v>0</v>
      </c>
      <c r="AI339">
        <v>2035</v>
      </c>
      <c r="AJ339">
        <v>2</v>
      </c>
      <c r="AK339">
        <v>5</v>
      </c>
      <c r="AL339" t="s">
        <v>93</v>
      </c>
      <c r="AM339" t="s">
        <v>164</v>
      </c>
      <c r="AN339" t="s">
        <v>84</v>
      </c>
      <c r="AO339" s="1">
        <v>115</v>
      </c>
      <c r="AP339" t="s">
        <v>1490</v>
      </c>
    </row>
    <row r="340" spans="21:42" x14ac:dyDescent="0.25">
      <c r="U340" s="5">
        <f t="shared" ca="1" si="87"/>
        <v>46430.662929050923</v>
      </c>
      <c r="V340">
        <f t="shared" ca="1" si="82"/>
        <v>2027</v>
      </c>
      <c r="W340">
        <f t="shared" ca="1" si="83"/>
        <v>2</v>
      </c>
      <c r="X340">
        <f t="shared" ca="1" si="84"/>
        <v>12</v>
      </c>
      <c r="Z340" t="b">
        <f t="shared" ca="1" si="85"/>
        <v>0</v>
      </c>
      <c r="AA340" t="b">
        <f t="shared" ca="1" si="86"/>
        <v>0</v>
      </c>
      <c r="AI340">
        <v>2035</v>
      </c>
      <c r="AJ340">
        <v>2</v>
      </c>
      <c r="AK340">
        <v>7</v>
      </c>
      <c r="AL340" t="s">
        <v>89</v>
      </c>
      <c r="AM340" t="s">
        <v>204</v>
      </c>
      <c r="AN340" t="s">
        <v>86</v>
      </c>
      <c r="AO340" s="1">
        <v>177</v>
      </c>
      <c r="AP340" t="s">
        <v>121</v>
      </c>
    </row>
    <row r="341" spans="21:42" x14ac:dyDescent="0.25">
      <c r="U341" s="5">
        <f t="shared" ca="1" si="87"/>
        <v>46431.662929050923</v>
      </c>
      <c r="V341">
        <f t="shared" ca="1" si="82"/>
        <v>2027</v>
      </c>
      <c r="W341">
        <f t="shared" ca="1" si="83"/>
        <v>2</v>
      </c>
      <c r="X341">
        <f t="shared" ca="1" si="84"/>
        <v>13</v>
      </c>
      <c r="Z341" t="b">
        <f t="shared" ca="1" si="85"/>
        <v>0</v>
      </c>
      <c r="AA341" t="b">
        <f t="shared" ca="1" si="86"/>
        <v>0</v>
      </c>
      <c r="AI341">
        <v>2035</v>
      </c>
      <c r="AJ341">
        <v>2</v>
      </c>
      <c r="AK341">
        <v>14</v>
      </c>
      <c r="AL341" t="s">
        <v>93</v>
      </c>
      <c r="AM341" t="s">
        <v>1392</v>
      </c>
      <c r="AN341" t="s">
        <v>258</v>
      </c>
      <c r="AO341" s="1">
        <v>70</v>
      </c>
      <c r="AP341" t="s">
        <v>1371</v>
      </c>
    </row>
    <row r="342" spans="21:42" x14ac:dyDescent="0.25">
      <c r="U342" s="5">
        <f t="shared" ca="1" si="87"/>
        <v>46432.662929050923</v>
      </c>
      <c r="V342">
        <f t="shared" ca="1" si="82"/>
        <v>2027</v>
      </c>
      <c r="W342">
        <f t="shared" ca="1" si="83"/>
        <v>2</v>
      </c>
      <c r="X342">
        <f t="shared" ca="1" si="84"/>
        <v>14</v>
      </c>
      <c r="Z342" t="b">
        <f t="shared" ca="1" si="85"/>
        <v>0</v>
      </c>
      <c r="AA342" t="b">
        <f t="shared" ca="1" si="86"/>
        <v>0</v>
      </c>
      <c r="AI342">
        <v>2035</v>
      </c>
      <c r="AJ342">
        <v>3</v>
      </c>
      <c r="AK342">
        <v>1</v>
      </c>
      <c r="AL342" t="s">
        <v>91</v>
      </c>
      <c r="AM342" t="s">
        <v>164</v>
      </c>
      <c r="AN342" t="s">
        <v>85</v>
      </c>
      <c r="AO342" s="1">
        <v>287</v>
      </c>
      <c r="AP342" t="s">
        <v>122</v>
      </c>
    </row>
    <row r="343" spans="21:42" x14ac:dyDescent="0.25">
      <c r="U343" s="5">
        <f t="shared" ca="1" si="87"/>
        <v>46433.662929050923</v>
      </c>
      <c r="V343">
        <f t="shared" ca="1" si="82"/>
        <v>2027</v>
      </c>
      <c r="W343">
        <f t="shared" ca="1" si="83"/>
        <v>2</v>
      </c>
      <c r="X343">
        <f t="shared" ca="1" si="84"/>
        <v>15</v>
      </c>
      <c r="Z343" t="b">
        <f t="shared" ca="1" si="85"/>
        <v>0</v>
      </c>
      <c r="AA343" t="b">
        <f t="shared" ca="1" si="86"/>
        <v>0</v>
      </c>
      <c r="AI343">
        <v>2035</v>
      </c>
      <c r="AJ343">
        <v>3</v>
      </c>
      <c r="AK343">
        <v>14</v>
      </c>
      <c r="AL343" t="s">
        <v>45</v>
      </c>
      <c r="AM343" t="s">
        <v>161</v>
      </c>
      <c r="AN343" t="s">
        <v>1413</v>
      </c>
      <c r="AO343" s="1">
        <v>95</v>
      </c>
      <c r="AP343" t="s">
        <v>1524</v>
      </c>
    </row>
    <row r="344" spans="21:42" x14ac:dyDescent="0.25">
      <c r="U344" s="5">
        <f t="shared" ca="1" si="87"/>
        <v>46434.662929050923</v>
      </c>
      <c r="V344">
        <f t="shared" ca="1" si="82"/>
        <v>2027</v>
      </c>
      <c r="W344">
        <f t="shared" ca="1" si="83"/>
        <v>2</v>
      </c>
      <c r="X344">
        <f t="shared" ca="1" si="84"/>
        <v>16</v>
      </c>
      <c r="Z344" t="b">
        <f t="shared" ca="1" si="85"/>
        <v>0</v>
      </c>
      <c r="AA344" t="b">
        <f t="shared" ca="1" si="86"/>
        <v>0</v>
      </c>
      <c r="AI344">
        <v>2035</v>
      </c>
      <c r="AJ344">
        <v>3</v>
      </c>
      <c r="AK344">
        <v>21</v>
      </c>
      <c r="AL344" t="s">
        <v>56</v>
      </c>
      <c r="AM344" t="s">
        <v>184</v>
      </c>
      <c r="AN344" t="s">
        <v>84</v>
      </c>
      <c r="AO344" s="1">
        <v>73</v>
      </c>
      <c r="AP344" t="s">
        <v>123</v>
      </c>
    </row>
    <row r="345" spans="21:42" x14ac:dyDescent="0.25">
      <c r="U345" s="5">
        <f t="shared" ca="1" si="87"/>
        <v>46435.662929050923</v>
      </c>
      <c r="V345">
        <f t="shared" ca="1" si="82"/>
        <v>2027</v>
      </c>
      <c r="W345">
        <f t="shared" ca="1" si="83"/>
        <v>2</v>
      </c>
      <c r="X345">
        <f t="shared" ca="1" si="84"/>
        <v>17</v>
      </c>
      <c r="Z345" t="b">
        <f t="shared" ca="1" si="85"/>
        <v>0</v>
      </c>
      <c r="AA345" t="b">
        <f t="shared" ca="1" si="86"/>
        <v>0</v>
      </c>
      <c r="AI345">
        <v>2035</v>
      </c>
      <c r="AJ345">
        <v>3</v>
      </c>
      <c r="AK345">
        <v>23</v>
      </c>
      <c r="AL345" t="s">
        <v>54</v>
      </c>
      <c r="AM345" t="s">
        <v>181</v>
      </c>
      <c r="AN345" t="s">
        <v>83</v>
      </c>
      <c r="AO345" s="1">
        <v>204</v>
      </c>
      <c r="AP345" t="s">
        <v>28</v>
      </c>
    </row>
    <row r="346" spans="21:42" x14ac:dyDescent="0.25">
      <c r="U346" s="5">
        <f t="shared" ca="1" si="87"/>
        <v>46436.662929050923</v>
      </c>
      <c r="V346">
        <f t="shared" ca="1" si="82"/>
        <v>2027</v>
      </c>
      <c r="W346">
        <f t="shared" ca="1" si="83"/>
        <v>2</v>
      </c>
      <c r="X346">
        <f t="shared" ca="1" si="84"/>
        <v>18</v>
      </c>
      <c r="Z346" t="b">
        <f t="shared" ca="1" si="85"/>
        <v>0</v>
      </c>
      <c r="AA346" t="b">
        <f t="shared" ca="1" si="86"/>
        <v>0</v>
      </c>
      <c r="AI346">
        <v>2035</v>
      </c>
      <c r="AJ346">
        <v>3</v>
      </c>
      <c r="AK346">
        <v>25</v>
      </c>
      <c r="AL346" t="s">
        <v>58</v>
      </c>
      <c r="AM346" t="s">
        <v>158</v>
      </c>
      <c r="AN346" t="s">
        <v>261</v>
      </c>
      <c r="AO346" s="1">
        <v>75</v>
      </c>
      <c r="AP346" t="s">
        <v>12</v>
      </c>
    </row>
    <row r="347" spans="21:42" x14ac:dyDescent="0.25">
      <c r="U347" s="5">
        <f t="shared" ca="1" si="87"/>
        <v>46437.662929050923</v>
      </c>
      <c r="V347">
        <f t="shared" ca="1" si="82"/>
        <v>2027</v>
      </c>
      <c r="W347">
        <f t="shared" ca="1" si="83"/>
        <v>2</v>
      </c>
      <c r="X347">
        <f t="shared" ca="1" si="84"/>
        <v>19</v>
      </c>
      <c r="Z347" t="b">
        <f t="shared" ca="1" si="85"/>
        <v>0</v>
      </c>
      <c r="AA347" t="b">
        <f t="shared" ca="1" si="86"/>
        <v>0</v>
      </c>
      <c r="AI347">
        <v>2035</v>
      </c>
      <c r="AJ347">
        <v>3</v>
      </c>
      <c r="AK347">
        <v>26</v>
      </c>
      <c r="AL347" t="s">
        <v>58</v>
      </c>
      <c r="AM347" t="s">
        <v>198</v>
      </c>
      <c r="AN347" t="s">
        <v>265</v>
      </c>
      <c r="AO347" s="1">
        <v>365</v>
      </c>
      <c r="AP347" t="s">
        <v>1375</v>
      </c>
    </row>
    <row r="348" spans="21:42" x14ac:dyDescent="0.25">
      <c r="U348" s="5">
        <f t="shared" ca="1" si="87"/>
        <v>46438.662929050923</v>
      </c>
      <c r="V348">
        <f t="shared" ca="1" si="82"/>
        <v>2027</v>
      </c>
      <c r="W348">
        <f t="shared" ca="1" si="83"/>
        <v>2</v>
      </c>
      <c r="X348">
        <f t="shared" ca="1" si="84"/>
        <v>20</v>
      </c>
      <c r="Z348" t="b">
        <f t="shared" ca="1" si="85"/>
        <v>0</v>
      </c>
      <c r="AA348" t="b">
        <f t="shared" ca="1" si="86"/>
        <v>0</v>
      </c>
      <c r="AI348">
        <v>2035</v>
      </c>
      <c r="AJ348">
        <v>4</v>
      </c>
      <c r="AK348">
        <v>1</v>
      </c>
      <c r="AL348" t="s">
        <v>91</v>
      </c>
      <c r="AM348" t="s">
        <v>164</v>
      </c>
      <c r="AN348" t="s">
        <v>85</v>
      </c>
      <c r="AO348" s="1">
        <v>265</v>
      </c>
      <c r="AP348" t="s">
        <v>124</v>
      </c>
    </row>
    <row r="349" spans="21:42" x14ac:dyDescent="0.25">
      <c r="U349" s="5">
        <f t="shared" ca="1" si="87"/>
        <v>46439.662929050923</v>
      </c>
      <c r="V349">
        <f t="shared" ca="1" si="82"/>
        <v>2027</v>
      </c>
      <c r="W349">
        <f t="shared" ca="1" si="83"/>
        <v>2</v>
      </c>
      <c r="X349">
        <f t="shared" ca="1" si="84"/>
        <v>21</v>
      </c>
      <c r="Z349" t="b">
        <f t="shared" ca="1" si="85"/>
        <v>0</v>
      </c>
      <c r="AA349" t="b">
        <f t="shared" ca="1" si="86"/>
        <v>0</v>
      </c>
      <c r="AI349">
        <v>2035</v>
      </c>
      <c r="AJ349">
        <v>4</v>
      </c>
      <c r="AK349">
        <v>30</v>
      </c>
      <c r="AL349" t="s">
        <v>56</v>
      </c>
      <c r="AM349" t="s">
        <v>184</v>
      </c>
      <c r="AN349" t="s">
        <v>84</v>
      </c>
      <c r="AO349" s="1">
        <v>98</v>
      </c>
      <c r="AP349" t="s">
        <v>126</v>
      </c>
    </row>
    <row r="350" spans="21:42" x14ac:dyDescent="0.25">
      <c r="U350" s="5">
        <f t="shared" ca="1" si="87"/>
        <v>46440.662929050923</v>
      </c>
      <c r="V350">
        <f t="shared" ca="1" si="82"/>
        <v>2027</v>
      </c>
      <c r="W350">
        <f t="shared" ca="1" si="83"/>
        <v>2</v>
      </c>
      <c r="X350">
        <f t="shared" ca="1" si="84"/>
        <v>22</v>
      </c>
      <c r="Z350" t="b">
        <f t="shared" ca="1" si="85"/>
        <v>0</v>
      </c>
      <c r="AA350" t="b">
        <f t="shared" ca="1" si="86"/>
        <v>0</v>
      </c>
      <c r="AI350">
        <v>2035</v>
      </c>
      <c r="AJ350">
        <v>5</v>
      </c>
      <c r="AK350">
        <v>1</v>
      </c>
      <c r="AL350" t="s">
        <v>91</v>
      </c>
      <c r="AM350" t="s">
        <v>164</v>
      </c>
      <c r="AN350" t="s">
        <v>85</v>
      </c>
      <c r="AO350" s="1">
        <v>202</v>
      </c>
      <c r="AP350" t="s">
        <v>127</v>
      </c>
    </row>
    <row r="351" spans="21:42" x14ac:dyDescent="0.25">
      <c r="U351" s="5">
        <f t="shared" ca="1" si="87"/>
        <v>46441.662929050923</v>
      </c>
      <c r="V351">
        <f t="shared" ca="1" si="82"/>
        <v>2027</v>
      </c>
      <c r="W351">
        <f t="shared" ca="1" si="83"/>
        <v>2</v>
      </c>
      <c r="X351">
        <f t="shared" ca="1" si="84"/>
        <v>23</v>
      </c>
      <c r="Z351" t="b">
        <f t="shared" ca="1" si="85"/>
        <v>0</v>
      </c>
      <c r="AA351" t="b">
        <f t="shared" ca="1" si="86"/>
        <v>0</v>
      </c>
      <c r="AI351">
        <v>2035</v>
      </c>
      <c r="AJ351">
        <v>5</v>
      </c>
      <c r="AK351">
        <v>3</v>
      </c>
      <c r="AL351" t="s">
        <v>44</v>
      </c>
      <c r="AM351" t="s">
        <v>227</v>
      </c>
      <c r="AN351" t="s">
        <v>83</v>
      </c>
      <c r="AO351" s="1">
        <v>90</v>
      </c>
      <c r="AP351" t="s">
        <v>14</v>
      </c>
    </row>
    <row r="352" spans="21:42" x14ac:dyDescent="0.25">
      <c r="U352" s="5">
        <f t="shared" ca="1" si="87"/>
        <v>46442.662929050923</v>
      </c>
      <c r="V352">
        <f t="shared" ca="1" si="82"/>
        <v>2027</v>
      </c>
      <c r="W352">
        <f t="shared" ca="1" si="83"/>
        <v>2</v>
      </c>
      <c r="X352">
        <f t="shared" ca="1" si="84"/>
        <v>24</v>
      </c>
      <c r="Z352" t="b">
        <f t="shared" ca="1" si="85"/>
        <v>0</v>
      </c>
      <c r="AA352" t="b">
        <f t="shared" ca="1" si="86"/>
        <v>0</v>
      </c>
      <c r="AI352">
        <v>2035</v>
      </c>
      <c r="AJ352">
        <v>5</v>
      </c>
      <c r="AK352">
        <v>4</v>
      </c>
      <c r="AL352" t="s">
        <v>89</v>
      </c>
      <c r="AM352" t="s">
        <v>233</v>
      </c>
      <c r="AN352" t="s">
        <v>83</v>
      </c>
      <c r="AO352" s="1">
        <v>102</v>
      </c>
      <c r="AP352" t="s">
        <v>1364</v>
      </c>
    </row>
    <row r="353" spans="21:42" x14ac:dyDescent="0.25">
      <c r="U353" s="5">
        <f t="shared" ca="1" si="87"/>
        <v>46443.662929050923</v>
      </c>
      <c r="V353">
        <f t="shared" ca="1" si="82"/>
        <v>2027</v>
      </c>
      <c r="W353">
        <f t="shared" ca="1" si="83"/>
        <v>2</v>
      </c>
      <c r="X353">
        <f t="shared" ca="1" si="84"/>
        <v>25</v>
      </c>
      <c r="Z353" t="b">
        <f t="shared" ca="1" si="85"/>
        <v>0</v>
      </c>
      <c r="AA353" t="b">
        <f t="shared" ca="1" si="86"/>
        <v>0</v>
      </c>
      <c r="AI353">
        <v>2035</v>
      </c>
      <c r="AJ353">
        <v>5</v>
      </c>
      <c r="AK353">
        <v>5</v>
      </c>
      <c r="AL353" t="s">
        <v>93</v>
      </c>
      <c r="AM353" t="s">
        <v>152</v>
      </c>
      <c r="AN353" t="s">
        <v>84</v>
      </c>
      <c r="AO353" s="1">
        <v>64</v>
      </c>
      <c r="AP353" t="s">
        <v>107</v>
      </c>
    </row>
    <row r="354" spans="21:42" x14ac:dyDescent="0.25">
      <c r="U354" s="5">
        <f t="shared" ca="1" si="87"/>
        <v>46444.662929050923</v>
      </c>
      <c r="V354">
        <f t="shared" ca="1" si="82"/>
        <v>2027</v>
      </c>
      <c r="W354">
        <f t="shared" ca="1" si="83"/>
        <v>2</v>
      </c>
      <c r="X354">
        <f t="shared" ca="1" si="84"/>
        <v>26</v>
      </c>
      <c r="Z354" t="b">
        <f t="shared" ca="1" si="85"/>
        <v>0</v>
      </c>
      <c r="AA354" t="b">
        <f t="shared" ca="1" si="86"/>
        <v>0</v>
      </c>
      <c r="AI354">
        <v>2035</v>
      </c>
      <c r="AJ354">
        <v>5</v>
      </c>
      <c r="AK354">
        <v>10</v>
      </c>
      <c r="AL354" t="s">
        <v>56</v>
      </c>
      <c r="AM354" t="s">
        <v>184</v>
      </c>
      <c r="AN354" t="s">
        <v>84</v>
      </c>
      <c r="AO354" s="1">
        <v>73</v>
      </c>
      <c r="AP354" t="s">
        <v>128</v>
      </c>
    </row>
    <row r="355" spans="21:42" x14ac:dyDescent="0.25">
      <c r="U355" s="5">
        <f t="shared" ca="1" si="87"/>
        <v>46445.662929050923</v>
      </c>
      <c r="V355">
        <f t="shared" ca="1" si="82"/>
        <v>2027</v>
      </c>
      <c r="W355">
        <f t="shared" ca="1" si="83"/>
        <v>2</v>
      </c>
      <c r="X355">
        <f t="shared" ca="1" si="84"/>
        <v>27</v>
      </c>
      <c r="Z355" t="b">
        <f t="shared" ca="1" si="85"/>
        <v>0</v>
      </c>
      <c r="AA355" t="b">
        <f t="shared" ca="1" si="86"/>
        <v>0</v>
      </c>
      <c r="AI355">
        <v>2035</v>
      </c>
      <c r="AJ355">
        <v>5</v>
      </c>
      <c r="AK355">
        <v>13</v>
      </c>
      <c r="AL355" t="s">
        <v>49</v>
      </c>
      <c r="AM355" t="s">
        <v>167</v>
      </c>
      <c r="AN355" t="s">
        <v>85</v>
      </c>
      <c r="AO355" s="1">
        <v>119</v>
      </c>
      <c r="AP355" t="s">
        <v>142</v>
      </c>
    </row>
    <row r="356" spans="21:42" x14ac:dyDescent="0.25">
      <c r="U356" s="5">
        <f t="shared" ca="1" si="87"/>
        <v>46446.662929050923</v>
      </c>
      <c r="V356">
        <f t="shared" ca="1" si="82"/>
        <v>2027</v>
      </c>
      <c r="W356">
        <f t="shared" ca="1" si="83"/>
        <v>2</v>
      </c>
      <c r="X356">
        <f t="shared" ca="1" si="84"/>
        <v>28</v>
      </c>
      <c r="Z356" t="b">
        <f t="shared" ca="1" si="85"/>
        <v>0</v>
      </c>
      <c r="AA356" t="b">
        <f t="shared" ca="1" si="86"/>
        <v>0</v>
      </c>
      <c r="AI356">
        <v>2035</v>
      </c>
      <c r="AJ356">
        <v>5</v>
      </c>
      <c r="AK356">
        <v>14</v>
      </c>
      <c r="AL356" t="s">
        <v>49</v>
      </c>
      <c r="AM356" t="s">
        <v>167</v>
      </c>
      <c r="AN356" t="s">
        <v>85</v>
      </c>
      <c r="AO356" s="1">
        <v>235</v>
      </c>
      <c r="AP356" t="s">
        <v>1495</v>
      </c>
    </row>
    <row r="357" spans="21:42" x14ac:dyDescent="0.25">
      <c r="U357" s="5">
        <f t="shared" ca="1" si="87"/>
        <v>46447.662929050923</v>
      </c>
      <c r="V357">
        <f t="shared" ca="1" si="82"/>
        <v>2027</v>
      </c>
      <c r="W357">
        <f t="shared" ca="1" si="83"/>
        <v>3</v>
      </c>
      <c r="X357">
        <f t="shared" ca="1" si="84"/>
        <v>1</v>
      </c>
      <c r="Z357" t="b">
        <f t="shared" ca="1" si="85"/>
        <v>0</v>
      </c>
      <c r="AA357" t="b">
        <f t="shared" ca="1" si="86"/>
        <v>0</v>
      </c>
      <c r="AI357">
        <v>2035</v>
      </c>
      <c r="AJ357">
        <v>6</v>
      </c>
      <c r="AK357">
        <v>1</v>
      </c>
      <c r="AL357" t="s">
        <v>91</v>
      </c>
      <c r="AM357" t="s">
        <v>164</v>
      </c>
      <c r="AN357" t="s">
        <v>85</v>
      </c>
      <c r="AO357" s="1">
        <v>157</v>
      </c>
      <c r="AP357" t="s">
        <v>130</v>
      </c>
    </row>
    <row r="358" spans="21:42" x14ac:dyDescent="0.25">
      <c r="U358" s="5">
        <f t="shared" ca="1" si="87"/>
        <v>46448.662929050923</v>
      </c>
      <c r="V358">
        <f t="shared" ca="1" si="82"/>
        <v>2027</v>
      </c>
      <c r="W358">
        <f t="shared" ca="1" si="83"/>
        <v>3</v>
      </c>
      <c r="X358">
        <f t="shared" ca="1" si="84"/>
        <v>2</v>
      </c>
      <c r="Z358" t="b">
        <f t="shared" ca="1" si="85"/>
        <v>0</v>
      </c>
      <c r="AA358" t="b">
        <f t="shared" ca="1" si="86"/>
        <v>0</v>
      </c>
      <c r="AI358">
        <v>2035</v>
      </c>
      <c r="AJ358">
        <v>6</v>
      </c>
      <c r="AK358">
        <v>24</v>
      </c>
      <c r="AL358" t="s">
        <v>93</v>
      </c>
      <c r="AM358" t="s">
        <v>158</v>
      </c>
      <c r="AN358" t="s">
        <v>1412</v>
      </c>
      <c r="AO358" s="1">
        <v>61</v>
      </c>
      <c r="AP358" t="s">
        <v>1369</v>
      </c>
    </row>
    <row r="359" spans="21:42" x14ac:dyDescent="0.25">
      <c r="U359" s="5">
        <f t="shared" ca="1" si="87"/>
        <v>46449.662929050923</v>
      </c>
      <c r="V359">
        <f t="shared" ca="1" si="82"/>
        <v>2027</v>
      </c>
      <c r="W359">
        <f t="shared" ca="1" si="83"/>
        <v>3</v>
      </c>
      <c r="X359">
        <f t="shared" ca="1" si="84"/>
        <v>3</v>
      </c>
      <c r="Z359" t="b">
        <f t="shared" ca="1" si="85"/>
        <v>0</v>
      </c>
      <c r="AA359" t="b">
        <f t="shared" ca="1" si="86"/>
        <v>0</v>
      </c>
      <c r="AI359">
        <v>2035</v>
      </c>
      <c r="AJ359">
        <v>7</v>
      </c>
      <c r="AK359">
        <v>1</v>
      </c>
      <c r="AL359" t="s">
        <v>91</v>
      </c>
      <c r="AM359" t="s">
        <v>164</v>
      </c>
      <c r="AN359" t="s">
        <v>85</v>
      </c>
      <c r="AO359" s="1">
        <v>171</v>
      </c>
      <c r="AP359" t="s">
        <v>131</v>
      </c>
    </row>
    <row r="360" spans="21:42" x14ac:dyDescent="0.25">
      <c r="U360" s="5">
        <f t="shared" ca="1" si="87"/>
        <v>46450.662929050923</v>
      </c>
      <c r="V360">
        <f t="shared" ca="1" si="82"/>
        <v>2027</v>
      </c>
      <c r="W360">
        <f t="shared" ca="1" si="83"/>
        <v>3</v>
      </c>
      <c r="X360">
        <f t="shared" ca="1" si="84"/>
        <v>4</v>
      </c>
      <c r="Z360" t="b">
        <f t="shared" ca="1" si="85"/>
        <v>0</v>
      </c>
      <c r="AA360" t="b">
        <f t="shared" ca="1" si="86"/>
        <v>0</v>
      </c>
      <c r="AI360">
        <v>2035</v>
      </c>
      <c r="AJ360">
        <v>8</v>
      </c>
      <c r="AK360">
        <v>1</v>
      </c>
      <c r="AL360" t="s">
        <v>91</v>
      </c>
      <c r="AM360" t="s">
        <v>164</v>
      </c>
      <c r="AN360" t="s">
        <v>85</v>
      </c>
      <c r="AO360" s="1">
        <v>231</v>
      </c>
      <c r="AP360" t="s">
        <v>132</v>
      </c>
    </row>
    <row r="361" spans="21:42" x14ac:dyDescent="0.25">
      <c r="U361" s="5">
        <f t="shared" ca="1" si="87"/>
        <v>46451.662929050923</v>
      </c>
      <c r="V361">
        <f t="shared" ca="1" si="82"/>
        <v>2027</v>
      </c>
      <c r="W361">
        <f t="shared" ca="1" si="83"/>
        <v>3</v>
      </c>
      <c r="X361">
        <f t="shared" ca="1" si="84"/>
        <v>5</v>
      </c>
      <c r="Z361" t="b">
        <f t="shared" ca="1" si="85"/>
        <v>0</v>
      </c>
      <c r="AA361" t="b">
        <f t="shared" ca="1" si="86"/>
        <v>0</v>
      </c>
      <c r="AI361">
        <v>2035</v>
      </c>
      <c r="AJ361">
        <v>9</v>
      </c>
      <c r="AK361">
        <v>1</v>
      </c>
      <c r="AL361" t="s">
        <v>91</v>
      </c>
      <c r="AM361" t="s">
        <v>164</v>
      </c>
      <c r="AN361" t="s">
        <v>85</v>
      </c>
      <c r="AO361" s="1">
        <v>282</v>
      </c>
      <c r="AP361" t="s">
        <v>133</v>
      </c>
    </row>
    <row r="362" spans="21:42" x14ac:dyDescent="0.25">
      <c r="U362" s="5">
        <f t="shared" ca="1" si="87"/>
        <v>46452.662929050923</v>
      </c>
      <c r="V362">
        <f t="shared" ca="1" si="82"/>
        <v>2027</v>
      </c>
      <c r="W362">
        <f t="shared" ca="1" si="83"/>
        <v>3</v>
      </c>
      <c r="X362">
        <f t="shared" ca="1" si="84"/>
        <v>6</v>
      </c>
      <c r="Z362" t="b">
        <f t="shared" ca="1" si="85"/>
        <v>0</v>
      </c>
      <c r="AA362" t="b">
        <f t="shared" ca="1" si="86"/>
        <v>0</v>
      </c>
      <c r="AI362">
        <v>2035</v>
      </c>
      <c r="AJ362">
        <v>10</v>
      </c>
      <c r="AK362">
        <v>1</v>
      </c>
      <c r="AL362" t="s">
        <v>91</v>
      </c>
      <c r="AM362" t="s">
        <v>164</v>
      </c>
      <c r="AN362" t="s">
        <v>85</v>
      </c>
      <c r="AO362" s="1">
        <v>277</v>
      </c>
      <c r="AP362" t="s">
        <v>134</v>
      </c>
    </row>
    <row r="363" spans="21:42" x14ac:dyDescent="0.25">
      <c r="U363" s="5">
        <f t="shared" ca="1" si="87"/>
        <v>46453.662929050923</v>
      </c>
      <c r="V363">
        <f t="shared" ca="1" si="82"/>
        <v>2027</v>
      </c>
      <c r="W363">
        <f t="shared" ca="1" si="83"/>
        <v>3</v>
      </c>
      <c r="X363">
        <f t="shared" ca="1" si="84"/>
        <v>7</v>
      </c>
      <c r="Z363" t="b">
        <f t="shared" ca="1" si="85"/>
        <v>0</v>
      </c>
      <c r="AA363" t="b">
        <f t="shared" ca="1" si="86"/>
        <v>0</v>
      </c>
      <c r="AI363">
        <v>2035</v>
      </c>
      <c r="AJ363">
        <v>10</v>
      </c>
      <c r="AK363">
        <v>8</v>
      </c>
      <c r="AL363" t="s">
        <v>56</v>
      </c>
      <c r="AM363" t="s">
        <v>184</v>
      </c>
      <c r="AN363" t="s">
        <v>84</v>
      </c>
      <c r="AO363" s="1">
        <v>105</v>
      </c>
      <c r="AP363" t="s">
        <v>135</v>
      </c>
    </row>
    <row r="364" spans="21:42" x14ac:dyDescent="0.25">
      <c r="U364" s="5">
        <f t="shared" ca="1" si="87"/>
        <v>46454.662929050923</v>
      </c>
      <c r="V364">
        <f t="shared" ca="1" si="82"/>
        <v>2027</v>
      </c>
      <c r="W364">
        <f t="shared" ca="1" si="83"/>
        <v>3</v>
      </c>
      <c r="X364">
        <f t="shared" ca="1" si="84"/>
        <v>8</v>
      </c>
      <c r="Z364" t="b">
        <f t="shared" ca="1" si="85"/>
        <v>0</v>
      </c>
      <c r="AA364" t="b">
        <f t="shared" ca="1" si="86"/>
        <v>0</v>
      </c>
      <c r="AI364">
        <v>2035</v>
      </c>
      <c r="AJ364">
        <v>11</v>
      </c>
      <c r="AK364">
        <v>1</v>
      </c>
      <c r="AL364" t="s">
        <v>91</v>
      </c>
      <c r="AM364" t="s">
        <v>164</v>
      </c>
      <c r="AN364" t="s">
        <v>85</v>
      </c>
      <c r="AO364" s="1">
        <v>221</v>
      </c>
      <c r="AP364" t="s">
        <v>136</v>
      </c>
    </row>
    <row r="365" spans="21:42" x14ac:dyDescent="0.25">
      <c r="U365" s="5">
        <f t="shared" ca="1" si="87"/>
        <v>46455.662929050923</v>
      </c>
      <c r="V365">
        <f t="shared" ca="1" si="82"/>
        <v>2027</v>
      </c>
      <c r="W365">
        <f t="shared" ca="1" si="83"/>
        <v>3</v>
      </c>
      <c r="X365">
        <f t="shared" ca="1" si="84"/>
        <v>9</v>
      </c>
      <c r="Z365" t="b">
        <f t="shared" ca="1" si="85"/>
        <v>0</v>
      </c>
      <c r="AA365" t="b">
        <f t="shared" ca="1" si="86"/>
        <v>0</v>
      </c>
      <c r="AI365">
        <v>2035</v>
      </c>
      <c r="AJ365">
        <v>12</v>
      </c>
      <c r="AK365">
        <v>1</v>
      </c>
      <c r="AL365" t="s">
        <v>91</v>
      </c>
      <c r="AM365" t="s">
        <v>164</v>
      </c>
      <c r="AN365" t="s">
        <v>85</v>
      </c>
      <c r="AO365" s="1">
        <v>165</v>
      </c>
      <c r="AP365" t="s">
        <v>137</v>
      </c>
    </row>
    <row r="366" spans="21:42" x14ac:dyDescent="0.25">
      <c r="U366" s="5">
        <f t="shared" ca="1" si="87"/>
        <v>46456.662929050923</v>
      </c>
      <c r="V366">
        <f t="shared" ca="1" si="82"/>
        <v>2027</v>
      </c>
      <c r="W366">
        <f t="shared" ca="1" si="83"/>
        <v>3</v>
      </c>
      <c r="X366">
        <f t="shared" ca="1" si="84"/>
        <v>10</v>
      </c>
      <c r="Z366" t="b">
        <f t="shared" ca="1" si="85"/>
        <v>0</v>
      </c>
      <c r="AA366" t="b">
        <f t="shared" ca="1" si="86"/>
        <v>0</v>
      </c>
      <c r="AI366">
        <v>2035</v>
      </c>
      <c r="AJ366">
        <v>12</v>
      </c>
      <c r="AK366">
        <v>5</v>
      </c>
      <c r="AL366" t="s">
        <v>53</v>
      </c>
      <c r="AM366" t="s">
        <v>224</v>
      </c>
      <c r="AN366" t="s">
        <v>258</v>
      </c>
      <c r="AO366" s="1">
        <v>113</v>
      </c>
      <c r="AP366" t="s">
        <v>1234</v>
      </c>
    </row>
    <row r="367" spans="21:42" x14ac:dyDescent="0.25">
      <c r="U367" s="5">
        <f t="shared" ca="1" si="87"/>
        <v>46457.662929050923</v>
      </c>
      <c r="V367">
        <f t="shared" ca="1" si="82"/>
        <v>2027</v>
      </c>
      <c r="W367">
        <f t="shared" ca="1" si="83"/>
        <v>3</v>
      </c>
      <c r="X367">
        <f t="shared" ca="1" si="84"/>
        <v>11</v>
      </c>
      <c r="Z367" t="b">
        <f t="shared" ca="1" si="85"/>
        <v>0</v>
      </c>
      <c r="AA367" t="b">
        <f t="shared" ca="1" si="86"/>
        <v>0</v>
      </c>
      <c r="AI367">
        <v>2035</v>
      </c>
      <c r="AJ367">
        <v>12</v>
      </c>
      <c r="AK367">
        <v>13</v>
      </c>
      <c r="AL367" t="s">
        <v>56</v>
      </c>
      <c r="AM367" t="s">
        <v>184</v>
      </c>
      <c r="AN367" t="s">
        <v>84</v>
      </c>
      <c r="AO367" s="1">
        <v>114</v>
      </c>
      <c r="AP367" t="s">
        <v>138</v>
      </c>
    </row>
    <row r="368" spans="21:42" x14ac:dyDescent="0.25">
      <c r="U368" s="5">
        <f t="shared" ca="1" si="87"/>
        <v>46458.662929050923</v>
      </c>
      <c r="V368">
        <f t="shared" ca="1" si="82"/>
        <v>2027</v>
      </c>
      <c r="W368">
        <f t="shared" ca="1" si="83"/>
        <v>3</v>
      </c>
      <c r="X368">
        <f t="shared" ca="1" si="84"/>
        <v>12</v>
      </c>
      <c r="Z368" t="b">
        <f t="shared" ca="1" si="85"/>
        <v>0</v>
      </c>
      <c r="AA368" t="b">
        <f t="shared" ca="1" si="86"/>
        <v>0</v>
      </c>
      <c r="AI368">
        <v>2035</v>
      </c>
      <c r="AJ368">
        <v>12</v>
      </c>
      <c r="AK368">
        <v>25</v>
      </c>
      <c r="AL368" t="s">
        <v>43</v>
      </c>
      <c r="AM368" t="s">
        <v>230</v>
      </c>
      <c r="AN368" t="s">
        <v>1411</v>
      </c>
      <c r="AO368" s="1">
        <v>95</v>
      </c>
      <c r="AP368" t="s">
        <v>7</v>
      </c>
    </row>
    <row r="369" spans="35:42" x14ac:dyDescent="0.25">
      <c r="AI369">
        <v>2035</v>
      </c>
      <c r="AJ369">
        <v>12</v>
      </c>
      <c r="AK369">
        <v>26</v>
      </c>
      <c r="AL369" t="s">
        <v>43</v>
      </c>
      <c r="AM369" t="s">
        <v>201</v>
      </c>
      <c r="AN369" t="s">
        <v>86</v>
      </c>
      <c r="AO369" s="1">
        <v>108</v>
      </c>
      <c r="AP369" t="s">
        <v>78</v>
      </c>
    </row>
    <row r="370" spans="35:42" x14ac:dyDescent="0.25">
      <c r="AI370">
        <v>2035</v>
      </c>
      <c r="AJ370">
        <v>12</v>
      </c>
      <c r="AK370">
        <v>28</v>
      </c>
      <c r="AL370" t="s">
        <v>52</v>
      </c>
      <c r="AM370" t="s">
        <v>245</v>
      </c>
      <c r="AN370" t="s">
        <v>1411</v>
      </c>
      <c r="AO370" s="1">
        <v>77</v>
      </c>
      <c r="AP370" t="s">
        <v>1367</v>
      </c>
    </row>
    <row r="371" spans="35:42" x14ac:dyDescent="0.25">
      <c r="AI371">
        <v>2036</v>
      </c>
      <c r="AJ371">
        <v>1</v>
      </c>
      <c r="AK371">
        <v>1</v>
      </c>
      <c r="AL371" t="s">
        <v>93</v>
      </c>
      <c r="AM371" t="s">
        <v>256</v>
      </c>
      <c r="AN371" t="s">
        <v>83</v>
      </c>
      <c r="AO371" s="1">
        <v>77</v>
      </c>
      <c r="AP371" t="s">
        <v>8</v>
      </c>
    </row>
    <row r="372" spans="35:42" x14ac:dyDescent="0.25">
      <c r="AI372">
        <v>2036</v>
      </c>
      <c r="AJ372">
        <v>2</v>
      </c>
      <c r="AK372">
        <v>1</v>
      </c>
      <c r="AL372" t="s">
        <v>91</v>
      </c>
      <c r="AM372" t="s">
        <v>164</v>
      </c>
      <c r="AN372" t="s">
        <v>85</v>
      </c>
      <c r="AO372" s="1">
        <v>249</v>
      </c>
      <c r="AP372" t="s">
        <v>1487</v>
      </c>
    </row>
    <row r="373" spans="35:42" x14ac:dyDescent="0.25">
      <c r="AI373">
        <v>2036</v>
      </c>
      <c r="AJ373">
        <v>2</v>
      </c>
      <c r="AK373">
        <v>14</v>
      </c>
      <c r="AL373" t="s">
        <v>93</v>
      </c>
      <c r="AM373" t="s">
        <v>1392</v>
      </c>
      <c r="AN373" t="s">
        <v>258</v>
      </c>
      <c r="AO373" s="1">
        <v>70</v>
      </c>
      <c r="AP373" t="s">
        <v>1371</v>
      </c>
    </row>
    <row r="374" spans="35:42" x14ac:dyDescent="0.25">
      <c r="AI374">
        <v>2036</v>
      </c>
      <c r="AJ374">
        <v>2</v>
      </c>
      <c r="AK374">
        <v>24</v>
      </c>
      <c r="AL374" t="s">
        <v>93</v>
      </c>
      <c r="AM374" t="s">
        <v>164</v>
      </c>
      <c r="AN374" t="s">
        <v>84</v>
      </c>
      <c r="AO374" s="1">
        <v>79</v>
      </c>
      <c r="AP374" t="s">
        <v>1496</v>
      </c>
    </row>
    <row r="375" spans="35:42" x14ac:dyDescent="0.25">
      <c r="AI375">
        <v>2036</v>
      </c>
      <c r="AJ375">
        <v>2</v>
      </c>
      <c r="AK375">
        <v>24</v>
      </c>
      <c r="AL375" t="s">
        <v>93</v>
      </c>
      <c r="AM375" t="s">
        <v>164</v>
      </c>
      <c r="AN375" t="s">
        <v>84</v>
      </c>
      <c r="AO375" s="1">
        <v>112</v>
      </c>
      <c r="AP375" t="s">
        <v>1492</v>
      </c>
    </row>
    <row r="376" spans="35:42" x14ac:dyDescent="0.25">
      <c r="AI376">
        <v>2036</v>
      </c>
      <c r="AJ376">
        <v>2</v>
      </c>
      <c r="AK376">
        <v>25</v>
      </c>
      <c r="AL376" t="s">
        <v>93</v>
      </c>
      <c r="AM376" t="s">
        <v>164</v>
      </c>
      <c r="AN376" t="s">
        <v>84</v>
      </c>
      <c r="AO376" s="1">
        <v>131</v>
      </c>
      <c r="AP376" t="s">
        <v>1497</v>
      </c>
    </row>
    <row r="377" spans="35:42" x14ac:dyDescent="0.25">
      <c r="AI377">
        <v>2036</v>
      </c>
      <c r="AJ377">
        <v>2</v>
      </c>
      <c r="AK377">
        <v>27</v>
      </c>
      <c r="AL377" t="s">
        <v>89</v>
      </c>
      <c r="AM377" t="s">
        <v>204</v>
      </c>
      <c r="AN377" t="s">
        <v>86</v>
      </c>
      <c r="AO377" s="1">
        <v>198</v>
      </c>
      <c r="AP377" t="s">
        <v>139</v>
      </c>
    </row>
    <row r="378" spans="35:42" x14ac:dyDescent="0.25">
      <c r="AI378">
        <v>2036</v>
      </c>
      <c r="AJ378">
        <v>3</v>
      </c>
      <c r="AK378">
        <v>1</v>
      </c>
      <c r="AL378" t="s">
        <v>91</v>
      </c>
      <c r="AM378" t="s">
        <v>164</v>
      </c>
      <c r="AN378" t="s">
        <v>85</v>
      </c>
      <c r="AO378" s="1">
        <v>287</v>
      </c>
      <c r="AP378" t="s">
        <v>122</v>
      </c>
    </row>
    <row r="379" spans="35:42" x14ac:dyDescent="0.25">
      <c r="AI379">
        <v>2036</v>
      </c>
      <c r="AJ379">
        <v>3</v>
      </c>
      <c r="AK379">
        <v>14</v>
      </c>
      <c r="AL379" t="s">
        <v>45</v>
      </c>
      <c r="AM379" t="s">
        <v>161</v>
      </c>
      <c r="AN379" t="s">
        <v>1413</v>
      </c>
      <c r="AO379" s="1">
        <v>95</v>
      </c>
      <c r="AP379" t="s">
        <v>1524</v>
      </c>
    </row>
    <row r="380" spans="35:42" x14ac:dyDescent="0.25">
      <c r="AI380">
        <v>2036</v>
      </c>
      <c r="AJ380">
        <v>3</v>
      </c>
      <c r="AK380">
        <v>21</v>
      </c>
      <c r="AL380" t="s">
        <v>56</v>
      </c>
      <c r="AM380" t="s">
        <v>184</v>
      </c>
      <c r="AN380" t="s">
        <v>84</v>
      </c>
      <c r="AO380" s="1">
        <v>73</v>
      </c>
      <c r="AP380" t="s">
        <v>123</v>
      </c>
    </row>
    <row r="381" spans="35:42" x14ac:dyDescent="0.25">
      <c r="AI381">
        <v>2036</v>
      </c>
      <c r="AJ381">
        <v>4</v>
      </c>
      <c r="AK381">
        <v>1</v>
      </c>
      <c r="AL381" t="s">
        <v>91</v>
      </c>
      <c r="AM381" t="s">
        <v>164</v>
      </c>
      <c r="AN381" t="s">
        <v>85</v>
      </c>
      <c r="AO381" s="1">
        <v>265</v>
      </c>
      <c r="AP381" t="s">
        <v>124</v>
      </c>
    </row>
    <row r="382" spans="35:42" x14ac:dyDescent="0.25">
      <c r="AI382">
        <v>2036</v>
      </c>
      <c r="AJ382">
        <v>4</v>
      </c>
      <c r="AK382">
        <v>11</v>
      </c>
      <c r="AL382" t="s">
        <v>54</v>
      </c>
      <c r="AM382" t="s">
        <v>181</v>
      </c>
      <c r="AN382" t="s">
        <v>83</v>
      </c>
      <c r="AO382" s="1">
        <v>248</v>
      </c>
      <c r="AP382" t="s">
        <v>28</v>
      </c>
    </row>
    <row r="383" spans="35:42" x14ac:dyDescent="0.25">
      <c r="AI383">
        <v>2036</v>
      </c>
      <c r="AJ383">
        <v>4</v>
      </c>
      <c r="AK383">
        <v>13</v>
      </c>
      <c r="AL383" t="s">
        <v>58</v>
      </c>
      <c r="AM383" t="s">
        <v>158</v>
      </c>
      <c r="AN383" t="s">
        <v>261</v>
      </c>
      <c r="AO383" s="1">
        <v>64</v>
      </c>
      <c r="AP383" t="s">
        <v>12</v>
      </c>
    </row>
    <row r="384" spans="35:42" x14ac:dyDescent="0.25">
      <c r="AI384">
        <v>2036</v>
      </c>
      <c r="AJ384">
        <v>4</v>
      </c>
      <c r="AK384">
        <v>14</v>
      </c>
      <c r="AL384" t="s">
        <v>58</v>
      </c>
      <c r="AM384" t="s">
        <v>198</v>
      </c>
      <c r="AN384" t="s">
        <v>265</v>
      </c>
      <c r="AO384" s="1">
        <v>366</v>
      </c>
      <c r="AP384" t="s">
        <v>1375</v>
      </c>
    </row>
    <row r="385" spans="35:42" x14ac:dyDescent="0.25">
      <c r="AI385">
        <v>2036</v>
      </c>
      <c r="AJ385">
        <v>4</v>
      </c>
      <c r="AK385">
        <v>30</v>
      </c>
      <c r="AL385" t="s">
        <v>56</v>
      </c>
      <c r="AM385" t="s">
        <v>184</v>
      </c>
      <c r="AN385" t="s">
        <v>84</v>
      </c>
      <c r="AO385" s="1">
        <v>98</v>
      </c>
      <c r="AP385" t="s">
        <v>126</v>
      </c>
    </row>
    <row r="386" spans="35:42" x14ac:dyDescent="0.25">
      <c r="AI386">
        <v>2036</v>
      </c>
      <c r="AJ386">
        <v>5</v>
      </c>
      <c r="AK386">
        <v>1</v>
      </c>
      <c r="AL386" t="s">
        <v>91</v>
      </c>
      <c r="AM386" t="s">
        <v>164</v>
      </c>
      <c r="AN386" t="s">
        <v>85</v>
      </c>
      <c r="AO386" s="1">
        <v>202</v>
      </c>
      <c r="AP386" t="s">
        <v>127</v>
      </c>
    </row>
    <row r="387" spans="35:42" x14ac:dyDescent="0.25">
      <c r="AI387">
        <v>2036</v>
      </c>
      <c r="AJ387">
        <v>5</v>
      </c>
      <c r="AK387">
        <v>4</v>
      </c>
      <c r="AL387" t="s">
        <v>89</v>
      </c>
      <c r="AM387" t="s">
        <v>233</v>
      </c>
      <c r="AN387" t="s">
        <v>83</v>
      </c>
      <c r="AO387" s="1">
        <v>102</v>
      </c>
      <c r="AP387" t="s">
        <v>1364</v>
      </c>
    </row>
    <row r="388" spans="35:42" x14ac:dyDescent="0.25">
      <c r="AI388">
        <v>2036</v>
      </c>
      <c r="AJ388">
        <v>5</v>
      </c>
      <c r="AK388">
        <v>5</v>
      </c>
      <c r="AL388" t="s">
        <v>93</v>
      </c>
      <c r="AM388" t="s">
        <v>152</v>
      </c>
      <c r="AN388" t="s">
        <v>84</v>
      </c>
      <c r="AO388" s="1">
        <v>64</v>
      </c>
      <c r="AP388" t="s">
        <v>107</v>
      </c>
    </row>
    <row r="389" spans="35:42" x14ac:dyDescent="0.25">
      <c r="AI389">
        <v>2036</v>
      </c>
      <c r="AJ389">
        <v>5</v>
      </c>
      <c r="AK389">
        <v>10</v>
      </c>
      <c r="AL389" t="s">
        <v>56</v>
      </c>
      <c r="AM389" t="s">
        <v>184</v>
      </c>
      <c r="AN389" t="s">
        <v>84</v>
      </c>
      <c r="AO389" s="1">
        <v>73</v>
      </c>
      <c r="AP389" t="s">
        <v>128</v>
      </c>
    </row>
    <row r="390" spans="35:42" x14ac:dyDescent="0.25">
      <c r="AI390">
        <v>2036</v>
      </c>
      <c r="AJ390">
        <v>5</v>
      </c>
      <c r="AK390">
        <v>22</v>
      </c>
      <c r="AL390" t="s">
        <v>44</v>
      </c>
      <c r="AM390" t="s">
        <v>227</v>
      </c>
      <c r="AN390" t="s">
        <v>83</v>
      </c>
      <c r="AO390" s="1">
        <v>92</v>
      </c>
      <c r="AP390" t="s">
        <v>14</v>
      </c>
    </row>
    <row r="391" spans="35:42" x14ac:dyDescent="0.25">
      <c r="AI391">
        <v>2036</v>
      </c>
      <c r="AJ391">
        <v>6</v>
      </c>
      <c r="AK391">
        <v>1</v>
      </c>
      <c r="AL391" t="s">
        <v>49</v>
      </c>
      <c r="AM391" t="s">
        <v>167</v>
      </c>
      <c r="AN391" t="s">
        <v>85</v>
      </c>
      <c r="AO391" s="1">
        <v>142</v>
      </c>
      <c r="AP391" t="s">
        <v>144</v>
      </c>
    </row>
    <row r="392" spans="35:42" x14ac:dyDescent="0.25">
      <c r="AI392">
        <v>2036</v>
      </c>
      <c r="AJ392">
        <v>6</v>
      </c>
      <c r="AK392">
        <v>1</v>
      </c>
      <c r="AL392" t="s">
        <v>91</v>
      </c>
      <c r="AM392" t="s">
        <v>164</v>
      </c>
      <c r="AN392" t="s">
        <v>85</v>
      </c>
      <c r="AO392" s="1">
        <v>157</v>
      </c>
      <c r="AP392" t="s">
        <v>130</v>
      </c>
    </row>
    <row r="393" spans="35:42" x14ac:dyDescent="0.25">
      <c r="AI393">
        <v>2036</v>
      </c>
      <c r="AJ393">
        <v>6</v>
      </c>
      <c r="AK393">
        <v>2</v>
      </c>
      <c r="AL393" t="s">
        <v>49</v>
      </c>
      <c r="AM393" t="s">
        <v>167</v>
      </c>
      <c r="AN393" t="s">
        <v>85</v>
      </c>
      <c r="AO393" s="1">
        <v>253</v>
      </c>
      <c r="AP393" t="s">
        <v>1498</v>
      </c>
    </row>
    <row r="394" spans="35:42" x14ac:dyDescent="0.25">
      <c r="AI394">
        <v>2036</v>
      </c>
      <c r="AJ394">
        <v>6</v>
      </c>
      <c r="AK394">
        <v>24</v>
      </c>
      <c r="AL394" t="s">
        <v>93</v>
      </c>
      <c r="AM394" t="s">
        <v>158</v>
      </c>
      <c r="AN394" t="s">
        <v>1412</v>
      </c>
      <c r="AO394" s="1">
        <v>61</v>
      </c>
      <c r="AP394" t="s">
        <v>1369</v>
      </c>
    </row>
    <row r="395" spans="35:42" x14ac:dyDescent="0.25">
      <c r="AI395">
        <v>2036</v>
      </c>
      <c r="AJ395">
        <v>7</v>
      </c>
      <c r="AK395">
        <v>1</v>
      </c>
      <c r="AL395" t="s">
        <v>91</v>
      </c>
      <c r="AM395" t="s">
        <v>164</v>
      </c>
      <c r="AN395" t="s">
        <v>85</v>
      </c>
      <c r="AO395" s="1">
        <v>171</v>
      </c>
      <c r="AP395" t="s">
        <v>131</v>
      </c>
    </row>
    <row r="396" spans="35:42" x14ac:dyDescent="0.25">
      <c r="AI396">
        <v>2036</v>
      </c>
      <c r="AJ396">
        <v>8</v>
      </c>
      <c r="AK396">
        <v>1</v>
      </c>
      <c r="AL396" t="s">
        <v>91</v>
      </c>
      <c r="AM396" t="s">
        <v>164</v>
      </c>
      <c r="AN396" t="s">
        <v>85</v>
      </c>
      <c r="AO396" s="1">
        <v>231</v>
      </c>
      <c r="AP396" t="s">
        <v>132</v>
      </c>
    </row>
    <row r="397" spans="35:42" x14ac:dyDescent="0.25">
      <c r="AI397">
        <v>2036</v>
      </c>
      <c r="AJ397">
        <v>9</v>
      </c>
      <c r="AK397">
        <v>1</v>
      </c>
      <c r="AL397" t="s">
        <v>91</v>
      </c>
      <c r="AM397" t="s">
        <v>164</v>
      </c>
      <c r="AN397" t="s">
        <v>85</v>
      </c>
      <c r="AO397" s="1">
        <v>282</v>
      </c>
      <c r="AP397" t="s">
        <v>133</v>
      </c>
    </row>
    <row r="398" spans="35:42" x14ac:dyDescent="0.25">
      <c r="AI398">
        <v>2036</v>
      </c>
      <c r="AJ398">
        <v>10</v>
      </c>
      <c r="AK398">
        <v>1</v>
      </c>
      <c r="AL398" t="s">
        <v>91</v>
      </c>
      <c r="AM398" t="s">
        <v>164</v>
      </c>
      <c r="AN398" t="s">
        <v>85</v>
      </c>
      <c r="AO398" s="1">
        <v>277</v>
      </c>
      <c r="AP398" t="s">
        <v>134</v>
      </c>
    </row>
    <row r="399" spans="35:42" x14ac:dyDescent="0.25">
      <c r="AI399">
        <v>2036</v>
      </c>
      <c r="AJ399">
        <v>10</v>
      </c>
      <c r="AK399">
        <v>8</v>
      </c>
      <c r="AL399" t="s">
        <v>56</v>
      </c>
      <c r="AM399" t="s">
        <v>184</v>
      </c>
      <c r="AN399" t="s">
        <v>84</v>
      </c>
      <c r="AO399" s="1">
        <v>105</v>
      </c>
      <c r="AP399" t="s">
        <v>135</v>
      </c>
    </row>
    <row r="400" spans="35:42" x14ac:dyDescent="0.25">
      <c r="AI400">
        <v>2036</v>
      </c>
      <c r="AJ400">
        <v>11</v>
      </c>
      <c r="AK400">
        <v>1</v>
      </c>
      <c r="AL400" t="s">
        <v>91</v>
      </c>
      <c r="AM400" t="s">
        <v>164</v>
      </c>
      <c r="AN400" t="s">
        <v>85</v>
      </c>
      <c r="AO400" s="1">
        <v>221</v>
      </c>
      <c r="AP400" t="s">
        <v>136</v>
      </c>
    </row>
    <row r="401" spans="35:42" x14ac:dyDescent="0.25">
      <c r="AI401">
        <v>2036</v>
      </c>
      <c r="AJ401">
        <v>12</v>
      </c>
      <c r="AK401">
        <v>1</v>
      </c>
      <c r="AL401" t="s">
        <v>91</v>
      </c>
      <c r="AM401" t="s">
        <v>164</v>
      </c>
      <c r="AN401" t="s">
        <v>85</v>
      </c>
      <c r="AO401" s="1">
        <v>165</v>
      </c>
      <c r="AP401" t="s">
        <v>137</v>
      </c>
    </row>
    <row r="402" spans="35:42" x14ac:dyDescent="0.25">
      <c r="AI402">
        <v>2036</v>
      </c>
      <c r="AJ402">
        <v>12</v>
      </c>
      <c r="AK402">
        <v>5</v>
      </c>
      <c r="AL402" t="s">
        <v>53</v>
      </c>
      <c r="AM402" t="s">
        <v>224</v>
      </c>
      <c r="AN402" t="s">
        <v>258</v>
      </c>
      <c r="AO402" s="1">
        <v>113</v>
      </c>
      <c r="AP402" t="s">
        <v>1234</v>
      </c>
    </row>
    <row r="403" spans="35:42" x14ac:dyDescent="0.25">
      <c r="AI403">
        <v>2036</v>
      </c>
      <c r="AJ403">
        <v>12</v>
      </c>
      <c r="AK403">
        <v>13</v>
      </c>
      <c r="AL403" t="s">
        <v>56</v>
      </c>
      <c r="AM403" t="s">
        <v>184</v>
      </c>
      <c r="AN403" t="s">
        <v>84</v>
      </c>
      <c r="AO403" s="1">
        <v>114</v>
      </c>
      <c r="AP403" t="s">
        <v>138</v>
      </c>
    </row>
    <row r="404" spans="35:42" x14ac:dyDescent="0.25">
      <c r="AI404">
        <v>2036</v>
      </c>
      <c r="AJ404">
        <v>12</v>
      </c>
      <c r="AK404">
        <v>25</v>
      </c>
      <c r="AL404" t="s">
        <v>43</v>
      </c>
      <c r="AM404" t="s">
        <v>230</v>
      </c>
      <c r="AN404" t="s">
        <v>1411</v>
      </c>
      <c r="AO404" s="1">
        <v>95</v>
      </c>
      <c r="AP404" t="s">
        <v>7</v>
      </c>
    </row>
    <row r="405" spans="35:42" x14ac:dyDescent="0.25">
      <c r="AI405">
        <v>2036</v>
      </c>
      <c r="AJ405">
        <v>12</v>
      </c>
      <c r="AK405">
        <v>26</v>
      </c>
      <c r="AL405" t="s">
        <v>43</v>
      </c>
      <c r="AM405" t="s">
        <v>201</v>
      </c>
      <c r="AN405" t="s">
        <v>86</v>
      </c>
      <c r="AO405" s="1">
        <v>108</v>
      </c>
      <c r="AP405" t="s">
        <v>78</v>
      </c>
    </row>
    <row r="406" spans="35:42" x14ac:dyDescent="0.25">
      <c r="AI406">
        <v>2036</v>
      </c>
      <c r="AJ406">
        <v>12</v>
      </c>
      <c r="AK406">
        <v>28</v>
      </c>
      <c r="AL406" t="s">
        <v>52</v>
      </c>
      <c r="AM406" t="s">
        <v>245</v>
      </c>
      <c r="AN406" t="s">
        <v>1411</v>
      </c>
      <c r="AO406" s="1">
        <v>77</v>
      </c>
      <c r="AP406" t="s">
        <v>1367</v>
      </c>
    </row>
    <row r="407" spans="35:42" x14ac:dyDescent="0.25">
      <c r="AI407">
        <v>2037</v>
      </c>
      <c r="AJ407">
        <v>1</v>
      </c>
      <c r="AK407">
        <v>1</v>
      </c>
      <c r="AL407" t="s">
        <v>93</v>
      </c>
      <c r="AM407" t="s">
        <v>256</v>
      </c>
      <c r="AN407" t="s">
        <v>83</v>
      </c>
      <c r="AO407" s="1">
        <v>77</v>
      </c>
      <c r="AP407" t="s">
        <v>8</v>
      </c>
    </row>
    <row r="408" spans="35:42" x14ac:dyDescent="0.25">
      <c r="AI408">
        <v>2037</v>
      </c>
      <c r="AJ408">
        <v>2</v>
      </c>
      <c r="AK408">
        <v>1</v>
      </c>
      <c r="AL408" t="s">
        <v>91</v>
      </c>
      <c r="AM408" t="s">
        <v>164</v>
      </c>
      <c r="AN408" t="s">
        <v>85</v>
      </c>
      <c r="AO408" s="1">
        <v>249</v>
      </c>
      <c r="AP408" t="s">
        <v>1487</v>
      </c>
    </row>
    <row r="409" spans="35:42" x14ac:dyDescent="0.25">
      <c r="AI409">
        <v>2037</v>
      </c>
      <c r="AJ409">
        <v>2</v>
      </c>
      <c r="AK409">
        <v>14</v>
      </c>
      <c r="AL409" t="s">
        <v>93</v>
      </c>
      <c r="AM409" t="s">
        <v>1392</v>
      </c>
      <c r="AN409" t="s">
        <v>258</v>
      </c>
      <c r="AO409" s="1">
        <v>70</v>
      </c>
      <c r="AP409" t="s">
        <v>1371</v>
      </c>
    </row>
    <row r="410" spans="35:42" x14ac:dyDescent="0.25">
      <c r="AI410">
        <v>2037</v>
      </c>
      <c r="AJ410">
        <v>2</v>
      </c>
      <c r="AK410">
        <v>15</v>
      </c>
      <c r="AL410" t="s">
        <v>93</v>
      </c>
      <c r="AM410" t="s">
        <v>164</v>
      </c>
      <c r="AN410" t="s">
        <v>84</v>
      </c>
      <c r="AO410" s="1">
        <v>118</v>
      </c>
      <c r="AP410" t="s">
        <v>1496</v>
      </c>
    </row>
    <row r="411" spans="35:42" x14ac:dyDescent="0.25">
      <c r="AI411">
        <v>2037</v>
      </c>
      <c r="AJ411">
        <v>2</v>
      </c>
      <c r="AK411">
        <v>15</v>
      </c>
      <c r="AL411" t="s">
        <v>93</v>
      </c>
      <c r="AM411" t="s">
        <v>164</v>
      </c>
      <c r="AN411" t="s">
        <v>84</v>
      </c>
      <c r="AO411" s="1">
        <v>91</v>
      </c>
      <c r="AP411" t="s">
        <v>1499</v>
      </c>
    </row>
    <row r="412" spans="35:42" x14ac:dyDescent="0.25">
      <c r="AI412">
        <v>2037</v>
      </c>
      <c r="AJ412">
        <v>2</v>
      </c>
      <c r="AK412">
        <v>16</v>
      </c>
      <c r="AL412" t="s">
        <v>93</v>
      </c>
      <c r="AM412" t="s">
        <v>164</v>
      </c>
      <c r="AN412" t="s">
        <v>84</v>
      </c>
      <c r="AO412" s="1">
        <v>129</v>
      </c>
      <c r="AP412" t="s">
        <v>1500</v>
      </c>
    </row>
    <row r="413" spans="35:42" x14ac:dyDescent="0.25">
      <c r="AI413">
        <v>2037</v>
      </c>
      <c r="AJ413">
        <v>2</v>
      </c>
      <c r="AK413">
        <v>18</v>
      </c>
      <c r="AL413" t="s">
        <v>89</v>
      </c>
      <c r="AM413" t="s">
        <v>204</v>
      </c>
      <c r="AN413" t="s">
        <v>86</v>
      </c>
      <c r="AO413" s="1">
        <v>241</v>
      </c>
      <c r="AP413" t="s">
        <v>143</v>
      </c>
    </row>
    <row r="414" spans="35:42" x14ac:dyDescent="0.25">
      <c r="AI414">
        <v>2037</v>
      </c>
      <c r="AJ414">
        <v>3</v>
      </c>
      <c r="AK414">
        <v>1</v>
      </c>
      <c r="AL414" t="s">
        <v>91</v>
      </c>
      <c r="AM414" t="s">
        <v>164</v>
      </c>
      <c r="AN414" t="s">
        <v>85</v>
      </c>
      <c r="AO414" s="1">
        <v>287</v>
      </c>
      <c r="AP414" t="s">
        <v>122</v>
      </c>
    </row>
    <row r="415" spans="35:42" x14ac:dyDescent="0.25">
      <c r="AI415">
        <v>2037</v>
      </c>
      <c r="AJ415">
        <v>3</v>
      </c>
      <c r="AK415">
        <v>14</v>
      </c>
      <c r="AL415" t="s">
        <v>45</v>
      </c>
      <c r="AM415" t="s">
        <v>161</v>
      </c>
      <c r="AN415" t="s">
        <v>1413</v>
      </c>
      <c r="AO415" s="1">
        <v>95</v>
      </c>
      <c r="AP415" t="s">
        <v>1524</v>
      </c>
    </row>
    <row r="416" spans="35:42" x14ac:dyDescent="0.25">
      <c r="AI416">
        <v>2037</v>
      </c>
      <c r="AJ416">
        <v>3</v>
      </c>
      <c r="AK416">
        <v>21</v>
      </c>
      <c r="AL416" t="s">
        <v>56</v>
      </c>
      <c r="AM416" t="s">
        <v>184</v>
      </c>
      <c r="AN416" t="s">
        <v>84</v>
      </c>
      <c r="AO416" s="1">
        <v>73</v>
      </c>
      <c r="AP416" t="s">
        <v>123</v>
      </c>
    </row>
    <row r="417" spans="35:42" x14ac:dyDescent="0.25">
      <c r="AI417">
        <v>2037</v>
      </c>
      <c r="AJ417">
        <v>4</v>
      </c>
      <c r="AK417">
        <v>1</v>
      </c>
      <c r="AL417" t="s">
        <v>91</v>
      </c>
      <c r="AM417" t="s">
        <v>164</v>
      </c>
      <c r="AN417" t="s">
        <v>85</v>
      </c>
      <c r="AO417" s="1">
        <v>265</v>
      </c>
      <c r="AP417" t="s">
        <v>124</v>
      </c>
    </row>
    <row r="418" spans="35:42" x14ac:dyDescent="0.25">
      <c r="AI418">
        <v>2037</v>
      </c>
      <c r="AJ418">
        <v>4</v>
      </c>
      <c r="AK418">
        <v>3</v>
      </c>
      <c r="AL418" t="s">
        <v>54</v>
      </c>
      <c r="AM418" t="s">
        <v>181</v>
      </c>
      <c r="AN418" t="s">
        <v>83</v>
      </c>
      <c r="AO418" s="1">
        <v>279</v>
      </c>
      <c r="AP418" t="s">
        <v>28</v>
      </c>
    </row>
    <row r="419" spans="35:42" x14ac:dyDescent="0.25">
      <c r="AI419">
        <v>2037</v>
      </c>
      <c r="AJ419">
        <v>4</v>
      </c>
      <c r="AK419">
        <v>5</v>
      </c>
      <c r="AL419" t="s">
        <v>58</v>
      </c>
      <c r="AM419" t="s">
        <v>158</v>
      </c>
      <c r="AN419" t="s">
        <v>261</v>
      </c>
      <c r="AO419" s="1">
        <v>67</v>
      </c>
      <c r="AP419" t="s">
        <v>12</v>
      </c>
    </row>
    <row r="420" spans="35:42" x14ac:dyDescent="0.25">
      <c r="AI420">
        <v>2037</v>
      </c>
      <c r="AJ420">
        <v>4</v>
      </c>
      <c r="AK420">
        <v>6</v>
      </c>
      <c r="AL420" t="s">
        <v>58</v>
      </c>
      <c r="AM420" t="s">
        <v>198</v>
      </c>
      <c r="AN420" t="s">
        <v>265</v>
      </c>
      <c r="AO420" s="1">
        <v>316</v>
      </c>
      <c r="AP420" t="s">
        <v>1375</v>
      </c>
    </row>
    <row r="421" spans="35:42" x14ac:dyDescent="0.25">
      <c r="AI421">
        <v>2037</v>
      </c>
      <c r="AJ421">
        <v>4</v>
      </c>
      <c r="AK421">
        <v>30</v>
      </c>
      <c r="AL421" t="s">
        <v>56</v>
      </c>
      <c r="AM421" t="s">
        <v>184</v>
      </c>
      <c r="AN421" t="s">
        <v>84</v>
      </c>
      <c r="AO421" s="1">
        <v>98</v>
      </c>
      <c r="AP421" t="s">
        <v>126</v>
      </c>
    </row>
    <row r="422" spans="35:42" x14ac:dyDescent="0.25">
      <c r="AI422">
        <v>2037</v>
      </c>
      <c r="AJ422">
        <v>5</v>
      </c>
      <c r="AK422">
        <v>1</v>
      </c>
      <c r="AL422" t="s">
        <v>91</v>
      </c>
      <c r="AM422" t="s">
        <v>164</v>
      </c>
      <c r="AN422" t="s">
        <v>85</v>
      </c>
      <c r="AO422" s="1">
        <v>202</v>
      </c>
      <c r="AP422" t="s">
        <v>127</v>
      </c>
    </row>
    <row r="423" spans="35:42" x14ac:dyDescent="0.25">
      <c r="AI423">
        <v>2037</v>
      </c>
      <c r="AJ423">
        <v>5</v>
      </c>
      <c r="AK423">
        <v>4</v>
      </c>
      <c r="AL423" t="s">
        <v>89</v>
      </c>
      <c r="AM423" t="s">
        <v>233</v>
      </c>
      <c r="AN423" t="s">
        <v>83</v>
      </c>
      <c r="AO423" s="1">
        <v>102</v>
      </c>
      <c r="AP423" t="s">
        <v>1364</v>
      </c>
    </row>
    <row r="424" spans="35:42" x14ac:dyDescent="0.25">
      <c r="AI424">
        <v>2037</v>
      </c>
      <c r="AJ424">
        <v>5</v>
      </c>
      <c r="AK424">
        <v>5</v>
      </c>
      <c r="AL424" t="s">
        <v>93</v>
      </c>
      <c r="AM424" t="s">
        <v>152</v>
      </c>
      <c r="AN424" t="s">
        <v>84</v>
      </c>
      <c r="AO424" s="1">
        <v>64</v>
      </c>
      <c r="AP424" t="s">
        <v>107</v>
      </c>
    </row>
    <row r="425" spans="35:42" x14ac:dyDescent="0.25">
      <c r="AI425">
        <v>2037</v>
      </c>
      <c r="AJ425">
        <v>5</v>
      </c>
      <c r="AK425">
        <v>10</v>
      </c>
      <c r="AL425" t="s">
        <v>56</v>
      </c>
      <c r="AM425" t="s">
        <v>184</v>
      </c>
      <c r="AN425" t="s">
        <v>84</v>
      </c>
      <c r="AO425" s="1">
        <v>73</v>
      </c>
      <c r="AP425" t="s">
        <v>128</v>
      </c>
    </row>
    <row r="426" spans="35:42" x14ac:dyDescent="0.25">
      <c r="AI426">
        <v>2037</v>
      </c>
      <c r="AJ426">
        <v>5</v>
      </c>
      <c r="AK426">
        <v>14</v>
      </c>
      <c r="AL426" t="s">
        <v>44</v>
      </c>
      <c r="AM426" t="s">
        <v>227</v>
      </c>
      <c r="AN426" t="s">
        <v>83</v>
      </c>
      <c r="AO426" s="1">
        <v>111</v>
      </c>
      <c r="AP426" t="s">
        <v>14</v>
      </c>
    </row>
    <row r="427" spans="35:42" x14ac:dyDescent="0.25">
      <c r="AI427">
        <v>2037</v>
      </c>
      <c r="AJ427">
        <v>5</v>
      </c>
      <c r="AK427">
        <v>24</v>
      </c>
      <c r="AL427" t="s">
        <v>49</v>
      </c>
      <c r="AM427" t="s">
        <v>167</v>
      </c>
      <c r="AN427" t="s">
        <v>85</v>
      </c>
      <c r="AO427" s="1">
        <v>168</v>
      </c>
      <c r="AP427" t="s">
        <v>24</v>
      </c>
    </row>
    <row r="428" spans="35:42" x14ac:dyDescent="0.25">
      <c r="AI428">
        <v>2037</v>
      </c>
      <c r="AJ428">
        <v>5</v>
      </c>
      <c r="AK428">
        <v>25</v>
      </c>
      <c r="AL428" t="s">
        <v>49</v>
      </c>
      <c r="AM428" t="s">
        <v>167</v>
      </c>
      <c r="AN428" t="s">
        <v>85</v>
      </c>
      <c r="AO428" s="1">
        <v>232</v>
      </c>
      <c r="AP428" t="s">
        <v>1391</v>
      </c>
    </row>
    <row r="429" spans="35:42" x14ac:dyDescent="0.25">
      <c r="AI429">
        <v>2037</v>
      </c>
      <c r="AJ429">
        <v>6</v>
      </c>
      <c r="AK429">
        <v>1</v>
      </c>
      <c r="AL429" t="s">
        <v>91</v>
      </c>
      <c r="AM429" t="s">
        <v>164</v>
      </c>
      <c r="AN429" t="s">
        <v>85</v>
      </c>
      <c r="AO429" s="1">
        <v>157</v>
      </c>
      <c r="AP429" t="s">
        <v>130</v>
      </c>
    </row>
    <row r="430" spans="35:42" x14ac:dyDescent="0.25">
      <c r="AI430">
        <v>2037</v>
      </c>
      <c r="AJ430">
        <v>6</v>
      </c>
      <c r="AK430">
        <v>24</v>
      </c>
      <c r="AL430" t="s">
        <v>93</v>
      </c>
      <c r="AM430" t="s">
        <v>158</v>
      </c>
      <c r="AN430" t="s">
        <v>1412</v>
      </c>
      <c r="AO430" s="1">
        <v>61</v>
      </c>
      <c r="AP430" t="s">
        <v>1369</v>
      </c>
    </row>
    <row r="431" spans="35:42" x14ac:dyDescent="0.25">
      <c r="AI431">
        <v>2037</v>
      </c>
      <c r="AJ431">
        <v>7</v>
      </c>
      <c r="AK431">
        <v>1</v>
      </c>
      <c r="AL431" t="s">
        <v>91</v>
      </c>
      <c r="AM431" t="s">
        <v>164</v>
      </c>
      <c r="AN431" t="s">
        <v>85</v>
      </c>
      <c r="AO431" s="1">
        <v>171</v>
      </c>
      <c r="AP431" t="s">
        <v>131</v>
      </c>
    </row>
    <row r="432" spans="35:42" x14ac:dyDescent="0.25">
      <c r="AI432">
        <v>2037</v>
      </c>
      <c r="AJ432">
        <v>8</v>
      </c>
      <c r="AK432">
        <v>1</v>
      </c>
      <c r="AL432" t="s">
        <v>91</v>
      </c>
      <c r="AM432" t="s">
        <v>164</v>
      </c>
      <c r="AN432" t="s">
        <v>85</v>
      </c>
      <c r="AO432" s="1">
        <v>231</v>
      </c>
      <c r="AP432" t="s">
        <v>132</v>
      </c>
    </row>
    <row r="433" spans="35:42" x14ac:dyDescent="0.25">
      <c r="AI433">
        <v>2037</v>
      </c>
      <c r="AJ433">
        <v>9</v>
      </c>
      <c r="AK433">
        <v>1</v>
      </c>
      <c r="AL433" t="s">
        <v>91</v>
      </c>
      <c r="AM433" t="s">
        <v>164</v>
      </c>
      <c r="AN433" t="s">
        <v>85</v>
      </c>
      <c r="AO433" s="1">
        <v>282</v>
      </c>
      <c r="AP433" t="s">
        <v>133</v>
      </c>
    </row>
    <row r="434" spans="35:42" x14ac:dyDescent="0.25">
      <c r="AI434">
        <v>2037</v>
      </c>
      <c r="AJ434">
        <v>10</v>
      </c>
      <c r="AK434">
        <v>1</v>
      </c>
      <c r="AL434" t="s">
        <v>91</v>
      </c>
      <c r="AM434" t="s">
        <v>164</v>
      </c>
      <c r="AN434" t="s">
        <v>85</v>
      </c>
      <c r="AO434" s="1">
        <v>277</v>
      </c>
      <c r="AP434" t="s">
        <v>134</v>
      </c>
    </row>
    <row r="435" spans="35:42" x14ac:dyDescent="0.25">
      <c r="AI435">
        <v>2037</v>
      </c>
      <c r="AJ435">
        <v>10</v>
      </c>
      <c r="AK435">
        <v>8</v>
      </c>
      <c r="AL435" t="s">
        <v>56</v>
      </c>
      <c r="AM435" t="s">
        <v>184</v>
      </c>
      <c r="AN435" t="s">
        <v>84</v>
      </c>
      <c r="AO435" s="1">
        <v>105</v>
      </c>
      <c r="AP435" t="s">
        <v>135</v>
      </c>
    </row>
    <row r="436" spans="35:42" x14ac:dyDescent="0.25">
      <c r="AI436">
        <v>2037</v>
      </c>
      <c r="AJ436">
        <v>11</v>
      </c>
      <c r="AK436">
        <v>1</v>
      </c>
      <c r="AL436" t="s">
        <v>91</v>
      </c>
      <c r="AM436" t="s">
        <v>164</v>
      </c>
      <c r="AN436" t="s">
        <v>85</v>
      </c>
      <c r="AO436" s="1">
        <v>221</v>
      </c>
      <c r="AP436" t="s">
        <v>136</v>
      </c>
    </row>
    <row r="437" spans="35:42" x14ac:dyDescent="0.25">
      <c r="AI437">
        <v>2037</v>
      </c>
      <c r="AJ437">
        <v>12</v>
      </c>
      <c r="AK437">
        <v>1</v>
      </c>
      <c r="AL437" t="s">
        <v>91</v>
      </c>
      <c r="AM437" t="s">
        <v>164</v>
      </c>
      <c r="AN437" t="s">
        <v>85</v>
      </c>
      <c r="AO437" s="1">
        <v>165</v>
      </c>
      <c r="AP437" t="s">
        <v>137</v>
      </c>
    </row>
    <row r="438" spans="35:42" x14ac:dyDescent="0.25">
      <c r="AI438">
        <v>2037</v>
      </c>
      <c r="AJ438">
        <v>12</v>
      </c>
      <c r="AK438">
        <v>5</v>
      </c>
      <c r="AL438" t="s">
        <v>53</v>
      </c>
      <c r="AM438" t="s">
        <v>224</v>
      </c>
      <c r="AN438" t="s">
        <v>258</v>
      </c>
      <c r="AO438" s="1">
        <v>113</v>
      </c>
      <c r="AP438" t="s">
        <v>1234</v>
      </c>
    </row>
    <row r="439" spans="35:42" x14ac:dyDescent="0.25">
      <c r="AI439">
        <v>2037</v>
      </c>
      <c r="AJ439">
        <v>12</v>
      </c>
      <c r="AK439">
        <v>13</v>
      </c>
      <c r="AL439" t="s">
        <v>56</v>
      </c>
      <c r="AM439" t="s">
        <v>184</v>
      </c>
      <c r="AN439" t="s">
        <v>84</v>
      </c>
      <c r="AO439" s="1">
        <v>114</v>
      </c>
      <c r="AP439" t="s">
        <v>138</v>
      </c>
    </row>
    <row r="440" spans="35:42" x14ac:dyDescent="0.25">
      <c r="AI440">
        <v>2037</v>
      </c>
      <c r="AJ440">
        <v>12</v>
      </c>
      <c r="AK440">
        <v>25</v>
      </c>
      <c r="AL440" t="s">
        <v>43</v>
      </c>
      <c r="AM440" t="s">
        <v>230</v>
      </c>
      <c r="AN440" t="s">
        <v>1411</v>
      </c>
      <c r="AO440" s="1">
        <v>95</v>
      </c>
      <c r="AP440" t="s">
        <v>7</v>
      </c>
    </row>
    <row r="441" spans="35:42" x14ac:dyDescent="0.25">
      <c r="AI441">
        <v>2037</v>
      </c>
      <c r="AJ441">
        <v>12</v>
      </c>
      <c r="AK441">
        <v>26</v>
      </c>
      <c r="AL441" t="s">
        <v>43</v>
      </c>
      <c r="AM441" t="s">
        <v>201</v>
      </c>
      <c r="AN441" t="s">
        <v>86</v>
      </c>
      <c r="AO441" s="1">
        <v>108</v>
      </c>
      <c r="AP441" t="s">
        <v>78</v>
      </c>
    </row>
    <row r="442" spans="35:42" x14ac:dyDescent="0.25">
      <c r="AI442">
        <v>2037</v>
      </c>
      <c r="AJ442">
        <v>12</v>
      </c>
      <c r="AK442">
        <v>28</v>
      </c>
      <c r="AL442" t="s">
        <v>52</v>
      </c>
      <c r="AM442" t="s">
        <v>245</v>
      </c>
      <c r="AN442" t="s">
        <v>1411</v>
      </c>
      <c r="AO442" s="1">
        <v>77</v>
      </c>
      <c r="AP442" t="s">
        <v>1367</v>
      </c>
    </row>
    <row r="443" spans="35:42" x14ac:dyDescent="0.25">
      <c r="AI443">
        <v>2038</v>
      </c>
      <c r="AJ443">
        <v>1</v>
      </c>
      <c r="AK443">
        <v>1</v>
      </c>
      <c r="AL443" t="s">
        <v>93</v>
      </c>
      <c r="AM443" t="s">
        <v>256</v>
      </c>
      <c r="AN443" t="s">
        <v>83</v>
      </c>
      <c r="AO443" s="1">
        <v>77</v>
      </c>
      <c r="AP443" t="s">
        <v>8</v>
      </c>
    </row>
    <row r="444" spans="35:42" x14ac:dyDescent="0.25">
      <c r="AI444">
        <v>2038</v>
      </c>
      <c r="AJ444">
        <v>2</v>
      </c>
      <c r="AK444">
        <v>1</v>
      </c>
      <c r="AL444" t="s">
        <v>91</v>
      </c>
      <c r="AM444" t="s">
        <v>164</v>
      </c>
      <c r="AN444" t="s">
        <v>85</v>
      </c>
      <c r="AO444" s="1">
        <v>249</v>
      </c>
      <c r="AP444" t="s">
        <v>1487</v>
      </c>
    </row>
    <row r="445" spans="35:42" x14ac:dyDescent="0.25">
      <c r="AI445">
        <v>2038</v>
      </c>
      <c r="AJ445">
        <v>2</v>
      </c>
      <c r="AK445">
        <v>14</v>
      </c>
      <c r="AL445" t="s">
        <v>93</v>
      </c>
      <c r="AM445" t="s">
        <v>1392</v>
      </c>
      <c r="AN445" t="s">
        <v>258</v>
      </c>
      <c r="AO445" s="1">
        <v>70</v>
      </c>
      <c r="AP445" t="s">
        <v>1371</v>
      </c>
    </row>
    <row r="446" spans="35:42" x14ac:dyDescent="0.25">
      <c r="AI446">
        <v>2038</v>
      </c>
      <c r="AJ446">
        <v>3</v>
      </c>
      <c r="AK446">
        <v>1</v>
      </c>
      <c r="AL446" t="s">
        <v>91</v>
      </c>
      <c r="AM446" t="s">
        <v>164</v>
      </c>
      <c r="AN446" t="s">
        <v>85</v>
      </c>
      <c r="AO446" s="1">
        <v>287</v>
      </c>
      <c r="AP446" t="s">
        <v>122</v>
      </c>
    </row>
    <row r="447" spans="35:42" x14ac:dyDescent="0.25">
      <c r="AI447">
        <v>2038</v>
      </c>
      <c r="AJ447">
        <v>3</v>
      </c>
      <c r="AK447">
        <v>7</v>
      </c>
      <c r="AL447" t="s">
        <v>93</v>
      </c>
      <c r="AM447" t="s">
        <v>164</v>
      </c>
      <c r="AN447" t="s">
        <v>84</v>
      </c>
      <c r="AO447" s="1">
        <v>106</v>
      </c>
      <c r="AP447" t="s">
        <v>1499</v>
      </c>
    </row>
    <row r="448" spans="35:42" x14ac:dyDescent="0.25">
      <c r="AI448">
        <v>2038</v>
      </c>
      <c r="AJ448">
        <v>3</v>
      </c>
      <c r="AK448">
        <v>7</v>
      </c>
      <c r="AL448" t="s">
        <v>93</v>
      </c>
      <c r="AM448" t="s">
        <v>164</v>
      </c>
      <c r="AN448" t="s">
        <v>84</v>
      </c>
      <c r="AO448" s="1">
        <v>109</v>
      </c>
      <c r="AP448" t="s">
        <v>1488</v>
      </c>
    </row>
    <row r="449" spans="35:42" x14ac:dyDescent="0.25">
      <c r="AI449">
        <v>2038</v>
      </c>
      <c r="AJ449">
        <v>3</v>
      </c>
      <c r="AK449">
        <v>8</v>
      </c>
      <c r="AL449" t="s">
        <v>93</v>
      </c>
      <c r="AM449" t="s">
        <v>164</v>
      </c>
      <c r="AN449" t="s">
        <v>84</v>
      </c>
      <c r="AO449" s="1">
        <v>110</v>
      </c>
      <c r="AP449" t="s">
        <v>1501</v>
      </c>
    </row>
    <row r="450" spans="35:42" x14ac:dyDescent="0.25">
      <c r="AI450">
        <v>2038</v>
      </c>
      <c r="AJ450">
        <v>3</v>
      </c>
      <c r="AK450">
        <v>10</v>
      </c>
      <c r="AL450" t="s">
        <v>89</v>
      </c>
      <c r="AM450" t="s">
        <v>204</v>
      </c>
      <c r="AN450" t="s">
        <v>86</v>
      </c>
      <c r="AO450" s="1">
        <v>266</v>
      </c>
      <c r="AP450" t="s">
        <v>121</v>
      </c>
    </row>
    <row r="451" spans="35:42" x14ac:dyDescent="0.25">
      <c r="AI451">
        <v>2038</v>
      </c>
      <c r="AJ451">
        <v>3</v>
      </c>
      <c r="AK451">
        <v>14</v>
      </c>
      <c r="AL451" t="s">
        <v>45</v>
      </c>
      <c r="AM451" t="s">
        <v>161</v>
      </c>
      <c r="AN451" t="s">
        <v>1413</v>
      </c>
      <c r="AO451" s="1">
        <v>95</v>
      </c>
      <c r="AP451" t="s">
        <v>1524</v>
      </c>
    </row>
    <row r="452" spans="35:42" x14ac:dyDescent="0.25">
      <c r="AI452">
        <v>2038</v>
      </c>
      <c r="AJ452">
        <v>3</v>
      </c>
      <c r="AK452">
        <v>21</v>
      </c>
      <c r="AL452" t="s">
        <v>56</v>
      </c>
      <c r="AM452" t="s">
        <v>184</v>
      </c>
      <c r="AN452" t="s">
        <v>84</v>
      </c>
      <c r="AO452" s="1">
        <v>73</v>
      </c>
      <c r="AP452" t="s">
        <v>123</v>
      </c>
    </row>
    <row r="453" spans="35:42" x14ac:dyDescent="0.25">
      <c r="AI453">
        <v>2038</v>
      </c>
      <c r="AJ453">
        <v>4</v>
      </c>
      <c r="AK453">
        <v>1</v>
      </c>
      <c r="AL453" t="s">
        <v>91</v>
      </c>
      <c r="AM453" t="s">
        <v>164</v>
      </c>
      <c r="AN453" t="s">
        <v>85</v>
      </c>
      <c r="AO453" s="1">
        <v>265</v>
      </c>
      <c r="AP453" t="s">
        <v>124</v>
      </c>
    </row>
    <row r="454" spans="35:42" x14ac:dyDescent="0.25">
      <c r="AI454">
        <v>2038</v>
      </c>
      <c r="AJ454">
        <v>4</v>
      </c>
      <c r="AK454">
        <v>23</v>
      </c>
      <c r="AL454" t="s">
        <v>54</v>
      </c>
      <c r="AM454" t="s">
        <v>181</v>
      </c>
      <c r="AN454" t="s">
        <v>83</v>
      </c>
      <c r="AO454" s="1">
        <v>268</v>
      </c>
      <c r="AP454" t="s">
        <v>28</v>
      </c>
    </row>
    <row r="455" spans="35:42" x14ac:dyDescent="0.25">
      <c r="AI455">
        <v>2038</v>
      </c>
      <c r="AJ455">
        <v>4</v>
      </c>
      <c r="AK455">
        <v>25</v>
      </c>
      <c r="AL455" t="s">
        <v>58</v>
      </c>
      <c r="AM455" t="s">
        <v>158</v>
      </c>
      <c r="AN455" t="s">
        <v>261</v>
      </c>
      <c r="AO455" s="1">
        <v>82</v>
      </c>
      <c r="AP455" t="s">
        <v>12</v>
      </c>
    </row>
    <row r="456" spans="35:42" x14ac:dyDescent="0.25">
      <c r="AI456">
        <v>2038</v>
      </c>
      <c r="AJ456">
        <v>4</v>
      </c>
      <c r="AK456">
        <v>26</v>
      </c>
      <c r="AL456" t="s">
        <v>58</v>
      </c>
      <c r="AM456" t="s">
        <v>198</v>
      </c>
      <c r="AN456" t="s">
        <v>265</v>
      </c>
      <c r="AO456" s="1">
        <v>261</v>
      </c>
      <c r="AP456" t="s">
        <v>1375</v>
      </c>
    </row>
    <row r="457" spans="35:42" x14ac:dyDescent="0.25">
      <c r="AI457">
        <v>2038</v>
      </c>
      <c r="AJ457">
        <v>4</v>
      </c>
      <c r="AK457">
        <v>30</v>
      </c>
      <c r="AL457" t="s">
        <v>56</v>
      </c>
      <c r="AM457" t="s">
        <v>184</v>
      </c>
      <c r="AN457" t="s">
        <v>84</v>
      </c>
      <c r="AO457" s="1">
        <v>98</v>
      </c>
      <c r="AP457" t="s">
        <v>126</v>
      </c>
    </row>
    <row r="458" spans="35:42" x14ac:dyDescent="0.25">
      <c r="AI458">
        <v>2038</v>
      </c>
      <c r="AJ458">
        <v>5</v>
      </c>
      <c r="AK458">
        <v>1</v>
      </c>
      <c r="AL458" t="s">
        <v>91</v>
      </c>
      <c r="AM458" t="s">
        <v>164</v>
      </c>
      <c r="AN458" t="s">
        <v>85</v>
      </c>
      <c r="AO458" s="1">
        <v>202</v>
      </c>
      <c r="AP458" t="s">
        <v>127</v>
      </c>
    </row>
    <row r="459" spans="35:42" x14ac:dyDescent="0.25">
      <c r="AI459">
        <v>2038</v>
      </c>
      <c r="AJ459">
        <v>5</v>
      </c>
      <c r="AK459">
        <v>4</v>
      </c>
      <c r="AL459" t="s">
        <v>89</v>
      </c>
      <c r="AM459" t="s">
        <v>233</v>
      </c>
      <c r="AN459" t="s">
        <v>83</v>
      </c>
      <c r="AO459" s="1">
        <v>102</v>
      </c>
      <c r="AP459" t="s">
        <v>1364</v>
      </c>
    </row>
    <row r="460" spans="35:42" x14ac:dyDescent="0.25">
      <c r="AI460">
        <v>2038</v>
      </c>
      <c r="AJ460">
        <v>5</v>
      </c>
      <c r="AK460">
        <v>5</v>
      </c>
      <c r="AL460" t="s">
        <v>93</v>
      </c>
      <c r="AM460" t="s">
        <v>152</v>
      </c>
      <c r="AN460" t="s">
        <v>84</v>
      </c>
      <c r="AO460" s="1">
        <v>64</v>
      </c>
      <c r="AP460" t="s">
        <v>107</v>
      </c>
    </row>
    <row r="461" spans="35:42" x14ac:dyDescent="0.25">
      <c r="AI461">
        <v>2038</v>
      </c>
      <c r="AJ461">
        <v>5</v>
      </c>
      <c r="AK461">
        <v>10</v>
      </c>
      <c r="AL461" t="s">
        <v>56</v>
      </c>
      <c r="AM461" t="s">
        <v>184</v>
      </c>
      <c r="AN461" t="s">
        <v>84</v>
      </c>
      <c r="AO461" s="1">
        <v>73</v>
      </c>
      <c r="AP461" t="s">
        <v>128</v>
      </c>
    </row>
    <row r="462" spans="35:42" x14ac:dyDescent="0.25">
      <c r="AI462">
        <v>2038</v>
      </c>
      <c r="AJ462">
        <v>6</v>
      </c>
      <c r="AK462">
        <v>1</v>
      </c>
      <c r="AL462" t="s">
        <v>91</v>
      </c>
      <c r="AM462" t="s">
        <v>164</v>
      </c>
      <c r="AN462" t="s">
        <v>85</v>
      </c>
      <c r="AO462" s="1">
        <v>157</v>
      </c>
      <c r="AP462" t="s">
        <v>130</v>
      </c>
    </row>
    <row r="463" spans="35:42" x14ac:dyDescent="0.25">
      <c r="AI463">
        <v>2038</v>
      </c>
      <c r="AJ463">
        <v>6</v>
      </c>
      <c r="AK463">
        <v>3</v>
      </c>
      <c r="AL463" t="s">
        <v>44</v>
      </c>
      <c r="AM463" t="s">
        <v>227</v>
      </c>
      <c r="AN463" t="s">
        <v>83</v>
      </c>
      <c r="AO463" s="1">
        <v>129</v>
      </c>
      <c r="AP463" t="s">
        <v>14</v>
      </c>
    </row>
    <row r="464" spans="35:42" x14ac:dyDescent="0.25">
      <c r="AI464">
        <v>2038</v>
      </c>
      <c r="AJ464">
        <v>6</v>
      </c>
      <c r="AK464">
        <v>13</v>
      </c>
      <c r="AL464" t="s">
        <v>49</v>
      </c>
      <c r="AM464" t="s">
        <v>167</v>
      </c>
      <c r="AN464" t="s">
        <v>85</v>
      </c>
      <c r="AO464" s="1">
        <v>173</v>
      </c>
      <c r="AP464" t="s">
        <v>129</v>
      </c>
    </row>
    <row r="465" spans="35:42" x14ac:dyDescent="0.25">
      <c r="AI465">
        <v>2038</v>
      </c>
      <c r="AJ465">
        <v>6</v>
      </c>
      <c r="AK465">
        <v>14</v>
      </c>
      <c r="AL465" t="s">
        <v>49</v>
      </c>
      <c r="AM465" t="s">
        <v>167</v>
      </c>
      <c r="AN465" t="s">
        <v>85</v>
      </c>
      <c r="AO465" s="1">
        <v>191</v>
      </c>
      <c r="AP465" t="s">
        <v>1491</v>
      </c>
    </row>
    <row r="466" spans="35:42" x14ac:dyDescent="0.25">
      <c r="AI466">
        <v>2038</v>
      </c>
      <c r="AJ466">
        <v>6</v>
      </c>
      <c r="AK466">
        <v>24</v>
      </c>
      <c r="AL466" t="s">
        <v>93</v>
      </c>
      <c r="AM466" t="s">
        <v>158</v>
      </c>
      <c r="AN466" t="s">
        <v>1412</v>
      </c>
      <c r="AO466" s="1">
        <v>61</v>
      </c>
      <c r="AP466" t="s">
        <v>1369</v>
      </c>
    </row>
    <row r="467" spans="35:42" x14ac:dyDescent="0.25">
      <c r="AI467">
        <v>2038</v>
      </c>
      <c r="AJ467">
        <v>7</v>
      </c>
      <c r="AK467">
        <v>1</v>
      </c>
      <c r="AL467" t="s">
        <v>91</v>
      </c>
      <c r="AM467" t="s">
        <v>164</v>
      </c>
      <c r="AN467" t="s">
        <v>85</v>
      </c>
      <c r="AO467" s="1">
        <v>171</v>
      </c>
      <c r="AP467" t="s">
        <v>131</v>
      </c>
    </row>
    <row r="468" spans="35:42" x14ac:dyDescent="0.25">
      <c r="AI468">
        <v>2038</v>
      </c>
      <c r="AJ468">
        <v>8</v>
      </c>
      <c r="AK468">
        <v>1</v>
      </c>
      <c r="AL468" t="s">
        <v>91</v>
      </c>
      <c r="AM468" t="s">
        <v>164</v>
      </c>
      <c r="AN468" t="s">
        <v>85</v>
      </c>
      <c r="AO468" s="1">
        <v>231</v>
      </c>
      <c r="AP468" t="s">
        <v>132</v>
      </c>
    </row>
    <row r="469" spans="35:42" x14ac:dyDescent="0.25">
      <c r="AI469">
        <v>2038</v>
      </c>
      <c r="AJ469">
        <v>9</v>
      </c>
      <c r="AK469">
        <v>1</v>
      </c>
      <c r="AL469" t="s">
        <v>91</v>
      </c>
      <c r="AM469" t="s">
        <v>164</v>
      </c>
      <c r="AN469" t="s">
        <v>85</v>
      </c>
      <c r="AO469" s="1">
        <v>282</v>
      </c>
      <c r="AP469" t="s">
        <v>133</v>
      </c>
    </row>
    <row r="470" spans="35:42" x14ac:dyDescent="0.25">
      <c r="AI470">
        <v>2038</v>
      </c>
      <c r="AJ470">
        <v>10</v>
      </c>
      <c r="AK470">
        <v>1</v>
      </c>
      <c r="AL470" t="s">
        <v>91</v>
      </c>
      <c r="AM470" t="s">
        <v>164</v>
      </c>
      <c r="AN470" t="s">
        <v>85</v>
      </c>
      <c r="AO470" s="1">
        <v>277</v>
      </c>
      <c r="AP470" t="s">
        <v>134</v>
      </c>
    </row>
    <row r="471" spans="35:42" x14ac:dyDescent="0.25">
      <c r="AI471">
        <v>2038</v>
      </c>
      <c r="AJ471">
        <v>10</v>
      </c>
      <c r="AK471">
        <v>8</v>
      </c>
      <c r="AL471" t="s">
        <v>56</v>
      </c>
      <c r="AM471" t="s">
        <v>184</v>
      </c>
      <c r="AN471" t="s">
        <v>84</v>
      </c>
      <c r="AO471" s="1">
        <v>105</v>
      </c>
      <c r="AP471" t="s">
        <v>135</v>
      </c>
    </row>
    <row r="472" spans="35:42" x14ac:dyDescent="0.25">
      <c r="AI472">
        <v>2038</v>
      </c>
      <c r="AJ472">
        <v>11</v>
      </c>
      <c r="AK472">
        <v>1</v>
      </c>
      <c r="AL472" t="s">
        <v>91</v>
      </c>
      <c r="AM472" t="s">
        <v>164</v>
      </c>
      <c r="AN472" t="s">
        <v>85</v>
      </c>
      <c r="AO472" s="1">
        <v>221</v>
      </c>
      <c r="AP472" t="s">
        <v>136</v>
      </c>
    </row>
    <row r="473" spans="35:42" x14ac:dyDescent="0.25">
      <c r="AI473">
        <v>2038</v>
      </c>
      <c r="AJ473">
        <v>12</v>
      </c>
      <c r="AK473">
        <v>1</v>
      </c>
      <c r="AL473" t="s">
        <v>91</v>
      </c>
      <c r="AM473" t="s">
        <v>164</v>
      </c>
      <c r="AN473" t="s">
        <v>85</v>
      </c>
      <c r="AO473" s="1">
        <v>165</v>
      </c>
      <c r="AP473" t="s">
        <v>137</v>
      </c>
    </row>
    <row r="474" spans="35:42" x14ac:dyDescent="0.25">
      <c r="AI474">
        <v>2038</v>
      </c>
      <c r="AJ474">
        <v>12</v>
      </c>
      <c r="AK474">
        <v>5</v>
      </c>
      <c r="AL474" t="s">
        <v>53</v>
      </c>
      <c r="AM474" t="s">
        <v>224</v>
      </c>
      <c r="AN474" t="s">
        <v>258</v>
      </c>
      <c r="AO474" s="1">
        <v>113</v>
      </c>
      <c r="AP474" t="s">
        <v>1234</v>
      </c>
    </row>
    <row r="475" spans="35:42" x14ac:dyDescent="0.25">
      <c r="AI475">
        <v>2038</v>
      </c>
      <c r="AJ475">
        <v>12</v>
      </c>
      <c r="AK475">
        <v>13</v>
      </c>
      <c r="AL475" t="s">
        <v>56</v>
      </c>
      <c r="AM475" t="s">
        <v>184</v>
      </c>
      <c r="AN475" t="s">
        <v>84</v>
      </c>
      <c r="AO475" s="1">
        <v>114</v>
      </c>
      <c r="AP475" t="s">
        <v>138</v>
      </c>
    </row>
    <row r="476" spans="35:42" x14ac:dyDescent="0.25">
      <c r="AI476">
        <v>2038</v>
      </c>
      <c r="AJ476">
        <v>12</v>
      </c>
      <c r="AK476">
        <v>25</v>
      </c>
      <c r="AL476" t="s">
        <v>43</v>
      </c>
      <c r="AM476" t="s">
        <v>230</v>
      </c>
      <c r="AN476" t="s">
        <v>1411</v>
      </c>
      <c r="AO476" s="1">
        <v>95</v>
      </c>
      <c r="AP476" t="s">
        <v>7</v>
      </c>
    </row>
    <row r="477" spans="35:42" x14ac:dyDescent="0.25">
      <c r="AI477">
        <v>2038</v>
      </c>
      <c r="AJ477">
        <v>12</v>
      </c>
      <c r="AK477">
        <v>26</v>
      </c>
      <c r="AL477" t="s">
        <v>43</v>
      </c>
      <c r="AM477" t="s">
        <v>201</v>
      </c>
      <c r="AN477" t="s">
        <v>86</v>
      </c>
      <c r="AO477" s="1">
        <v>108</v>
      </c>
      <c r="AP477" t="s">
        <v>78</v>
      </c>
    </row>
    <row r="478" spans="35:42" x14ac:dyDescent="0.25">
      <c r="AI478">
        <v>2038</v>
      </c>
      <c r="AJ478">
        <v>12</v>
      </c>
      <c r="AK478">
        <v>28</v>
      </c>
      <c r="AL478" t="s">
        <v>52</v>
      </c>
      <c r="AM478" t="s">
        <v>245</v>
      </c>
      <c r="AN478" t="s">
        <v>1411</v>
      </c>
      <c r="AO478" s="1">
        <v>77</v>
      </c>
      <c r="AP478" t="s">
        <v>1367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0A50-0B4F-4BB8-BBC3-9DBF26EBF1CD}">
  <sheetPr codeName="Sheet11">
    <tabColor rgb="FFC00000"/>
  </sheetPr>
  <dimension ref="A1:D53"/>
  <sheetViews>
    <sheetView workbookViewId="0">
      <selection activeCell="A36" sqref="A36"/>
    </sheetView>
  </sheetViews>
  <sheetFormatPr defaultRowHeight="15" x14ac:dyDescent="0.25"/>
  <cols>
    <col min="1" max="1" width="14" style="1" bestFit="1" customWidth="1"/>
    <col min="2" max="2" width="9.42578125" style="29" bestFit="1" customWidth="1"/>
    <col min="3" max="3" width="17.42578125" style="31" bestFit="1" customWidth="1"/>
    <col min="4" max="4" width="255.7109375" style="31" bestFit="1" customWidth="1"/>
  </cols>
  <sheetData>
    <row r="1" spans="1:4" x14ac:dyDescent="0.25">
      <c r="A1" s="14" t="s">
        <v>63</v>
      </c>
      <c r="B1" s="27" t="s">
        <v>108</v>
      </c>
      <c r="C1" s="30" t="s">
        <v>1420</v>
      </c>
      <c r="D1" s="32" t="s">
        <v>1421</v>
      </c>
    </row>
    <row r="2" spans="1:4" x14ac:dyDescent="0.25">
      <c r="A2" s="1">
        <v>1</v>
      </c>
      <c r="B2" s="34" t="s">
        <v>1422</v>
      </c>
      <c r="C2" s="35" t="s">
        <v>92</v>
      </c>
      <c r="D2" s="36" t="s">
        <v>1504</v>
      </c>
    </row>
    <row r="3" spans="1:4" x14ac:dyDescent="0.25">
      <c r="A3" s="1">
        <v>2</v>
      </c>
      <c r="B3" s="37" t="s">
        <v>1423</v>
      </c>
      <c r="C3" s="35" t="s">
        <v>47</v>
      </c>
      <c r="D3" s="36" t="s">
        <v>1510</v>
      </c>
    </row>
    <row r="4" spans="1:4" x14ac:dyDescent="0.25">
      <c r="A4" s="1">
        <v>3</v>
      </c>
      <c r="B4" s="37" t="s">
        <v>1424</v>
      </c>
      <c r="C4" s="35" t="s">
        <v>48</v>
      </c>
      <c r="D4" s="36" t="s">
        <v>1464</v>
      </c>
    </row>
    <row r="5" spans="1:4" x14ac:dyDescent="0.25">
      <c r="A5" s="1">
        <v>4</v>
      </c>
      <c r="B5" s="37" t="s">
        <v>1425</v>
      </c>
      <c r="C5" s="35" t="s">
        <v>49</v>
      </c>
      <c r="D5" s="36" t="s">
        <v>1465</v>
      </c>
    </row>
    <row r="6" spans="1:4" x14ac:dyDescent="0.25">
      <c r="A6" s="1">
        <v>5</v>
      </c>
      <c r="B6" s="37" t="s">
        <v>1426</v>
      </c>
      <c r="C6" s="35" t="s">
        <v>50</v>
      </c>
      <c r="D6" s="36" t="s">
        <v>1466</v>
      </c>
    </row>
    <row r="7" spans="1:4" x14ac:dyDescent="0.25">
      <c r="A7" s="1">
        <v>6</v>
      </c>
      <c r="B7" s="37" t="s">
        <v>1427</v>
      </c>
      <c r="C7" s="35" t="s">
        <v>51</v>
      </c>
      <c r="D7" s="36" t="s">
        <v>1467</v>
      </c>
    </row>
    <row r="8" spans="1:4" x14ac:dyDescent="0.25">
      <c r="A8" s="1">
        <v>7</v>
      </c>
      <c r="B8" s="37" t="s">
        <v>1428</v>
      </c>
      <c r="C8" s="35" t="s">
        <v>46</v>
      </c>
      <c r="D8" s="36" t="s">
        <v>1468</v>
      </c>
    </row>
    <row r="9" spans="1:4" x14ac:dyDescent="0.25">
      <c r="A9" s="1">
        <v>8</v>
      </c>
      <c r="B9" s="37" t="s">
        <v>1429</v>
      </c>
      <c r="C9" s="35" t="s">
        <v>43</v>
      </c>
      <c r="D9" s="36" t="s">
        <v>1469</v>
      </c>
    </row>
    <row r="10" spans="1:4" x14ac:dyDescent="0.25">
      <c r="A10" s="1">
        <v>9</v>
      </c>
      <c r="B10" s="37" t="s">
        <v>1430</v>
      </c>
      <c r="C10" s="35" t="s">
        <v>45</v>
      </c>
      <c r="D10" s="36" t="s">
        <v>1470</v>
      </c>
    </row>
    <row r="11" spans="1:4" x14ac:dyDescent="0.25">
      <c r="A11" s="1">
        <v>10</v>
      </c>
      <c r="B11" s="37" t="s">
        <v>1431</v>
      </c>
      <c r="C11" s="35" t="s">
        <v>52</v>
      </c>
      <c r="D11" s="36" t="s">
        <v>1471</v>
      </c>
    </row>
    <row r="12" spans="1:4" x14ac:dyDescent="0.25">
      <c r="A12" s="1">
        <v>11</v>
      </c>
      <c r="B12" s="37" t="s">
        <v>1432</v>
      </c>
      <c r="C12" s="35" t="s">
        <v>44</v>
      </c>
      <c r="D12" s="36" t="s">
        <v>1472</v>
      </c>
    </row>
    <row r="13" spans="1:4" x14ac:dyDescent="0.25">
      <c r="A13" s="1">
        <v>12</v>
      </c>
      <c r="B13" s="37" t="s">
        <v>1433</v>
      </c>
      <c r="C13" s="35" t="s">
        <v>53</v>
      </c>
      <c r="D13" s="36" t="s">
        <v>1473</v>
      </c>
    </row>
    <row r="14" spans="1:4" x14ac:dyDescent="0.25">
      <c r="A14" s="1">
        <v>13</v>
      </c>
      <c r="B14" s="37" t="s">
        <v>1434</v>
      </c>
      <c r="C14" s="35" t="s">
        <v>54</v>
      </c>
      <c r="D14" s="36" t="s">
        <v>1474</v>
      </c>
    </row>
    <row r="15" spans="1:4" x14ac:dyDescent="0.25">
      <c r="A15" s="1">
        <v>14</v>
      </c>
      <c r="B15" s="37" t="s">
        <v>1435</v>
      </c>
      <c r="C15" s="35" t="s">
        <v>55</v>
      </c>
      <c r="D15" s="36" t="s">
        <v>1475</v>
      </c>
    </row>
    <row r="16" spans="1:4" x14ac:dyDescent="0.25">
      <c r="A16" s="1">
        <v>15</v>
      </c>
      <c r="B16" s="37" t="s">
        <v>1436</v>
      </c>
      <c r="C16" s="35" t="s">
        <v>56</v>
      </c>
      <c r="D16" s="36" t="s">
        <v>1476</v>
      </c>
    </row>
    <row r="17" spans="1:4" x14ac:dyDescent="0.25">
      <c r="A17" s="1">
        <v>16</v>
      </c>
      <c r="B17" s="37" t="s">
        <v>1437</v>
      </c>
      <c r="C17" s="35" t="s">
        <v>57</v>
      </c>
      <c r="D17" s="36" t="s">
        <v>1477</v>
      </c>
    </row>
    <row r="18" spans="1:4" x14ac:dyDescent="0.25">
      <c r="A18" s="1">
        <v>17</v>
      </c>
      <c r="B18" s="37" t="s">
        <v>1438</v>
      </c>
      <c r="C18" s="35" t="s">
        <v>58</v>
      </c>
      <c r="D18" s="36" t="s">
        <v>1478</v>
      </c>
    </row>
    <row r="19" spans="1:4" x14ac:dyDescent="0.25">
      <c r="A19" s="1">
        <v>18</v>
      </c>
      <c r="B19" s="37" t="s">
        <v>1439</v>
      </c>
      <c r="C19" s="35" t="s">
        <v>59</v>
      </c>
      <c r="D19" s="36" t="s">
        <v>1479</v>
      </c>
    </row>
    <row r="20" spans="1:4" x14ac:dyDescent="0.25">
      <c r="A20" s="1">
        <v>19</v>
      </c>
      <c r="B20" s="34" t="s">
        <v>1440</v>
      </c>
      <c r="C20" s="35" t="s">
        <v>87</v>
      </c>
      <c r="D20" s="36" t="s">
        <v>1511</v>
      </c>
    </row>
    <row r="21" spans="1:4" x14ac:dyDescent="0.25">
      <c r="A21" s="1">
        <v>20</v>
      </c>
      <c r="B21" s="34" t="s">
        <v>1441</v>
      </c>
      <c r="C21" s="35" t="s">
        <v>88</v>
      </c>
      <c r="D21" s="36" t="s">
        <v>1512</v>
      </c>
    </row>
    <row r="22" spans="1:4" x14ac:dyDescent="0.25">
      <c r="A22" s="1">
        <v>21</v>
      </c>
      <c r="B22" s="34" t="s">
        <v>1442</v>
      </c>
      <c r="C22" s="35" t="s">
        <v>89</v>
      </c>
      <c r="D22" s="36" t="s">
        <v>1513</v>
      </c>
    </row>
    <row r="23" spans="1:4" x14ac:dyDescent="0.25">
      <c r="A23" s="1">
        <v>22</v>
      </c>
      <c r="B23" s="34" t="s">
        <v>1443</v>
      </c>
      <c r="C23" s="35" t="s">
        <v>90</v>
      </c>
      <c r="D23" s="36" t="s">
        <v>1480</v>
      </c>
    </row>
    <row r="24" spans="1:4" x14ac:dyDescent="0.25">
      <c r="A24" s="1">
        <v>23</v>
      </c>
      <c r="B24" s="34" t="s">
        <v>1444</v>
      </c>
      <c r="C24" s="35" t="s">
        <v>91</v>
      </c>
      <c r="D24" s="36" t="s">
        <v>1514</v>
      </c>
    </row>
    <row r="25" spans="1:4" x14ac:dyDescent="0.25">
      <c r="A25" s="1">
        <v>24</v>
      </c>
      <c r="B25" s="34" t="s">
        <v>1445</v>
      </c>
      <c r="C25" s="35" t="s">
        <v>93</v>
      </c>
      <c r="D25" s="36" t="s">
        <v>1515</v>
      </c>
    </row>
    <row r="26" spans="1:4" x14ac:dyDescent="0.25">
      <c r="A26" s="1">
        <v>25</v>
      </c>
      <c r="B26" s="34" t="s">
        <v>1446</v>
      </c>
      <c r="C26" s="35" t="s">
        <v>1447</v>
      </c>
      <c r="D26" s="36" t="s">
        <v>1516</v>
      </c>
    </row>
    <row r="27" spans="1:4" x14ac:dyDescent="0.25">
      <c r="A27" s="1">
        <v>26</v>
      </c>
      <c r="B27" s="34" t="s">
        <v>1448</v>
      </c>
      <c r="C27" s="35" t="s">
        <v>1449</v>
      </c>
      <c r="D27" s="36" t="s">
        <v>1517</v>
      </c>
    </row>
    <row r="28" spans="1:4" x14ac:dyDescent="0.25">
      <c r="A28" s="1">
        <v>27</v>
      </c>
      <c r="B28" s="34" t="s">
        <v>1450</v>
      </c>
      <c r="C28" s="35" t="s">
        <v>1451</v>
      </c>
      <c r="D28" s="36" t="s">
        <v>1481</v>
      </c>
    </row>
    <row r="29" spans="1:4" x14ac:dyDescent="0.25">
      <c r="A29" s="1">
        <v>28</v>
      </c>
      <c r="B29" s="34" t="s">
        <v>1452</v>
      </c>
      <c r="C29" s="35" t="s">
        <v>1453</v>
      </c>
      <c r="D29" s="36" t="s">
        <v>1482</v>
      </c>
    </row>
    <row r="30" spans="1:4" x14ac:dyDescent="0.25">
      <c r="A30" s="1">
        <v>29</v>
      </c>
      <c r="B30" s="34" t="s">
        <v>1454</v>
      </c>
      <c r="C30" s="35" t="s">
        <v>1455</v>
      </c>
      <c r="D30" s="36" t="s">
        <v>1483</v>
      </c>
    </row>
    <row r="31" spans="1:4" x14ac:dyDescent="0.25">
      <c r="A31" s="1">
        <v>30</v>
      </c>
      <c r="B31" s="34" t="s">
        <v>1456</v>
      </c>
      <c r="C31" s="35" t="s">
        <v>1457</v>
      </c>
      <c r="D31" s="36" t="s">
        <v>1518</v>
      </c>
    </row>
    <row r="32" spans="1:4" x14ac:dyDescent="0.25">
      <c r="A32" s="1">
        <v>31</v>
      </c>
      <c r="B32" s="34" t="s">
        <v>1458</v>
      </c>
      <c r="C32" s="35" t="s">
        <v>1459</v>
      </c>
      <c r="D32" s="36" t="s">
        <v>1484</v>
      </c>
    </row>
    <row r="33" spans="1:4" x14ac:dyDescent="0.25">
      <c r="A33" s="1">
        <v>32</v>
      </c>
      <c r="B33" s="34" t="s">
        <v>1460</v>
      </c>
      <c r="C33" s="35" t="s">
        <v>1461</v>
      </c>
      <c r="D33" s="36" t="s">
        <v>1485</v>
      </c>
    </row>
    <row r="34" spans="1:4" x14ac:dyDescent="0.25">
      <c r="A34" s="1">
        <v>33</v>
      </c>
      <c r="B34" s="34" t="s">
        <v>1462</v>
      </c>
      <c r="C34" s="35" t="s">
        <v>1463</v>
      </c>
      <c r="D34" s="36" t="s">
        <v>1486</v>
      </c>
    </row>
    <row r="35" spans="1:4" x14ac:dyDescent="0.25">
      <c r="A35" s="1">
        <v>34</v>
      </c>
      <c r="B35" s="34" t="s">
        <v>1505</v>
      </c>
      <c r="C35" s="35" t="s">
        <v>1506</v>
      </c>
      <c r="D35" s="36" t="s">
        <v>1525</v>
      </c>
    </row>
    <row r="36" spans="1:4" x14ac:dyDescent="0.25">
      <c r="A36" s="1">
        <v>35</v>
      </c>
      <c r="B36" s="34" t="s">
        <v>1507</v>
      </c>
      <c r="C36" s="35" t="s">
        <v>1508</v>
      </c>
      <c r="D36" s="36" t="s">
        <v>1509</v>
      </c>
    </row>
    <row r="37" spans="1:4" x14ac:dyDescent="0.25">
      <c r="B37" s="28"/>
      <c r="D37" s="33"/>
    </row>
    <row r="38" spans="1:4" x14ac:dyDescent="0.25">
      <c r="B38" s="28"/>
      <c r="D38" s="33"/>
    </row>
    <row r="39" spans="1:4" x14ac:dyDescent="0.25">
      <c r="B39" s="28"/>
      <c r="D39" s="33"/>
    </row>
    <row r="40" spans="1:4" x14ac:dyDescent="0.25">
      <c r="B40" s="28"/>
      <c r="D40" s="33"/>
    </row>
    <row r="41" spans="1:4" x14ac:dyDescent="0.25">
      <c r="B41" s="28"/>
      <c r="D41" s="33"/>
    </row>
    <row r="42" spans="1:4" x14ac:dyDescent="0.25">
      <c r="B42" s="28"/>
      <c r="D42" s="33"/>
    </row>
    <row r="43" spans="1:4" x14ac:dyDescent="0.25">
      <c r="B43" s="28"/>
      <c r="D43" s="33"/>
    </row>
    <row r="44" spans="1:4" x14ac:dyDescent="0.25">
      <c r="B44" s="28"/>
      <c r="D44" s="33"/>
    </row>
    <row r="45" spans="1:4" x14ac:dyDescent="0.25">
      <c r="B45" s="28"/>
      <c r="D45" s="33"/>
    </row>
    <row r="46" spans="1:4" x14ac:dyDescent="0.25">
      <c r="B46" s="28"/>
      <c r="D46" s="33"/>
    </row>
    <row r="47" spans="1:4" x14ac:dyDescent="0.25">
      <c r="B47" s="28"/>
    </row>
    <row r="48" spans="1:4" x14ac:dyDescent="0.25">
      <c r="B48" s="28"/>
    </row>
    <row r="49" spans="2:2" x14ac:dyDescent="0.25">
      <c r="B49" s="28"/>
    </row>
    <row r="50" spans="2:2" x14ac:dyDescent="0.25">
      <c r="B50" s="28"/>
    </row>
    <row r="51" spans="2:2" x14ac:dyDescent="0.25">
      <c r="B51" s="28"/>
    </row>
    <row r="52" spans="2:2" x14ac:dyDescent="0.25">
      <c r="B52" s="28"/>
    </row>
    <row r="53" spans="2:2" x14ac:dyDescent="0.25">
      <c r="B53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5E40-16BE-4405-99B5-1895C0350972}">
  <sheetPr codeName="Sheet6">
    <tabColor theme="2" tint="-0.249977111117893"/>
  </sheetPr>
  <dimension ref="A1:P31"/>
  <sheetViews>
    <sheetView workbookViewId="0">
      <selection activeCell="I46" sqref="I46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4.85546875" bestFit="1" customWidth="1"/>
    <col min="4" max="4" width="15.7109375" bestFit="1" customWidth="1"/>
    <col min="5" max="5" width="11.140625" bestFit="1" customWidth="1"/>
    <col min="6" max="6" width="14.85546875" bestFit="1" customWidth="1"/>
    <col min="7" max="7" width="15" bestFit="1" customWidth="1"/>
    <col min="8" max="9" width="8.7109375" bestFit="1" customWidth="1"/>
    <col min="10" max="10" width="6.42578125" bestFit="1" customWidth="1"/>
    <col min="11" max="11" width="14.42578125" bestFit="1" customWidth="1"/>
    <col min="12" max="12" width="10.28515625" bestFit="1" customWidth="1"/>
    <col min="13" max="14" width="6.85546875" bestFit="1" customWidth="1"/>
    <col min="15" max="16" width="11.28515625" bestFit="1" customWidth="1"/>
  </cols>
  <sheetData>
    <row r="1" spans="1:16" x14ac:dyDescent="0.25">
      <c r="A1" s="8" t="s">
        <v>1394</v>
      </c>
      <c r="B1" s="8" t="s">
        <v>1395</v>
      </c>
      <c r="C1" s="8" t="s">
        <v>66</v>
      </c>
      <c r="D1" s="8" t="s">
        <v>67</v>
      </c>
      <c r="E1" s="8" t="s">
        <v>1396</v>
      </c>
      <c r="F1" s="8" t="s">
        <v>1397</v>
      </c>
      <c r="G1" s="8" t="s">
        <v>68</v>
      </c>
      <c r="H1" s="8" t="s">
        <v>69</v>
      </c>
      <c r="I1" s="8" t="s">
        <v>70</v>
      </c>
      <c r="J1" s="8" t="s">
        <v>71</v>
      </c>
      <c r="K1" s="8" t="s">
        <v>72</v>
      </c>
      <c r="L1" s="8" t="s">
        <v>73</v>
      </c>
      <c r="M1" s="8" t="s">
        <v>74</v>
      </c>
      <c r="N1" s="8" t="s">
        <v>75</v>
      </c>
      <c r="O1" s="8" t="s">
        <v>76</v>
      </c>
      <c r="P1" s="8" t="s">
        <v>77</v>
      </c>
    </row>
    <row r="2" spans="1:16" x14ac:dyDescent="0.25">
      <c r="A2">
        <v>1</v>
      </c>
      <c r="B2" t="s">
        <v>1398</v>
      </c>
      <c r="C2">
        <v>18</v>
      </c>
      <c r="D2">
        <v>14</v>
      </c>
      <c r="E2">
        <v>99</v>
      </c>
      <c r="F2">
        <v>12</v>
      </c>
      <c r="G2">
        <v>0.6</v>
      </c>
      <c r="H2">
        <v>0</v>
      </c>
      <c r="I2">
        <v>0</v>
      </c>
      <c r="J2">
        <v>22</v>
      </c>
      <c r="K2">
        <v>24</v>
      </c>
      <c r="L2">
        <v>4</v>
      </c>
      <c r="M2">
        <v>3.5</v>
      </c>
      <c r="N2">
        <v>2.5</v>
      </c>
      <c r="O2">
        <v>22</v>
      </c>
      <c r="P2">
        <v>20</v>
      </c>
    </row>
    <row r="3" spans="1:16" x14ac:dyDescent="0.25">
      <c r="A3">
        <v>2</v>
      </c>
      <c r="B3" t="s">
        <v>83</v>
      </c>
      <c r="C3">
        <v>30</v>
      </c>
      <c r="D3">
        <v>28</v>
      </c>
      <c r="E3">
        <v>16</v>
      </c>
      <c r="F3">
        <v>8</v>
      </c>
      <c r="G3">
        <v>0.3</v>
      </c>
      <c r="H3">
        <v>22</v>
      </c>
      <c r="I3">
        <v>0</v>
      </c>
      <c r="J3">
        <v>18</v>
      </c>
      <c r="K3">
        <v>28</v>
      </c>
      <c r="L3">
        <v>2</v>
      </c>
      <c r="M3">
        <v>2</v>
      </c>
      <c r="N3">
        <v>2</v>
      </c>
      <c r="O3">
        <v>32</v>
      </c>
      <c r="P3">
        <v>34</v>
      </c>
    </row>
    <row r="4" spans="1:16" x14ac:dyDescent="0.25">
      <c r="A4">
        <v>3</v>
      </c>
      <c r="B4" t="s">
        <v>84</v>
      </c>
      <c r="C4">
        <v>8</v>
      </c>
      <c r="D4">
        <v>6</v>
      </c>
      <c r="E4">
        <v>44</v>
      </c>
      <c r="F4">
        <v>20</v>
      </c>
      <c r="G4">
        <v>1.2</v>
      </c>
      <c r="H4">
        <v>33</v>
      </c>
      <c r="I4">
        <v>0</v>
      </c>
      <c r="J4">
        <v>10</v>
      </c>
      <c r="K4">
        <v>14</v>
      </c>
      <c r="L4">
        <v>6</v>
      </c>
      <c r="M4">
        <v>5</v>
      </c>
      <c r="N4">
        <v>55</v>
      </c>
      <c r="O4">
        <v>9</v>
      </c>
      <c r="P4">
        <v>11</v>
      </c>
    </row>
    <row r="5" spans="1:16" x14ac:dyDescent="0.25">
      <c r="A5">
        <v>4</v>
      </c>
      <c r="B5" t="s">
        <v>85</v>
      </c>
      <c r="C5">
        <v>20</v>
      </c>
      <c r="D5">
        <v>18</v>
      </c>
      <c r="E5">
        <v>11</v>
      </c>
      <c r="F5">
        <v>12</v>
      </c>
      <c r="G5">
        <v>0.6</v>
      </c>
      <c r="H5">
        <v>44</v>
      </c>
      <c r="I5">
        <v>-4</v>
      </c>
      <c r="J5">
        <v>40</v>
      </c>
      <c r="K5">
        <v>48</v>
      </c>
      <c r="L5">
        <v>7</v>
      </c>
      <c r="M5">
        <v>8</v>
      </c>
      <c r="N5">
        <v>5</v>
      </c>
      <c r="O5">
        <v>26</v>
      </c>
      <c r="P5">
        <v>24</v>
      </c>
    </row>
    <row r="6" spans="1:16" x14ac:dyDescent="0.25">
      <c r="A6">
        <v>5</v>
      </c>
      <c r="B6" t="s">
        <v>86</v>
      </c>
      <c r="C6">
        <v>24</v>
      </c>
      <c r="D6">
        <v>18</v>
      </c>
      <c r="E6">
        <v>66</v>
      </c>
      <c r="F6">
        <v>4</v>
      </c>
      <c r="G6">
        <v>0.2</v>
      </c>
      <c r="H6">
        <v>2</v>
      </c>
      <c r="I6">
        <v>3</v>
      </c>
      <c r="J6">
        <v>55</v>
      </c>
      <c r="K6">
        <v>12</v>
      </c>
      <c r="L6">
        <v>12</v>
      </c>
      <c r="M6">
        <v>4</v>
      </c>
      <c r="N6">
        <v>77</v>
      </c>
      <c r="O6">
        <v>77</v>
      </c>
      <c r="P6">
        <v>66</v>
      </c>
    </row>
    <row r="7" spans="1:16" x14ac:dyDescent="0.25">
      <c r="A7">
        <v>6</v>
      </c>
      <c r="B7" t="s">
        <v>258</v>
      </c>
      <c r="C7">
        <v>12</v>
      </c>
      <c r="D7">
        <v>10</v>
      </c>
      <c r="E7">
        <v>77</v>
      </c>
      <c r="F7">
        <v>16</v>
      </c>
      <c r="G7">
        <v>0.80100000000000005</v>
      </c>
      <c r="H7">
        <v>66</v>
      </c>
      <c r="I7">
        <v>11</v>
      </c>
      <c r="J7">
        <v>16</v>
      </c>
      <c r="K7">
        <v>20</v>
      </c>
      <c r="L7">
        <v>4</v>
      </c>
      <c r="M7">
        <v>3</v>
      </c>
      <c r="N7">
        <v>66</v>
      </c>
      <c r="O7">
        <v>16</v>
      </c>
      <c r="P7">
        <v>18</v>
      </c>
    </row>
    <row r="8" spans="1:16" x14ac:dyDescent="0.25">
      <c r="A8">
        <v>7</v>
      </c>
      <c r="B8" t="s">
        <v>259</v>
      </c>
      <c r="C8">
        <v>16</v>
      </c>
      <c r="D8">
        <v>14</v>
      </c>
      <c r="E8">
        <v>10</v>
      </c>
      <c r="F8">
        <v>10</v>
      </c>
      <c r="G8">
        <v>0.40100000000000002</v>
      </c>
      <c r="H8">
        <v>77</v>
      </c>
      <c r="I8">
        <v>22</v>
      </c>
      <c r="J8">
        <v>20</v>
      </c>
      <c r="K8">
        <v>26</v>
      </c>
      <c r="L8">
        <v>2.5</v>
      </c>
      <c r="M8">
        <v>2.5</v>
      </c>
      <c r="N8">
        <v>3</v>
      </c>
      <c r="O8">
        <v>28</v>
      </c>
      <c r="P8">
        <v>30</v>
      </c>
    </row>
    <row r="9" spans="1:16" x14ac:dyDescent="0.25">
      <c r="A9">
        <v>8</v>
      </c>
      <c r="B9" t="s">
        <v>260</v>
      </c>
      <c r="C9">
        <v>10</v>
      </c>
      <c r="D9">
        <v>8</v>
      </c>
      <c r="E9">
        <v>55</v>
      </c>
      <c r="F9">
        <v>18</v>
      </c>
      <c r="G9">
        <v>1.002</v>
      </c>
      <c r="H9">
        <v>22</v>
      </c>
      <c r="I9">
        <v>11</v>
      </c>
      <c r="J9">
        <v>12</v>
      </c>
      <c r="K9">
        <v>16</v>
      </c>
      <c r="L9">
        <v>5</v>
      </c>
      <c r="M9">
        <v>4</v>
      </c>
      <c r="N9">
        <v>6</v>
      </c>
      <c r="O9">
        <v>12</v>
      </c>
      <c r="P9">
        <v>14</v>
      </c>
    </row>
    <row r="10" spans="1:16" x14ac:dyDescent="0.25">
      <c r="A10">
        <v>9</v>
      </c>
      <c r="B10" t="s">
        <v>261</v>
      </c>
      <c r="C10">
        <v>22</v>
      </c>
      <c r="D10">
        <v>20</v>
      </c>
      <c r="E10">
        <v>12</v>
      </c>
      <c r="F10">
        <v>8</v>
      </c>
      <c r="G10">
        <v>0.30099999999999999</v>
      </c>
      <c r="H10">
        <v>11</v>
      </c>
      <c r="I10">
        <v>22</v>
      </c>
      <c r="J10">
        <v>55</v>
      </c>
      <c r="K10">
        <v>32</v>
      </c>
      <c r="L10">
        <v>3.5</v>
      </c>
      <c r="M10">
        <v>44</v>
      </c>
      <c r="N10">
        <v>3.5</v>
      </c>
      <c r="O10">
        <v>30</v>
      </c>
      <c r="P10">
        <v>28</v>
      </c>
    </row>
    <row r="11" spans="1:16" x14ac:dyDescent="0.25">
      <c r="A11">
        <v>10</v>
      </c>
      <c r="B11" t="s">
        <v>262</v>
      </c>
      <c r="C11">
        <v>6</v>
      </c>
      <c r="D11">
        <v>4</v>
      </c>
      <c r="E11">
        <v>33</v>
      </c>
      <c r="F11">
        <v>22</v>
      </c>
      <c r="G11">
        <v>1.5049999999999999</v>
      </c>
      <c r="H11">
        <v>22</v>
      </c>
      <c r="I11">
        <v>11</v>
      </c>
      <c r="J11">
        <v>6</v>
      </c>
      <c r="K11">
        <v>8</v>
      </c>
      <c r="L11">
        <v>7</v>
      </c>
      <c r="M11">
        <v>6</v>
      </c>
      <c r="N11">
        <v>8</v>
      </c>
      <c r="O11">
        <v>8</v>
      </c>
      <c r="P11">
        <v>10</v>
      </c>
    </row>
    <row r="12" spans="1:16" x14ac:dyDescent="0.25">
      <c r="A12">
        <v>11</v>
      </c>
      <c r="B12" t="s">
        <v>263</v>
      </c>
      <c r="C12">
        <v>14</v>
      </c>
      <c r="D12">
        <v>12</v>
      </c>
      <c r="E12">
        <v>22</v>
      </c>
      <c r="F12">
        <v>14</v>
      </c>
      <c r="G12">
        <v>0.501</v>
      </c>
      <c r="H12">
        <v>44</v>
      </c>
      <c r="I12">
        <v>55</v>
      </c>
      <c r="J12">
        <v>14</v>
      </c>
      <c r="K12">
        <v>18</v>
      </c>
      <c r="L12">
        <v>11</v>
      </c>
      <c r="M12">
        <v>66</v>
      </c>
      <c r="N12">
        <v>4</v>
      </c>
      <c r="O12">
        <v>20</v>
      </c>
      <c r="P12">
        <v>22</v>
      </c>
    </row>
    <row r="13" spans="1:16" x14ac:dyDescent="0.25">
      <c r="A13">
        <v>12</v>
      </c>
      <c r="B13" t="s">
        <v>264</v>
      </c>
      <c r="C13">
        <v>18</v>
      </c>
      <c r="D13">
        <v>16</v>
      </c>
      <c r="E13">
        <v>11</v>
      </c>
      <c r="F13">
        <v>10</v>
      </c>
      <c r="G13">
        <v>0.60199999999999998</v>
      </c>
      <c r="H13">
        <v>4</v>
      </c>
      <c r="I13">
        <v>4</v>
      </c>
      <c r="J13">
        <v>22</v>
      </c>
      <c r="K13">
        <v>26</v>
      </c>
      <c r="L13">
        <v>3</v>
      </c>
      <c r="M13">
        <v>5</v>
      </c>
      <c r="N13">
        <v>66</v>
      </c>
      <c r="O13">
        <v>24</v>
      </c>
      <c r="P13">
        <v>26</v>
      </c>
    </row>
    <row r="14" spans="1:16" x14ac:dyDescent="0.25">
      <c r="A14">
        <v>13</v>
      </c>
      <c r="B14" t="s">
        <v>265</v>
      </c>
      <c r="C14">
        <v>26</v>
      </c>
      <c r="D14">
        <v>22</v>
      </c>
      <c r="E14">
        <v>15</v>
      </c>
      <c r="F14">
        <v>6</v>
      </c>
      <c r="G14">
        <v>0.2</v>
      </c>
      <c r="H14">
        <v>34</v>
      </c>
      <c r="I14">
        <v>56</v>
      </c>
      <c r="J14">
        <v>30</v>
      </c>
      <c r="K14">
        <v>36</v>
      </c>
      <c r="L14">
        <v>21</v>
      </c>
      <c r="M14">
        <v>2</v>
      </c>
      <c r="N14">
        <v>2</v>
      </c>
      <c r="O14">
        <v>36</v>
      </c>
      <c r="P14">
        <v>38</v>
      </c>
    </row>
    <row r="15" spans="1:16" x14ac:dyDescent="0.25">
      <c r="A15">
        <v>14</v>
      </c>
      <c r="B15" t="s">
        <v>1399</v>
      </c>
      <c r="C15">
        <v>9</v>
      </c>
      <c r="D15">
        <v>7</v>
      </c>
      <c r="E15">
        <v>44</v>
      </c>
      <c r="F15">
        <v>20</v>
      </c>
      <c r="G15">
        <v>1.204</v>
      </c>
      <c r="H15">
        <v>56</v>
      </c>
      <c r="I15">
        <v>34</v>
      </c>
      <c r="J15">
        <v>14</v>
      </c>
      <c r="K15">
        <v>18</v>
      </c>
      <c r="L15">
        <v>8</v>
      </c>
      <c r="M15">
        <v>7</v>
      </c>
      <c r="N15">
        <v>44</v>
      </c>
      <c r="O15">
        <v>14</v>
      </c>
      <c r="P15">
        <v>16</v>
      </c>
    </row>
    <row r="16" spans="1:16" x14ac:dyDescent="0.25">
      <c r="A16">
        <v>15</v>
      </c>
      <c r="B16" t="s">
        <v>1400</v>
      </c>
      <c r="C16">
        <v>20</v>
      </c>
      <c r="D16">
        <v>18</v>
      </c>
      <c r="E16">
        <v>99</v>
      </c>
      <c r="F16">
        <v>12</v>
      </c>
      <c r="G16">
        <v>0.60399999999999998</v>
      </c>
      <c r="H16">
        <v>0</v>
      </c>
      <c r="I16">
        <v>0</v>
      </c>
      <c r="J16">
        <v>25</v>
      </c>
      <c r="K16">
        <v>30</v>
      </c>
      <c r="L16">
        <v>4</v>
      </c>
      <c r="M16">
        <v>3.5</v>
      </c>
      <c r="N16">
        <v>2.5</v>
      </c>
      <c r="O16">
        <v>24</v>
      </c>
      <c r="P16">
        <v>22</v>
      </c>
    </row>
    <row r="17" spans="1:16" x14ac:dyDescent="0.25">
      <c r="A17">
        <v>16</v>
      </c>
      <c r="B17" t="s">
        <v>1401</v>
      </c>
      <c r="C17">
        <v>28</v>
      </c>
      <c r="D17">
        <v>26</v>
      </c>
      <c r="E17">
        <v>16</v>
      </c>
      <c r="F17">
        <v>8</v>
      </c>
      <c r="G17">
        <v>0.30199999999999999</v>
      </c>
      <c r="H17">
        <v>25</v>
      </c>
      <c r="I17">
        <v>0</v>
      </c>
      <c r="J17">
        <v>20</v>
      </c>
      <c r="K17">
        <v>30</v>
      </c>
      <c r="L17">
        <v>2</v>
      </c>
      <c r="M17">
        <v>2</v>
      </c>
      <c r="N17">
        <v>2</v>
      </c>
      <c r="O17">
        <v>34</v>
      </c>
      <c r="P17">
        <v>36</v>
      </c>
    </row>
    <row r="18" spans="1:16" x14ac:dyDescent="0.25">
      <c r="A18">
        <v>17</v>
      </c>
      <c r="B18" t="s">
        <v>1402</v>
      </c>
      <c r="C18">
        <v>7</v>
      </c>
      <c r="D18">
        <v>5</v>
      </c>
      <c r="E18">
        <v>44</v>
      </c>
      <c r="F18">
        <v>18</v>
      </c>
      <c r="G18">
        <v>1.105</v>
      </c>
      <c r="H18">
        <v>33</v>
      </c>
      <c r="I18">
        <v>0</v>
      </c>
      <c r="J18">
        <v>8</v>
      </c>
      <c r="K18">
        <v>12</v>
      </c>
      <c r="L18">
        <v>6</v>
      </c>
      <c r="M18">
        <v>5</v>
      </c>
      <c r="N18">
        <v>55</v>
      </c>
      <c r="O18">
        <v>7</v>
      </c>
      <c r="P18">
        <v>9</v>
      </c>
    </row>
    <row r="19" spans="1:16" x14ac:dyDescent="0.25">
      <c r="A19">
        <v>18</v>
      </c>
      <c r="B19" t="s">
        <v>1403</v>
      </c>
      <c r="C19">
        <v>22</v>
      </c>
      <c r="D19">
        <v>20</v>
      </c>
      <c r="E19">
        <v>11</v>
      </c>
      <c r="F19">
        <v>14</v>
      </c>
      <c r="G19">
        <v>0.70099999999999996</v>
      </c>
      <c r="H19">
        <v>44</v>
      </c>
      <c r="I19">
        <v>-4</v>
      </c>
      <c r="J19">
        <v>45</v>
      </c>
      <c r="K19">
        <v>54</v>
      </c>
      <c r="L19">
        <v>7</v>
      </c>
      <c r="M19">
        <v>8</v>
      </c>
      <c r="N19">
        <v>5</v>
      </c>
      <c r="O19">
        <v>28</v>
      </c>
      <c r="P19">
        <v>26</v>
      </c>
    </row>
    <row r="20" spans="1:16" x14ac:dyDescent="0.25">
      <c r="A20">
        <v>19</v>
      </c>
      <c r="B20" t="s">
        <v>1404</v>
      </c>
      <c r="C20">
        <v>26</v>
      </c>
      <c r="D20">
        <v>20</v>
      </c>
      <c r="E20">
        <v>66</v>
      </c>
      <c r="F20">
        <v>4</v>
      </c>
      <c r="G20">
        <v>0.20100000000000001</v>
      </c>
      <c r="H20">
        <v>2</v>
      </c>
      <c r="I20">
        <v>3</v>
      </c>
      <c r="J20">
        <v>60</v>
      </c>
      <c r="K20">
        <v>14</v>
      </c>
      <c r="L20">
        <v>12</v>
      </c>
      <c r="M20">
        <v>4</v>
      </c>
      <c r="N20">
        <v>77</v>
      </c>
      <c r="O20">
        <v>77</v>
      </c>
      <c r="P20">
        <v>66</v>
      </c>
    </row>
    <row r="21" spans="1:16" x14ac:dyDescent="0.25">
      <c r="A21">
        <v>20</v>
      </c>
      <c r="B21" t="s">
        <v>1405</v>
      </c>
      <c r="C21">
        <v>10</v>
      </c>
      <c r="D21">
        <v>8</v>
      </c>
      <c r="E21">
        <v>77</v>
      </c>
      <c r="F21">
        <v>16</v>
      </c>
      <c r="G21">
        <v>0.80200000000000005</v>
      </c>
      <c r="H21">
        <v>66</v>
      </c>
      <c r="I21">
        <v>11</v>
      </c>
      <c r="J21">
        <v>18</v>
      </c>
      <c r="K21">
        <v>22</v>
      </c>
      <c r="L21">
        <v>4</v>
      </c>
      <c r="M21">
        <v>3</v>
      </c>
      <c r="N21">
        <v>66</v>
      </c>
      <c r="O21">
        <v>18</v>
      </c>
      <c r="P21">
        <v>20</v>
      </c>
    </row>
    <row r="22" spans="1:16" x14ac:dyDescent="0.25">
      <c r="A22">
        <v>21</v>
      </c>
      <c r="B22" t="s">
        <v>1406</v>
      </c>
      <c r="C22">
        <v>14</v>
      </c>
      <c r="D22">
        <v>12</v>
      </c>
      <c r="E22">
        <v>10</v>
      </c>
      <c r="F22">
        <v>10</v>
      </c>
      <c r="G22">
        <v>0.40100000000000002</v>
      </c>
      <c r="H22">
        <v>77</v>
      </c>
      <c r="I22">
        <v>22</v>
      </c>
      <c r="J22">
        <v>25</v>
      </c>
      <c r="K22">
        <v>30</v>
      </c>
      <c r="L22">
        <v>2.5</v>
      </c>
      <c r="M22">
        <v>2.5</v>
      </c>
      <c r="N22">
        <v>3</v>
      </c>
      <c r="O22">
        <v>30</v>
      </c>
      <c r="P22">
        <v>32</v>
      </c>
    </row>
    <row r="23" spans="1:16" x14ac:dyDescent="0.25">
      <c r="A23">
        <v>22</v>
      </c>
      <c r="B23" t="s">
        <v>1407</v>
      </c>
      <c r="C23">
        <v>12</v>
      </c>
      <c r="D23">
        <v>10</v>
      </c>
      <c r="E23">
        <v>55</v>
      </c>
      <c r="F23">
        <v>18</v>
      </c>
      <c r="G23">
        <v>1.1020000000000001</v>
      </c>
      <c r="H23">
        <v>22</v>
      </c>
      <c r="I23">
        <v>11</v>
      </c>
      <c r="J23">
        <v>14</v>
      </c>
      <c r="K23">
        <v>18</v>
      </c>
      <c r="L23">
        <v>5</v>
      </c>
      <c r="M23">
        <v>4</v>
      </c>
      <c r="N23">
        <v>6</v>
      </c>
      <c r="O23">
        <v>14</v>
      </c>
      <c r="P23">
        <v>16</v>
      </c>
    </row>
    <row r="24" spans="1:16" x14ac:dyDescent="0.25">
      <c r="A24">
        <v>23</v>
      </c>
      <c r="B24" t="s">
        <v>1408</v>
      </c>
      <c r="C24">
        <v>24</v>
      </c>
      <c r="D24">
        <v>22</v>
      </c>
      <c r="E24">
        <v>12</v>
      </c>
      <c r="F24">
        <v>8</v>
      </c>
      <c r="G24">
        <v>0.30199999999999999</v>
      </c>
      <c r="H24">
        <v>11</v>
      </c>
      <c r="I24">
        <v>22</v>
      </c>
      <c r="J24">
        <v>60</v>
      </c>
      <c r="K24">
        <v>36</v>
      </c>
      <c r="L24">
        <v>3.5</v>
      </c>
      <c r="M24">
        <v>44</v>
      </c>
      <c r="N24">
        <v>3.5</v>
      </c>
      <c r="O24">
        <v>32</v>
      </c>
      <c r="P24">
        <v>30</v>
      </c>
    </row>
    <row r="25" spans="1:16" x14ac:dyDescent="0.25">
      <c r="A25">
        <v>24</v>
      </c>
      <c r="B25" t="s">
        <v>1409</v>
      </c>
      <c r="C25">
        <v>5</v>
      </c>
      <c r="D25">
        <v>3</v>
      </c>
      <c r="E25">
        <v>33</v>
      </c>
      <c r="F25">
        <v>22</v>
      </c>
      <c r="G25">
        <v>1.6060000000000001</v>
      </c>
      <c r="H25">
        <v>22</v>
      </c>
      <c r="I25">
        <v>11</v>
      </c>
      <c r="J25">
        <v>4</v>
      </c>
      <c r="K25">
        <v>6</v>
      </c>
      <c r="L25">
        <v>7</v>
      </c>
      <c r="M25">
        <v>6</v>
      </c>
      <c r="N25">
        <v>8</v>
      </c>
      <c r="O25">
        <v>10</v>
      </c>
      <c r="P25">
        <v>12</v>
      </c>
    </row>
    <row r="26" spans="1:16" x14ac:dyDescent="0.25">
      <c r="A26">
        <v>25</v>
      </c>
      <c r="B26" t="s">
        <v>1410</v>
      </c>
      <c r="C26">
        <v>255</v>
      </c>
      <c r="D26">
        <v>255</v>
      </c>
      <c r="E26">
        <v>8</v>
      </c>
      <c r="F26">
        <v>128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255</v>
      </c>
      <c r="P26">
        <v>255</v>
      </c>
    </row>
    <row r="27" spans="1:16" x14ac:dyDescent="0.25">
      <c r="A27">
        <v>26</v>
      </c>
      <c r="B27" t="s">
        <v>1411</v>
      </c>
      <c r="C27">
        <v>16</v>
      </c>
      <c r="D27">
        <v>14</v>
      </c>
      <c r="E27">
        <v>22</v>
      </c>
      <c r="F27">
        <v>14</v>
      </c>
      <c r="G27">
        <v>0.502</v>
      </c>
      <c r="H27">
        <v>44</v>
      </c>
      <c r="I27">
        <v>55</v>
      </c>
      <c r="J27">
        <v>18</v>
      </c>
      <c r="K27">
        <v>22</v>
      </c>
      <c r="L27">
        <v>11</v>
      </c>
      <c r="M27">
        <v>66</v>
      </c>
      <c r="N27">
        <v>4</v>
      </c>
      <c r="O27">
        <v>22</v>
      </c>
      <c r="P27">
        <v>24</v>
      </c>
    </row>
    <row r="28" spans="1:16" x14ac:dyDescent="0.25">
      <c r="A28">
        <v>27</v>
      </c>
      <c r="B28" t="s">
        <v>1412</v>
      </c>
      <c r="C28">
        <v>1</v>
      </c>
      <c r="D28">
        <v>1</v>
      </c>
      <c r="E28">
        <v>400</v>
      </c>
      <c r="F28">
        <v>1</v>
      </c>
      <c r="G28">
        <v>1</v>
      </c>
      <c r="H28">
        <v>132</v>
      </c>
      <c r="I28">
        <v>132</v>
      </c>
      <c r="J28">
        <v>164</v>
      </c>
      <c r="K28">
        <v>164</v>
      </c>
      <c r="L28">
        <v>164</v>
      </c>
      <c r="M28">
        <v>116</v>
      </c>
      <c r="N28">
        <v>116</v>
      </c>
      <c r="O28">
        <v>1</v>
      </c>
      <c r="P28">
        <v>1</v>
      </c>
    </row>
    <row r="29" spans="1:16" x14ac:dyDescent="0.25">
      <c r="A29">
        <v>28</v>
      </c>
      <c r="B29" t="s">
        <v>1413</v>
      </c>
      <c r="C29">
        <v>1</v>
      </c>
      <c r="D29">
        <v>1</v>
      </c>
      <c r="E29">
        <v>1</v>
      </c>
      <c r="F29">
        <v>1</v>
      </c>
      <c r="G29">
        <v>0.01</v>
      </c>
      <c r="H29">
        <v>5</v>
      </c>
      <c r="I29">
        <v>-1</v>
      </c>
      <c r="J29">
        <v>164</v>
      </c>
      <c r="K29">
        <v>164</v>
      </c>
      <c r="L29">
        <v>164</v>
      </c>
      <c r="M29">
        <v>116</v>
      </c>
      <c r="N29">
        <v>116</v>
      </c>
      <c r="O29">
        <v>120</v>
      </c>
      <c r="P29">
        <v>120</v>
      </c>
    </row>
    <row r="30" spans="1:16" x14ac:dyDescent="0.25">
      <c r="A30">
        <v>29</v>
      </c>
      <c r="B30" t="s">
        <v>1414</v>
      </c>
      <c r="C30">
        <v>8</v>
      </c>
      <c r="D30">
        <v>99</v>
      </c>
      <c r="E30">
        <v>400</v>
      </c>
      <c r="F30">
        <v>29</v>
      </c>
      <c r="G30">
        <v>1</v>
      </c>
      <c r="H30">
        <v>-33</v>
      </c>
      <c r="I30">
        <v>4.5</v>
      </c>
      <c r="J30">
        <v>45.5</v>
      </c>
      <c r="K30">
        <v>69</v>
      </c>
      <c r="L30">
        <v>164</v>
      </c>
      <c r="M30">
        <v>30</v>
      </c>
      <c r="N30">
        <v>104</v>
      </c>
      <c r="O30">
        <v>2</v>
      </c>
      <c r="P30">
        <v>8</v>
      </c>
    </row>
    <row r="31" spans="1:16" x14ac:dyDescent="0.25">
      <c r="A31">
        <v>30</v>
      </c>
      <c r="B31" t="s">
        <v>1415</v>
      </c>
      <c r="C31">
        <v>255</v>
      </c>
      <c r="D31">
        <v>255</v>
      </c>
      <c r="E31">
        <v>208</v>
      </c>
      <c r="F31">
        <v>122</v>
      </c>
      <c r="G31">
        <v>0.01</v>
      </c>
      <c r="H31">
        <v>14.5</v>
      </c>
      <c r="I31">
        <v>19</v>
      </c>
      <c r="J31">
        <v>0</v>
      </c>
      <c r="K31">
        <v>1</v>
      </c>
      <c r="L31">
        <v>0</v>
      </c>
      <c r="M31">
        <v>0</v>
      </c>
      <c r="N31">
        <v>0</v>
      </c>
      <c r="O31">
        <v>255</v>
      </c>
      <c r="P31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27FA-7920-40EE-804E-14695C698092}">
  <sheetPr codeName="Sheet10">
    <tabColor theme="0" tint="-0.249977111117893"/>
  </sheetPr>
  <dimension ref="A1:D43"/>
  <sheetViews>
    <sheetView workbookViewId="0">
      <selection activeCell="L36" sqref="L36"/>
    </sheetView>
  </sheetViews>
  <sheetFormatPr defaultRowHeight="15" x14ac:dyDescent="0.25"/>
  <cols>
    <col min="1" max="1" width="14.140625" bestFit="1" customWidth="1"/>
    <col min="2" max="2" width="21.42578125" bestFit="1" customWidth="1"/>
    <col min="3" max="3" width="9.42578125" bestFit="1" customWidth="1"/>
    <col min="4" max="4" width="9.7109375" bestFit="1" customWidth="1"/>
  </cols>
  <sheetData>
    <row r="1" spans="1:4" x14ac:dyDescent="0.25">
      <c r="A1" s="8" t="s">
        <v>1419</v>
      </c>
      <c r="B1" s="8" t="s">
        <v>1503</v>
      </c>
      <c r="C1" s="8" t="s">
        <v>64</v>
      </c>
      <c r="D1" s="8" t="s">
        <v>65</v>
      </c>
    </row>
    <row r="2" spans="1:4" x14ac:dyDescent="0.25">
      <c r="A2">
        <v>1</v>
      </c>
      <c r="B2" t="s">
        <v>79</v>
      </c>
      <c r="C2" t="s">
        <v>80</v>
      </c>
      <c r="D2" t="s">
        <v>81</v>
      </c>
    </row>
    <row r="3" spans="1:4" x14ac:dyDescent="0.25">
      <c r="A3">
        <v>2</v>
      </c>
      <c r="B3" t="s">
        <v>149</v>
      </c>
      <c r="C3" t="s">
        <v>150</v>
      </c>
      <c r="D3" t="s">
        <v>151</v>
      </c>
    </row>
    <row r="4" spans="1:4" x14ac:dyDescent="0.25">
      <c r="A4">
        <v>3</v>
      </c>
      <c r="B4" t="s">
        <v>152</v>
      </c>
      <c r="C4" t="s">
        <v>153</v>
      </c>
      <c r="D4" t="s">
        <v>154</v>
      </c>
    </row>
    <row r="5" spans="1:4" x14ac:dyDescent="0.25">
      <c r="A5">
        <v>4</v>
      </c>
      <c r="B5" t="s">
        <v>155</v>
      </c>
      <c r="C5" t="s">
        <v>156</v>
      </c>
      <c r="D5" t="s">
        <v>157</v>
      </c>
    </row>
    <row r="6" spans="1:4" x14ac:dyDescent="0.25">
      <c r="A6">
        <v>5</v>
      </c>
      <c r="B6" t="s">
        <v>158</v>
      </c>
      <c r="C6" t="s">
        <v>159</v>
      </c>
      <c r="D6" t="s">
        <v>160</v>
      </c>
    </row>
    <row r="7" spans="1:4" x14ac:dyDescent="0.25">
      <c r="A7">
        <v>6</v>
      </c>
      <c r="B7" t="s">
        <v>161</v>
      </c>
      <c r="C7" t="s">
        <v>162</v>
      </c>
      <c r="D7" t="s">
        <v>163</v>
      </c>
    </row>
    <row r="8" spans="1:4" x14ac:dyDescent="0.25">
      <c r="A8">
        <v>7</v>
      </c>
      <c r="B8" t="s">
        <v>164</v>
      </c>
      <c r="C8" t="s">
        <v>165</v>
      </c>
      <c r="D8" t="s">
        <v>166</v>
      </c>
    </row>
    <row r="9" spans="1:4" x14ac:dyDescent="0.25">
      <c r="A9">
        <v>8</v>
      </c>
      <c r="B9" t="s">
        <v>167</v>
      </c>
      <c r="C9" t="s">
        <v>168</v>
      </c>
      <c r="D9" t="s">
        <v>169</v>
      </c>
    </row>
    <row r="10" spans="1:4" x14ac:dyDescent="0.25">
      <c r="A10">
        <v>9</v>
      </c>
      <c r="B10" t="s">
        <v>170</v>
      </c>
      <c r="C10" t="s">
        <v>171</v>
      </c>
      <c r="D10" t="s">
        <v>81</v>
      </c>
    </row>
    <row r="11" spans="1:4" x14ac:dyDescent="0.25">
      <c r="A11">
        <v>10</v>
      </c>
      <c r="B11" t="s">
        <v>172</v>
      </c>
      <c r="C11" t="s">
        <v>173</v>
      </c>
      <c r="D11" t="s">
        <v>174</v>
      </c>
    </row>
    <row r="12" spans="1:4" x14ac:dyDescent="0.25">
      <c r="A12">
        <v>11</v>
      </c>
      <c r="B12" t="s">
        <v>175</v>
      </c>
      <c r="C12" t="s">
        <v>176</v>
      </c>
      <c r="D12" t="s">
        <v>177</v>
      </c>
    </row>
    <row r="13" spans="1:4" x14ac:dyDescent="0.25">
      <c r="A13">
        <v>12</v>
      </c>
      <c r="B13" t="s">
        <v>178</v>
      </c>
      <c r="C13" t="s">
        <v>179</v>
      </c>
      <c r="D13" t="s">
        <v>180</v>
      </c>
    </row>
    <row r="14" spans="1:4" x14ac:dyDescent="0.25">
      <c r="A14">
        <v>13</v>
      </c>
      <c r="B14" t="s">
        <v>181</v>
      </c>
      <c r="C14" t="s">
        <v>182</v>
      </c>
      <c r="D14" t="s">
        <v>183</v>
      </c>
    </row>
    <row r="15" spans="1:4" x14ac:dyDescent="0.25">
      <c r="A15">
        <v>14</v>
      </c>
      <c r="B15" t="s">
        <v>184</v>
      </c>
      <c r="C15" t="s">
        <v>185</v>
      </c>
      <c r="D15" t="s">
        <v>186</v>
      </c>
    </row>
    <row r="16" spans="1:4" x14ac:dyDescent="0.25">
      <c r="A16">
        <v>15</v>
      </c>
      <c r="B16" t="s">
        <v>187</v>
      </c>
      <c r="C16" t="s">
        <v>188</v>
      </c>
      <c r="D16" t="s">
        <v>189</v>
      </c>
    </row>
    <row r="17" spans="1:4" x14ac:dyDescent="0.25">
      <c r="A17">
        <v>16</v>
      </c>
      <c r="B17" t="s">
        <v>190</v>
      </c>
      <c r="C17" t="s">
        <v>191</v>
      </c>
      <c r="D17" t="s">
        <v>192</v>
      </c>
    </row>
    <row r="18" spans="1:4" x14ac:dyDescent="0.25">
      <c r="A18">
        <v>17</v>
      </c>
      <c r="B18" t="s">
        <v>193</v>
      </c>
      <c r="C18" t="s">
        <v>194</v>
      </c>
      <c r="D18" t="s">
        <v>195</v>
      </c>
    </row>
    <row r="19" spans="1:4" x14ac:dyDescent="0.25">
      <c r="A19">
        <v>18</v>
      </c>
      <c r="B19" t="s">
        <v>196</v>
      </c>
      <c r="C19" t="s">
        <v>197</v>
      </c>
      <c r="D19" t="s">
        <v>160</v>
      </c>
    </row>
    <row r="20" spans="1:4" x14ac:dyDescent="0.25">
      <c r="A20">
        <v>19</v>
      </c>
      <c r="B20" t="s">
        <v>198</v>
      </c>
      <c r="C20" t="s">
        <v>199</v>
      </c>
      <c r="D20" t="s">
        <v>200</v>
      </c>
    </row>
    <row r="21" spans="1:4" x14ac:dyDescent="0.25">
      <c r="A21">
        <v>20</v>
      </c>
      <c r="B21" t="s">
        <v>201</v>
      </c>
      <c r="C21" t="s">
        <v>202</v>
      </c>
      <c r="D21" t="s">
        <v>203</v>
      </c>
    </row>
    <row r="22" spans="1:4" x14ac:dyDescent="0.25">
      <c r="A22">
        <v>21</v>
      </c>
      <c r="B22" t="s">
        <v>204</v>
      </c>
      <c r="C22" t="s">
        <v>205</v>
      </c>
      <c r="D22" t="s">
        <v>206</v>
      </c>
    </row>
    <row r="23" spans="1:4" x14ac:dyDescent="0.25">
      <c r="A23">
        <v>22</v>
      </c>
      <c r="B23" t="s">
        <v>207</v>
      </c>
      <c r="C23" t="s">
        <v>208</v>
      </c>
      <c r="D23" t="s">
        <v>209</v>
      </c>
    </row>
    <row r="24" spans="1:4" x14ac:dyDescent="0.25">
      <c r="A24">
        <v>23</v>
      </c>
      <c r="B24" t="s">
        <v>82</v>
      </c>
      <c r="C24" t="s">
        <v>210</v>
      </c>
      <c r="D24" t="s">
        <v>211</v>
      </c>
    </row>
    <row r="25" spans="1:4" x14ac:dyDescent="0.25">
      <c r="A25">
        <v>24</v>
      </c>
      <c r="B25" t="s">
        <v>212</v>
      </c>
      <c r="C25" t="s">
        <v>213</v>
      </c>
      <c r="D25" t="s">
        <v>214</v>
      </c>
    </row>
    <row r="26" spans="1:4" x14ac:dyDescent="0.25">
      <c r="A26">
        <v>25</v>
      </c>
      <c r="B26" t="s">
        <v>215</v>
      </c>
      <c r="C26" t="s">
        <v>216</v>
      </c>
      <c r="D26" t="s">
        <v>217</v>
      </c>
    </row>
    <row r="27" spans="1:4" x14ac:dyDescent="0.25">
      <c r="A27">
        <v>26</v>
      </c>
      <c r="B27" t="s">
        <v>218</v>
      </c>
      <c r="C27" t="s">
        <v>219</v>
      </c>
      <c r="D27" t="s">
        <v>220</v>
      </c>
    </row>
    <row r="28" spans="1:4" x14ac:dyDescent="0.25">
      <c r="A28">
        <v>27</v>
      </c>
      <c r="B28" t="s">
        <v>221</v>
      </c>
      <c r="C28" t="s">
        <v>222</v>
      </c>
      <c r="D28" t="s">
        <v>223</v>
      </c>
    </row>
    <row r="29" spans="1:4" x14ac:dyDescent="0.25">
      <c r="A29">
        <v>28</v>
      </c>
      <c r="B29" t="s">
        <v>224</v>
      </c>
      <c r="C29" t="s">
        <v>225</v>
      </c>
      <c r="D29" t="s">
        <v>226</v>
      </c>
    </row>
    <row r="30" spans="1:4" x14ac:dyDescent="0.25">
      <c r="A30">
        <v>29</v>
      </c>
      <c r="B30" t="s">
        <v>227</v>
      </c>
      <c r="C30" t="s">
        <v>228</v>
      </c>
      <c r="D30" t="s">
        <v>229</v>
      </c>
    </row>
    <row r="31" spans="1:4" x14ac:dyDescent="0.25">
      <c r="A31">
        <v>30</v>
      </c>
      <c r="B31" t="s">
        <v>230</v>
      </c>
      <c r="C31" t="s">
        <v>231</v>
      </c>
      <c r="D31" t="s">
        <v>232</v>
      </c>
    </row>
    <row r="32" spans="1:4" x14ac:dyDescent="0.25">
      <c r="A32">
        <v>31</v>
      </c>
      <c r="B32" t="s">
        <v>233</v>
      </c>
      <c r="C32" t="s">
        <v>234</v>
      </c>
      <c r="D32" t="s">
        <v>235</v>
      </c>
    </row>
    <row r="33" spans="1:4" x14ac:dyDescent="0.25">
      <c r="A33">
        <v>32</v>
      </c>
      <c r="B33" t="s">
        <v>236</v>
      </c>
      <c r="C33" t="s">
        <v>237</v>
      </c>
      <c r="D33" t="s">
        <v>238</v>
      </c>
    </row>
    <row r="34" spans="1:4" x14ac:dyDescent="0.25">
      <c r="A34">
        <v>33</v>
      </c>
      <c r="B34" t="s">
        <v>239</v>
      </c>
      <c r="C34" t="s">
        <v>240</v>
      </c>
      <c r="D34" t="s">
        <v>241</v>
      </c>
    </row>
    <row r="35" spans="1:4" x14ac:dyDescent="0.25">
      <c r="A35">
        <v>34</v>
      </c>
      <c r="B35" t="s">
        <v>242</v>
      </c>
      <c r="C35" t="s">
        <v>243</v>
      </c>
      <c r="D35" t="s">
        <v>244</v>
      </c>
    </row>
    <row r="36" spans="1:4" x14ac:dyDescent="0.25">
      <c r="A36">
        <v>35</v>
      </c>
      <c r="B36" t="s">
        <v>245</v>
      </c>
      <c r="C36" t="s">
        <v>194</v>
      </c>
      <c r="D36" t="s">
        <v>195</v>
      </c>
    </row>
    <row r="37" spans="1:4" x14ac:dyDescent="0.25">
      <c r="A37">
        <v>36</v>
      </c>
      <c r="B37" t="s">
        <v>246</v>
      </c>
      <c r="C37" t="s">
        <v>247</v>
      </c>
      <c r="D37" t="s">
        <v>248</v>
      </c>
    </row>
    <row r="38" spans="1:4" x14ac:dyDescent="0.25">
      <c r="A38">
        <v>37</v>
      </c>
      <c r="B38" t="s">
        <v>249</v>
      </c>
      <c r="C38" t="s">
        <v>250</v>
      </c>
      <c r="D38" t="s">
        <v>251</v>
      </c>
    </row>
    <row r="39" spans="1:4" x14ac:dyDescent="0.25">
      <c r="A39">
        <v>38</v>
      </c>
      <c r="B39" t="s">
        <v>252</v>
      </c>
      <c r="C39" t="s">
        <v>253</v>
      </c>
      <c r="D39" t="s">
        <v>254</v>
      </c>
    </row>
    <row r="40" spans="1:4" x14ac:dyDescent="0.25">
      <c r="A40">
        <v>39</v>
      </c>
      <c r="B40" t="s">
        <v>255</v>
      </c>
      <c r="C40" t="s">
        <v>171</v>
      </c>
      <c r="D40" t="s">
        <v>81</v>
      </c>
    </row>
    <row r="41" spans="1:4" x14ac:dyDescent="0.25">
      <c r="A41">
        <v>40</v>
      </c>
      <c r="B41" t="s">
        <v>256</v>
      </c>
      <c r="C41" t="s">
        <v>257</v>
      </c>
      <c r="D41" t="s">
        <v>192</v>
      </c>
    </row>
    <row r="42" spans="1:4" x14ac:dyDescent="0.25">
      <c r="A42">
        <v>41</v>
      </c>
      <c r="B42" t="s">
        <v>1235</v>
      </c>
      <c r="C42" t="s">
        <v>1236</v>
      </c>
      <c r="D42" t="s">
        <v>1237</v>
      </c>
    </row>
    <row r="43" spans="1:4" x14ac:dyDescent="0.25">
      <c r="A43">
        <v>42</v>
      </c>
      <c r="B43" t="s">
        <v>1392</v>
      </c>
      <c r="C43" t="s">
        <v>173</v>
      </c>
      <c r="D43" t="s">
        <v>1393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B985-7CCE-468B-88C2-7028C45FA247}">
  <sheetPr codeName="Sheet5">
    <tabColor rgb="FFFFFF00"/>
  </sheetPr>
  <dimension ref="A1:D177"/>
  <sheetViews>
    <sheetView tabSelected="1" zoomScale="120" zoomScaleNormal="120" workbookViewId="0">
      <selection activeCell="D6" sqref="D6"/>
    </sheetView>
  </sheetViews>
  <sheetFormatPr defaultRowHeight="15" x14ac:dyDescent="0.25"/>
  <cols>
    <col min="1" max="1" width="109.5703125" style="26" customWidth="1"/>
  </cols>
  <sheetData>
    <row r="1" spans="1:4" x14ac:dyDescent="0.25">
      <c r="A1" s="26" t="s">
        <v>1238</v>
      </c>
    </row>
    <row r="3" spans="1:4" x14ac:dyDescent="0.25">
      <c r="A3" s="26" t="s">
        <v>1239</v>
      </c>
    </row>
    <row r="4" spans="1:4" ht="30" x14ac:dyDescent="0.25">
      <c r="A4" s="26" t="s">
        <v>1240</v>
      </c>
      <c r="D4" t="s">
        <v>1520</v>
      </c>
    </row>
    <row r="5" spans="1:4" x14ac:dyDescent="0.25">
      <c r="D5" t="s">
        <v>1521</v>
      </c>
    </row>
    <row r="6" spans="1:4" x14ac:dyDescent="0.25">
      <c r="A6" s="26" t="s">
        <v>1241</v>
      </c>
      <c r="D6" t="s">
        <v>1519</v>
      </c>
    </row>
    <row r="8" spans="1:4" x14ac:dyDescent="0.25">
      <c r="A8" s="26" t="s">
        <v>1242</v>
      </c>
    </row>
    <row r="9" spans="1:4" x14ac:dyDescent="0.25">
      <c r="D9" t="s">
        <v>1233</v>
      </c>
    </row>
    <row r="10" spans="1:4" x14ac:dyDescent="0.25">
      <c r="A10" s="26" t="s">
        <v>1243</v>
      </c>
      <c r="D10" t="s">
        <v>1416</v>
      </c>
    </row>
    <row r="11" spans="1:4" x14ac:dyDescent="0.25">
      <c r="A11" s="26" t="s">
        <v>1244</v>
      </c>
    </row>
    <row r="13" spans="1:4" x14ac:dyDescent="0.25">
      <c r="A13" s="26" t="s">
        <v>1245</v>
      </c>
    </row>
    <row r="15" spans="1:4" x14ac:dyDescent="0.25">
      <c r="A15" s="26" t="s">
        <v>1246</v>
      </c>
    </row>
    <row r="16" spans="1:4" x14ac:dyDescent="0.25">
      <c r="A16" s="26" t="s">
        <v>1247</v>
      </c>
    </row>
    <row r="17" spans="1:1" x14ac:dyDescent="0.25">
      <c r="A17" s="26" t="s">
        <v>1248</v>
      </c>
    </row>
    <row r="18" spans="1:1" x14ac:dyDescent="0.25">
      <c r="A18" s="26" t="s">
        <v>1249</v>
      </c>
    </row>
    <row r="19" spans="1:1" x14ac:dyDescent="0.25">
      <c r="A19" s="26" t="s">
        <v>1250</v>
      </c>
    </row>
    <row r="20" spans="1:1" x14ac:dyDescent="0.25">
      <c r="A20" s="26" t="s">
        <v>1251</v>
      </c>
    </row>
    <row r="21" spans="1:1" x14ac:dyDescent="0.25">
      <c r="A21" s="26" t="s">
        <v>1252</v>
      </c>
    </row>
    <row r="23" spans="1:1" x14ac:dyDescent="0.25">
      <c r="A23" s="26" t="s">
        <v>1253</v>
      </c>
    </row>
    <row r="24" spans="1:1" x14ac:dyDescent="0.25">
      <c r="A24" s="26" t="s">
        <v>1254</v>
      </c>
    </row>
    <row r="25" spans="1:1" x14ac:dyDescent="0.25">
      <c r="A25" s="26" t="s">
        <v>1255</v>
      </c>
    </row>
    <row r="26" spans="1:1" x14ac:dyDescent="0.25">
      <c r="A26" s="26" t="s">
        <v>1256</v>
      </c>
    </row>
    <row r="28" spans="1:1" x14ac:dyDescent="0.25">
      <c r="A28" s="26" t="s">
        <v>1257</v>
      </c>
    </row>
    <row r="29" spans="1:1" x14ac:dyDescent="0.25">
      <c r="A29" s="26" t="s">
        <v>1258</v>
      </c>
    </row>
    <row r="30" spans="1:1" x14ac:dyDescent="0.25">
      <c r="A30" s="26" t="s">
        <v>1259</v>
      </c>
    </row>
    <row r="31" spans="1:1" x14ac:dyDescent="0.25">
      <c r="A31" s="26" t="s">
        <v>1260</v>
      </c>
    </row>
    <row r="32" spans="1:1" x14ac:dyDescent="0.25">
      <c r="A32" s="26" t="s">
        <v>1261</v>
      </c>
    </row>
    <row r="33" spans="1:1" x14ac:dyDescent="0.25">
      <c r="A33" s="26" t="s">
        <v>1262</v>
      </c>
    </row>
    <row r="34" spans="1:1" x14ac:dyDescent="0.25">
      <c r="A34" s="26" t="s">
        <v>1263</v>
      </c>
    </row>
    <row r="36" spans="1:1" x14ac:dyDescent="0.25">
      <c r="A36" s="26" t="s">
        <v>1264</v>
      </c>
    </row>
    <row r="38" spans="1:1" x14ac:dyDescent="0.25">
      <c r="A38" s="26" t="s">
        <v>1241</v>
      </c>
    </row>
    <row r="40" spans="1:1" x14ac:dyDescent="0.25">
      <c r="A40" s="26" t="s">
        <v>1265</v>
      </c>
    </row>
    <row r="41" spans="1:1" x14ac:dyDescent="0.25">
      <c r="A41" s="26" t="s">
        <v>1266</v>
      </c>
    </row>
    <row r="43" spans="1:1" x14ac:dyDescent="0.25">
      <c r="A43" s="26" t="s">
        <v>1245</v>
      </c>
    </row>
    <row r="45" spans="1:1" x14ac:dyDescent="0.25">
      <c r="A45" s="26" t="s">
        <v>1246</v>
      </c>
    </row>
    <row r="46" spans="1:1" x14ac:dyDescent="0.25">
      <c r="A46" s="26" t="s">
        <v>1267</v>
      </c>
    </row>
    <row r="47" spans="1:1" x14ac:dyDescent="0.25">
      <c r="A47" s="26" t="s">
        <v>1248</v>
      </c>
    </row>
    <row r="48" spans="1:1" x14ac:dyDescent="0.25">
      <c r="A48" s="26" t="s">
        <v>1268</v>
      </c>
    </row>
    <row r="49" spans="1:1" x14ac:dyDescent="0.25">
      <c r="A49" s="26" t="s">
        <v>1269</v>
      </c>
    </row>
    <row r="50" spans="1:1" x14ac:dyDescent="0.25">
      <c r="A50" s="26" t="s">
        <v>1270</v>
      </c>
    </row>
    <row r="51" spans="1:1" x14ac:dyDescent="0.25">
      <c r="A51" s="26" t="s">
        <v>1271</v>
      </c>
    </row>
    <row r="53" spans="1:1" x14ac:dyDescent="0.25">
      <c r="A53" s="26" t="s">
        <v>1272</v>
      </c>
    </row>
    <row r="54" spans="1:1" x14ac:dyDescent="0.25">
      <c r="A54" s="26" t="s">
        <v>1273</v>
      </c>
    </row>
    <row r="56" spans="1:1" x14ac:dyDescent="0.25">
      <c r="A56" s="26" t="s">
        <v>1274</v>
      </c>
    </row>
    <row r="58" spans="1:1" x14ac:dyDescent="0.25">
      <c r="A58" s="26" t="s">
        <v>1241</v>
      </c>
    </row>
    <row r="60" spans="1:1" x14ac:dyDescent="0.25">
      <c r="A60" s="26" t="s">
        <v>1275</v>
      </c>
    </row>
    <row r="61" spans="1:1" x14ac:dyDescent="0.25">
      <c r="A61" s="26" t="s">
        <v>1276</v>
      </c>
    </row>
    <row r="63" spans="1:1" x14ac:dyDescent="0.25">
      <c r="A63" s="26" t="s">
        <v>1277</v>
      </c>
    </row>
    <row r="65" spans="1:1" x14ac:dyDescent="0.25">
      <c r="A65" s="26" t="s">
        <v>1278</v>
      </c>
    </row>
    <row r="66" spans="1:1" x14ac:dyDescent="0.25">
      <c r="A66" s="26" t="s">
        <v>1279</v>
      </c>
    </row>
    <row r="68" spans="1:1" x14ac:dyDescent="0.25">
      <c r="A68" s="26" t="s">
        <v>1280</v>
      </c>
    </row>
    <row r="69" spans="1:1" x14ac:dyDescent="0.25">
      <c r="A69" s="26" t="s">
        <v>1281</v>
      </c>
    </row>
    <row r="71" spans="1:1" x14ac:dyDescent="0.25">
      <c r="A71" s="26" t="s">
        <v>1282</v>
      </c>
    </row>
    <row r="72" spans="1:1" x14ac:dyDescent="0.25">
      <c r="A72" s="26" t="s">
        <v>1283</v>
      </c>
    </row>
    <row r="73" spans="1:1" x14ac:dyDescent="0.25">
      <c r="A73" s="26" t="s">
        <v>1284</v>
      </c>
    </row>
    <row r="74" spans="1:1" x14ac:dyDescent="0.25">
      <c r="A74" s="26" t="s">
        <v>1285</v>
      </c>
    </row>
    <row r="76" spans="1:1" x14ac:dyDescent="0.25">
      <c r="A76" s="26" t="s">
        <v>1241</v>
      </c>
    </row>
    <row r="78" spans="1:1" x14ac:dyDescent="0.25">
      <c r="A78" s="26" t="s">
        <v>1286</v>
      </c>
    </row>
    <row r="79" spans="1:1" x14ac:dyDescent="0.25">
      <c r="A79" s="26" t="s">
        <v>1287</v>
      </c>
    </row>
    <row r="81" spans="1:1" x14ac:dyDescent="0.25">
      <c r="A81" s="26" t="s">
        <v>1288</v>
      </c>
    </row>
    <row r="82" spans="1:1" x14ac:dyDescent="0.25">
      <c r="A82" s="26" t="e">
        <f>- year, month, day, sentence, interval_min</f>
        <v>#NAME?</v>
      </c>
    </row>
    <row r="83" spans="1:1" x14ac:dyDescent="0.25">
      <c r="A83" s="26" t="s">
        <v>1289</v>
      </c>
    </row>
    <row r="84" spans="1:1" x14ac:dyDescent="0.25">
      <c r="A84" s="26" t="s">
        <v>1290</v>
      </c>
    </row>
    <row r="85" spans="1:1" x14ac:dyDescent="0.25">
      <c r="A85" s="26" t="e">
        <f>- color_id = VLOOKUP(color, colors_list, 2, 0)</f>
        <v>#NAME?</v>
      </c>
    </row>
    <row r="87" spans="1:1" x14ac:dyDescent="0.25">
      <c r="A87" s="26" t="s">
        <v>1291</v>
      </c>
    </row>
    <row r="88" spans="1:1" x14ac:dyDescent="0.25">
      <c r="A88" s="26" t="e">
        <f>- In kolom J staat een fout-hulp: als color niet gevonden wordt, toont hij de missende kleurtekst.</f>
        <v>#NAME?</v>
      </c>
    </row>
    <row r="90" spans="1:1" x14ac:dyDescent="0.25">
      <c r="A90" s="26" t="s">
        <v>1241</v>
      </c>
    </row>
    <row r="92" spans="1:1" x14ac:dyDescent="0.25">
      <c r="A92" s="26" t="s">
        <v>1292</v>
      </c>
    </row>
    <row r="93" spans="1:1" x14ac:dyDescent="0.25">
      <c r="A93" s="26" t="s">
        <v>1293</v>
      </c>
    </row>
    <row r="95" spans="1:1" x14ac:dyDescent="0.25">
      <c r="A95" s="26" t="s">
        <v>1294</v>
      </c>
    </row>
    <row r="96" spans="1:1" x14ac:dyDescent="0.25">
      <c r="A96" s="26" t="s">
        <v>1295</v>
      </c>
    </row>
    <row r="97" spans="1:1" x14ac:dyDescent="0.25">
      <c r="A97" s="26" t="s">
        <v>1296</v>
      </c>
    </row>
    <row r="98" spans="1:1" x14ac:dyDescent="0.25">
      <c r="A98" s="26" t="s">
        <v>1297</v>
      </c>
    </row>
    <row r="100" spans="1:1" x14ac:dyDescent="0.25">
      <c r="A100" s="26" t="s">
        <v>1298</v>
      </c>
    </row>
    <row r="101" spans="1:1" x14ac:dyDescent="0.25">
      <c r="A101" s="26" t="s">
        <v>1299</v>
      </c>
    </row>
    <row r="102" spans="1:1" x14ac:dyDescent="0.25">
      <c r="A102" s="26" t="s">
        <v>1300</v>
      </c>
    </row>
    <row r="104" spans="1:1" x14ac:dyDescent="0.25">
      <c r="A104" s="26" t="s">
        <v>1301</v>
      </c>
    </row>
    <row r="105" spans="1:1" x14ac:dyDescent="0.25">
      <c r="A105" s="26" t="s">
        <v>1302</v>
      </c>
    </row>
    <row r="106" spans="1:1" x14ac:dyDescent="0.25">
      <c r="A106" s="26" t="s">
        <v>1303</v>
      </c>
    </row>
    <row r="108" spans="1:1" x14ac:dyDescent="0.25">
      <c r="A108" s="26" t="s">
        <v>1241</v>
      </c>
    </row>
    <row r="110" spans="1:1" x14ac:dyDescent="0.25">
      <c r="A110" s="26" t="s">
        <v>1304</v>
      </c>
    </row>
    <row r="112" spans="1:1" x14ac:dyDescent="0.25">
      <c r="A112" s="26" t="s">
        <v>1305</v>
      </c>
    </row>
    <row r="113" spans="1:1" x14ac:dyDescent="0.25">
      <c r="A113" s="26" t="s">
        <v>1306</v>
      </c>
    </row>
    <row r="114" spans="1:1" x14ac:dyDescent="0.25">
      <c r="A114" s="26" t="s">
        <v>1307</v>
      </c>
    </row>
    <row r="115" spans="1:1" x14ac:dyDescent="0.25">
      <c r="A115" s="26" t="s">
        <v>1308</v>
      </c>
    </row>
    <row r="116" spans="1:1" x14ac:dyDescent="0.25">
      <c r="A116" s="26" t="s">
        <v>1309</v>
      </c>
    </row>
    <row r="117" spans="1:1" x14ac:dyDescent="0.25">
      <c r="A117" s="26" t="s">
        <v>1310</v>
      </c>
    </row>
    <row r="118" spans="1:1" x14ac:dyDescent="0.25">
      <c r="A118" s="26" t="s">
        <v>1311</v>
      </c>
    </row>
    <row r="119" spans="1:1" x14ac:dyDescent="0.25">
      <c r="A119" s="26" t="s">
        <v>1312</v>
      </c>
    </row>
    <row r="120" spans="1:1" x14ac:dyDescent="0.25">
      <c r="A120" s="26" t="s">
        <v>1313</v>
      </c>
    </row>
    <row r="121" spans="1:1" x14ac:dyDescent="0.25">
      <c r="A121" s="26" t="s">
        <v>1314</v>
      </c>
    </row>
    <row r="122" spans="1:1" x14ac:dyDescent="0.25">
      <c r="A122" s="26" t="s">
        <v>1315</v>
      </c>
    </row>
    <row r="123" spans="1:1" x14ac:dyDescent="0.25">
      <c r="A123" s="26" t="s">
        <v>1316</v>
      </c>
    </row>
    <row r="125" spans="1:1" x14ac:dyDescent="0.25">
      <c r="A125" s="26" t="s">
        <v>1317</v>
      </c>
    </row>
    <row r="126" spans="1:1" x14ac:dyDescent="0.25">
      <c r="A126" s="26" t="s">
        <v>1318</v>
      </c>
    </row>
    <row r="127" spans="1:1" x14ac:dyDescent="0.25">
      <c r="A127" s="26" t="s">
        <v>1319</v>
      </c>
    </row>
    <row r="128" spans="1:1" x14ac:dyDescent="0.25">
      <c r="A128" s="26" t="s">
        <v>1320</v>
      </c>
    </row>
    <row r="129" spans="1:1" x14ac:dyDescent="0.25">
      <c r="A129" s="26" t="s">
        <v>1308</v>
      </c>
    </row>
    <row r="130" spans="1:1" x14ac:dyDescent="0.25">
      <c r="A130" s="26" t="s">
        <v>1321</v>
      </c>
    </row>
    <row r="131" spans="1:1" x14ac:dyDescent="0.25">
      <c r="A131" s="26" t="s">
        <v>1322</v>
      </c>
    </row>
    <row r="132" spans="1:1" x14ac:dyDescent="0.25">
      <c r="A132" s="26" t="s">
        <v>1323</v>
      </c>
    </row>
    <row r="133" spans="1:1" x14ac:dyDescent="0.25">
      <c r="A133" s="26" t="s">
        <v>1324</v>
      </c>
    </row>
    <row r="135" spans="1:1" x14ac:dyDescent="0.25">
      <c r="A135" s="26" t="s">
        <v>1241</v>
      </c>
    </row>
    <row r="137" spans="1:1" x14ac:dyDescent="0.25">
      <c r="A137" s="26" t="s">
        <v>1325</v>
      </c>
    </row>
    <row r="139" spans="1:1" x14ac:dyDescent="0.25">
      <c r="A139" s="26" t="s">
        <v>1326</v>
      </c>
    </row>
    <row r="140" spans="1:1" x14ac:dyDescent="0.25">
      <c r="A140" s="26" t="s">
        <v>1327</v>
      </c>
    </row>
    <row r="141" spans="1:1" x14ac:dyDescent="0.25">
      <c r="A141" s="26" t="s">
        <v>1328</v>
      </c>
    </row>
    <row r="142" spans="1:1" x14ac:dyDescent="0.25">
      <c r="A142" s="26" t="s">
        <v>1329</v>
      </c>
    </row>
    <row r="144" spans="1:1" x14ac:dyDescent="0.25">
      <c r="A144" s="26" t="s">
        <v>1330</v>
      </c>
    </row>
    <row r="145" spans="1:1" x14ac:dyDescent="0.25">
      <c r="A145" s="26" t="s">
        <v>1331</v>
      </c>
    </row>
    <row r="147" spans="1:1" x14ac:dyDescent="0.25">
      <c r="A147" s="26" t="s">
        <v>1332</v>
      </c>
    </row>
    <row r="148" spans="1:1" x14ac:dyDescent="0.25">
      <c r="A148" s="26" t="s">
        <v>1333</v>
      </c>
    </row>
    <row r="149" spans="1:1" x14ac:dyDescent="0.25">
      <c r="A149" s="26" t="s">
        <v>1334</v>
      </c>
    </row>
    <row r="151" spans="1:1" x14ac:dyDescent="0.25">
      <c r="A151" s="26" t="s">
        <v>1241</v>
      </c>
    </row>
    <row r="153" spans="1:1" x14ac:dyDescent="0.25">
      <c r="A153" s="26" t="s">
        <v>1335</v>
      </c>
    </row>
    <row r="154" spans="1:1" x14ac:dyDescent="0.25">
      <c r="A154" s="26" t="s">
        <v>1336</v>
      </c>
    </row>
    <row r="155" spans="1:1" x14ac:dyDescent="0.25">
      <c r="A155" s="26" t="e">
        <f>- “calendar” is de eindtabel met IDs.</f>
        <v>#NAME?</v>
      </c>
    </row>
    <row r="156" spans="1:1" x14ac:dyDescent="0.25">
      <c r="A156" s="26" t="s">
        <v>1337</v>
      </c>
    </row>
    <row r="157" spans="1:1" x14ac:dyDescent="0.25">
      <c r="A157" s="26" t="s">
        <v>1338</v>
      </c>
    </row>
    <row r="158" spans="1:1" x14ac:dyDescent="0.25">
      <c r="A158" s="26" t="s">
        <v>1339</v>
      </c>
    </row>
    <row r="159" spans="1:1" x14ac:dyDescent="0.25">
      <c r="A159" s="26" t="s">
        <v>1340</v>
      </c>
    </row>
    <row r="161" spans="1:1" x14ac:dyDescent="0.25">
      <c r="A161" s="26" t="s">
        <v>1341</v>
      </c>
    </row>
    <row r="162" spans="1:1" x14ac:dyDescent="0.25">
      <c r="A162" s="26" t="e">
        <f>- Welke knop/macro precies exporteert.</f>
        <v>#NAME?</v>
      </c>
    </row>
    <row r="163" spans="1:1" x14ac:dyDescent="0.25">
      <c r="A163" s="26" t="e">
        <f>- Of er een koppeling is naar je device / SD / HTTP upload.</f>
        <v>#NAME?</v>
      </c>
    </row>
    <row r="164" spans="1:1" x14ac:dyDescent="0.25">
      <c r="A164" s="26" t="s">
        <v>1342</v>
      </c>
    </row>
    <row r="166" spans="1:1" x14ac:dyDescent="0.25">
      <c r="A166" s="26" t="s">
        <v>1241</v>
      </c>
    </row>
    <row r="168" spans="1:1" x14ac:dyDescent="0.25">
      <c r="A168" s="26" t="s">
        <v>1343</v>
      </c>
    </row>
    <row r="169" spans="1:1" x14ac:dyDescent="0.25">
      <c r="A169" s="26" t="s">
        <v>1344</v>
      </c>
    </row>
    <row r="170" spans="1:1" x14ac:dyDescent="0.25">
      <c r="A170" s="26" t="s">
        <v>1345</v>
      </c>
    </row>
    <row r="171" spans="1:1" x14ac:dyDescent="0.25">
      <c r="A171" s="26" t="s">
        <v>1346</v>
      </c>
    </row>
    <row r="172" spans="1:1" x14ac:dyDescent="0.25">
      <c r="A172" s="26" t="s">
        <v>1347</v>
      </c>
    </row>
    <row r="173" spans="1:1" x14ac:dyDescent="0.25">
      <c r="A173" s="26" t="s">
        <v>1348</v>
      </c>
    </row>
    <row r="174" spans="1:1" x14ac:dyDescent="0.25">
      <c r="A174" s="26" t="s">
        <v>1349</v>
      </c>
    </row>
    <row r="175" spans="1:1" x14ac:dyDescent="0.25">
      <c r="A175" s="26" t="s">
        <v>1350</v>
      </c>
    </row>
    <row r="176" spans="1:1" x14ac:dyDescent="0.25">
      <c r="A176" s="26" t="s">
        <v>1351</v>
      </c>
    </row>
    <row r="177" spans="1:1" ht="30" x14ac:dyDescent="0.25">
      <c r="A177" s="26" t="s">
        <v>1352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87FF-7160-4EEC-926B-79E214A65450}">
  <sheetPr codeName="Sheet12">
    <tabColor theme="2" tint="-0.499984740745262"/>
  </sheetPr>
  <dimension ref="A1:I339"/>
  <sheetViews>
    <sheetView workbookViewId="0">
      <selection activeCell="I44" sqref="I43:I44"/>
    </sheetView>
  </sheetViews>
  <sheetFormatPr defaultRowHeight="15" x14ac:dyDescent="0.25"/>
  <cols>
    <col min="1" max="1" width="5" style="1" bestFit="1" customWidth="1"/>
    <col min="2" max="2" width="6.85546875" style="1" bestFit="1" customWidth="1"/>
    <col min="3" max="3" width="4.140625" style="1" bestFit="1" customWidth="1"/>
    <col min="4" max="4" width="48.42578125" bestFit="1" customWidth="1"/>
    <col min="5" max="5" width="12.28515625" style="1" bestFit="1" customWidth="1"/>
    <col min="6" max="6" width="14" bestFit="1" customWidth="1"/>
    <col min="7" max="7" width="10.28515625" bestFit="1" customWidth="1"/>
    <col min="8" max="8" width="8.140625" bestFit="1" customWidth="1"/>
    <col min="9" max="9" width="17.7109375" bestFit="1" customWidth="1"/>
  </cols>
  <sheetData>
    <row r="1" spans="1:9" x14ac:dyDescent="0.25">
      <c r="A1" s="4" t="s">
        <v>60</v>
      </c>
      <c r="B1" s="4" t="s">
        <v>61</v>
      </c>
      <c r="C1" s="4" t="s">
        <v>62</v>
      </c>
      <c r="D1" s="8" t="s">
        <v>1417</v>
      </c>
      <c r="E1" s="4" t="s">
        <v>1418</v>
      </c>
      <c r="F1" s="8" t="s">
        <v>63</v>
      </c>
      <c r="G1" s="8" t="s">
        <v>1394</v>
      </c>
      <c r="H1" s="8" t="s">
        <v>1419</v>
      </c>
      <c r="I1" s="8"/>
    </row>
    <row r="2" spans="1:9" x14ac:dyDescent="0.25">
      <c r="A2" s="1">
        <f>export_calendar!AI4</f>
        <v>2026</v>
      </c>
      <c r="B2" s="1">
        <f>export_calendar!AJ4</f>
        <v>1</v>
      </c>
      <c r="C2" s="1">
        <f>export_calendar!AK4</f>
        <v>1</v>
      </c>
      <c r="D2" t="str">
        <f>export_calendar!AP4</f>
        <v>Gelukkig Nieuwjaar</v>
      </c>
      <c r="E2" s="1">
        <f>export_calendar!AO4</f>
        <v>77</v>
      </c>
      <c r="F2">
        <f>MATCH(export_calendar!AL4,theme_boxes!C:C,0)-1</f>
        <v>24</v>
      </c>
      <c r="G2">
        <f>MATCH(export_calendar!AN4,light_patterns!B:B,0)-1</f>
        <v>2</v>
      </c>
      <c r="H2">
        <f>MATCH(export_calendar!AM4,light_colors!B:B,0)-1</f>
        <v>40</v>
      </c>
    </row>
    <row r="3" spans="1:9" x14ac:dyDescent="0.25">
      <c r="A3" s="1">
        <f>export_calendar!AI5</f>
        <v>2026</v>
      </c>
      <c r="B3" s="1">
        <f>export_calendar!AJ5</f>
        <v>2</v>
      </c>
      <c r="C3" s="1">
        <f>export_calendar!AK5</f>
        <v>1</v>
      </c>
      <c r="D3" t="str">
        <f>export_calendar!AP5</f>
        <v>Eerste van de maand februari</v>
      </c>
      <c r="E3" s="1">
        <f>export_calendar!AO5</f>
        <v>249</v>
      </c>
      <c r="F3">
        <f>MATCH(export_calendar!AL5,theme_boxes!C:C,0)-1</f>
        <v>23</v>
      </c>
      <c r="G3">
        <f>MATCH(export_calendar!AN5,light_patterns!B:B,0)-1</f>
        <v>4</v>
      </c>
      <c r="H3">
        <f>MATCH(export_calendar!AM5,light_colors!B:B,0)-1</f>
        <v>7</v>
      </c>
    </row>
    <row r="4" spans="1:9" x14ac:dyDescent="0.25">
      <c r="A4" s="1">
        <f>export_calendar!AI6</f>
        <v>2026</v>
      </c>
      <c r="B4" s="1">
        <f>export_calendar!AJ6</f>
        <v>2</v>
      </c>
      <c r="C4" s="1">
        <f>export_calendar!AK6</f>
        <v>14</v>
      </c>
      <c r="D4" t="str">
        <f>export_calendar!AP6</f>
        <v>Valentijns en verlovingsdag</v>
      </c>
      <c r="E4" s="1">
        <f>export_calendar!AO6</f>
        <v>70</v>
      </c>
      <c r="F4">
        <f>MATCH(export_calendar!AL6,theme_boxes!C:C,0)-1</f>
        <v>24</v>
      </c>
      <c r="G4">
        <f>MATCH(export_calendar!AN6,light_patterns!B:B,0)-1</f>
        <v>6</v>
      </c>
      <c r="H4">
        <f>MATCH(export_calendar!AM6,light_colors!B:B,0)-1</f>
        <v>42</v>
      </c>
    </row>
    <row r="5" spans="1:9" x14ac:dyDescent="0.25">
      <c r="A5" s="1">
        <f>export_calendar!AI7</f>
        <v>2026</v>
      </c>
      <c r="B5" s="1">
        <f>export_calendar!AJ7</f>
        <v>2</v>
      </c>
      <c r="C5" s="1">
        <f>export_calendar!AK7</f>
        <v>15</v>
      </c>
      <c r="D5" t="str">
        <f>export_calendar!AP7</f>
        <v>Carnaval, Tadaaaaah - tadaaaah</v>
      </c>
      <c r="E5" s="1">
        <f>export_calendar!AO7</f>
        <v>95</v>
      </c>
      <c r="F5">
        <f>MATCH(export_calendar!AL7,theme_boxes!C:C,0)-1</f>
        <v>24</v>
      </c>
      <c r="G5">
        <f>MATCH(export_calendar!AN7,light_patterns!B:B,0)-1</f>
        <v>3</v>
      </c>
      <c r="H5">
        <f>MATCH(export_calendar!AM7,light_colors!B:B,0)-1</f>
        <v>7</v>
      </c>
    </row>
    <row r="6" spans="1:9" x14ac:dyDescent="0.25">
      <c r="A6" s="1">
        <f>export_calendar!AI8</f>
        <v>2026</v>
      </c>
      <c r="B6" s="1">
        <f>export_calendar!AJ8</f>
        <v>2</v>
      </c>
      <c r="C6" s="1">
        <f>export_calendar!AK8</f>
        <v>15</v>
      </c>
      <c r="D6" t="str">
        <f>export_calendar!AP8</f>
        <v>Carnaval, Alaaf!!</v>
      </c>
      <c r="E6" s="1">
        <f>export_calendar!AO8</f>
        <v>117</v>
      </c>
      <c r="F6">
        <f>MATCH(export_calendar!AL8,theme_boxes!C:C,0)-1</f>
        <v>24</v>
      </c>
      <c r="G6">
        <f>MATCH(export_calendar!AN8,light_patterns!B:B,0)-1</f>
        <v>3</v>
      </c>
      <c r="H6">
        <f>MATCH(export_calendar!AM8,light_colors!B:B,0)-1</f>
        <v>7</v>
      </c>
    </row>
    <row r="7" spans="1:9" x14ac:dyDescent="0.25">
      <c r="A7" s="1">
        <f>export_calendar!AI9</f>
        <v>2026</v>
      </c>
      <c r="B7" s="1">
        <f>export_calendar!AJ9</f>
        <v>2</v>
      </c>
      <c r="C7" s="1">
        <f>export_calendar!AK9</f>
        <v>16</v>
      </c>
      <c r="D7" t="str">
        <f>export_calendar!AP9</f>
        <v>RosenMoontach, Agge mar leut heht</v>
      </c>
      <c r="E7" s="1">
        <f>export_calendar!AO9</f>
        <v>98</v>
      </c>
      <c r="F7">
        <f>MATCH(export_calendar!AL9,theme_boxes!C:C,0)-1</f>
        <v>24</v>
      </c>
      <c r="G7">
        <f>MATCH(export_calendar!AN9,light_patterns!B:B,0)-1</f>
        <v>3</v>
      </c>
      <c r="H7">
        <f>MATCH(export_calendar!AM9,light_colors!B:B,0)-1</f>
        <v>7</v>
      </c>
    </row>
    <row r="8" spans="1:9" x14ac:dyDescent="0.25">
      <c r="A8" s="1">
        <f>export_calendar!AI10</f>
        <v>2026</v>
      </c>
      <c r="B8" s="1">
        <f>export_calendar!AJ10</f>
        <v>2</v>
      </c>
      <c r="C8" s="1">
        <f>export_calendar!AK10</f>
        <v>18</v>
      </c>
      <c r="D8" t="str">
        <f>export_calendar!AP10</f>
        <v>Aswoensdag ,  - het is  uit met de carnavalspret</v>
      </c>
      <c r="E8" s="1">
        <f>export_calendar!AO10</f>
        <v>262</v>
      </c>
      <c r="F8">
        <f>MATCH(export_calendar!AL10,theme_boxes!C:C,0)-1</f>
        <v>21</v>
      </c>
      <c r="G8">
        <f>MATCH(export_calendar!AN10,light_patterns!B:B,0)-1</f>
        <v>5</v>
      </c>
      <c r="H8">
        <f>MATCH(export_calendar!AM10,light_colors!B:B,0)-1</f>
        <v>21</v>
      </c>
    </row>
    <row r="9" spans="1:9" x14ac:dyDescent="0.25">
      <c r="A9" s="1">
        <f>export_calendar!AI11</f>
        <v>2026</v>
      </c>
      <c r="B9" s="1">
        <f>export_calendar!AJ11</f>
        <v>3</v>
      </c>
      <c r="C9" s="1">
        <f>export_calendar!AK11</f>
        <v>1</v>
      </c>
      <c r="D9" t="str">
        <f>export_calendar!AP11</f>
        <v>Eerste van de maand maart</v>
      </c>
      <c r="E9" s="1">
        <f>export_calendar!AO11</f>
        <v>287</v>
      </c>
      <c r="F9">
        <f>MATCH(export_calendar!AL11,theme_boxes!C:C,0)-1</f>
        <v>23</v>
      </c>
      <c r="G9">
        <f>MATCH(export_calendar!AN11,light_patterns!B:B,0)-1</f>
        <v>4</v>
      </c>
      <c r="H9">
        <f>MATCH(export_calendar!AM11,light_colors!B:B,0)-1</f>
        <v>7</v>
      </c>
    </row>
    <row r="10" spans="1:9" x14ac:dyDescent="0.25">
      <c r="A10" s="1">
        <f>export_calendar!AI12</f>
        <v>2026</v>
      </c>
      <c r="B10" s="1">
        <f>export_calendar!AJ12</f>
        <v>3</v>
      </c>
      <c r="C10" s="1">
        <f>export_calendar!AK12</f>
        <v>14</v>
      </c>
      <c r="D10" t="str">
        <f>export_calendar!AP12</f>
        <v>piedag - drie komma een vier enzovoorts !en nog meer decimalen</v>
      </c>
      <c r="E10" s="1">
        <f>export_calendar!AO12</f>
        <v>95</v>
      </c>
      <c r="F10">
        <f>MATCH(export_calendar!AL12,theme_boxes!C:C,0)-1</f>
        <v>9</v>
      </c>
      <c r="G10">
        <f>MATCH(export_calendar!AN12,light_patterns!B:B,0)-1</f>
        <v>28</v>
      </c>
      <c r="H10">
        <f>MATCH(export_calendar!AM12,light_colors!B:B,0)-1</f>
        <v>6</v>
      </c>
    </row>
    <row r="11" spans="1:9" x14ac:dyDescent="0.25">
      <c r="A11" s="1">
        <f>export_calendar!AI13</f>
        <v>2026</v>
      </c>
      <c r="B11" s="1">
        <f>export_calendar!AJ13</f>
        <v>3</v>
      </c>
      <c r="C11" s="1">
        <f>export_calendar!AK13</f>
        <v>19</v>
      </c>
      <c r="D11" t="str">
        <f>export_calendar!AP13</f>
        <v>Suikerfeest</v>
      </c>
      <c r="E11" s="1">
        <f>export_calendar!AO13</f>
        <v>171</v>
      </c>
      <c r="F11">
        <f>MATCH(export_calendar!AL13,theme_boxes!C:C,0)-1</f>
        <v>10</v>
      </c>
      <c r="G11">
        <f>MATCH(export_calendar!AN13,light_patterns!B:B,0)-1</f>
        <v>7</v>
      </c>
      <c r="H11">
        <f>MATCH(export_calendar!AM13,light_colors!B:B,0)-1</f>
        <v>1</v>
      </c>
    </row>
    <row r="12" spans="1:9" x14ac:dyDescent="0.25">
      <c r="A12" s="1">
        <f>export_calendar!AI14</f>
        <v>2026</v>
      </c>
      <c r="B12" s="1">
        <f>export_calendar!AJ14</f>
        <v>3</v>
      </c>
      <c r="C12" s="1">
        <f>export_calendar!AK14</f>
        <v>21</v>
      </c>
      <c r="D12" t="str">
        <f>export_calendar!AP14</f>
        <v>Hartelijk gefeliciteerd,  Thomas</v>
      </c>
      <c r="E12" s="1">
        <f>export_calendar!AO14</f>
        <v>73</v>
      </c>
      <c r="F12">
        <f>MATCH(export_calendar!AL14,theme_boxes!C:C,0)-1</f>
        <v>15</v>
      </c>
      <c r="G12">
        <f>MATCH(export_calendar!AN14,light_patterns!B:B,0)-1</f>
        <v>3</v>
      </c>
      <c r="H12">
        <f>MATCH(export_calendar!AM14,light_colors!B:B,0)-1</f>
        <v>14</v>
      </c>
    </row>
    <row r="13" spans="1:9" x14ac:dyDescent="0.25">
      <c r="A13" s="1">
        <f>export_calendar!AI15</f>
        <v>2026</v>
      </c>
      <c r="B13" s="1">
        <f>export_calendar!AJ15</f>
        <v>4</v>
      </c>
      <c r="C13" s="1">
        <f>export_calendar!AK15</f>
        <v>1</v>
      </c>
      <c r="D13" t="str">
        <f>export_calendar!AP15</f>
        <v>Eerste van de maand april, een april, kikker in je bil!</v>
      </c>
      <c r="E13" s="1">
        <f>export_calendar!AO15</f>
        <v>265</v>
      </c>
      <c r="F13">
        <f>MATCH(export_calendar!AL15,theme_boxes!C:C,0)-1</f>
        <v>23</v>
      </c>
      <c r="G13">
        <f>MATCH(export_calendar!AN15,light_patterns!B:B,0)-1</f>
        <v>4</v>
      </c>
      <c r="H13">
        <f>MATCH(export_calendar!AM15,light_colors!B:B,0)-1</f>
        <v>7</v>
      </c>
    </row>
    <row r="14" spans="1:9" x14ac:dyDescent="0.25">
      <c r="A14" s="1">
        <f>export_calendar!AI16</f>
        <v>2026</v>
      </c>
      <c r="B14" s="1">
        <f>export_calendar!AJ16</f>
        <v>4</v>
      </c>
      <c r="C14" s="1">
        <f>export_calendar!AK16</f>
        <v>3</v>
      </c>
      <c r="D14" t="str">
        <f>export_calendar!AP16</f>
        <v>Goede Vrijdag,  - bijna Pasen</v>
      </c>
      <c r="E14" s="1">
        <f>export_calendar!AO16</f>
        <v>245</v>
      </c>
      <c r="F14">
        <f>MATCH(export_calendar!AL16,theme_boxes!C:C,0)-1</f>
        <v>13</v>
      </c>
      <c r="G14">
        <f>MATCH(export_calendar!AN16,light_patterns!B:B,0)-1</f>
        <v>2</v>
      </c>
      <c r="H14">
        <f>MATCH(export_calendar!AM16,light_colors!B:B,0)-1</f>
        <v>13</v>
      </c>
    </row>
    <row r="15" spans="1:9" x14ac:dyDescent="0.25">
      <c r="A15" s="1">
        <f>export_calendar!AI17</f>
        <v>2026</v>
      </c>
      <c r="B15" s="1">
        <f>export_calendar!AJ17</f>
        <v>4</v>
      </c>
      <c r="C15" s="1">
        <f>export_calendar!AK17</f>
        <v>5</v>
      </c>
      <c r="D15" t="str">
        <f>export_calendar!AP17</f>
        <v>Vrolijk Pasen</v>
      </c>
      <c r="E15" s="1">
        <f>export_calendar!AO17</f>
        <v>90</v>
      </c>
      <c r="F15">
        <f>MATCH(export_calendar!AL17,theme_boxes!C:C,0)-1</f>
        <v>17</v>
      </c>
      <c r="G15">
        <f>MATCH(export_calendar!AN17,light_patterns!B:B,0)-1</f>
        <v>9</v>
      </c>
      <c r="H15">
        <f>MATCH(export_calendar!AM17,light_colors!B:B,0)-1</f>
        <v>5</v>
      </c>
    </row>
    <row r="16" spans="1:9" x14ac:dyDescent="0.25">
      <c r="A16" s="1">
        <f>export_calendar!AI18</f>
        <v>2026</v>
      </c>
      <c r="B16" s="1">
        <f>export_calendar!AJ18</f>
        <v>4</v>
      </c>
      <c r="C16" s="1">
        <f>export_calendar!AK18</f>
        <v>6</v>
      </c>
      <c r="D16" t="str">
        <f>export_calendar!AP18</f>
        <v>Tweede Paasdag</v>
      </c>
      <c r="E16" s="1">
        <f>export_calendar!AO18</f>
        <v>249</v>
      </c>
      <c r="F16">
        <f>MATCH(export_calendar!AL18,theme_boxes!C:C,0)-1</f>
        <v>17</v>
      </c>
      <c r="G16">
        <f>MATCH(export_calendar!AN18,light_patterns!B:B,0)-1</f>
        <v>13</v>
      </c>
      <c r="H16">
        <f>MATCH(export_calendar!AM18,light_colors!B:B,0)-1</f>
        <v>19</v>
      </c>
    </row>
    <row r="17" spans="1:8" x14ac:dyDescent="0.25">
      <c r="A17" s="1">
        <f>export_calendar!AI19</f>
        <v>2026</v>
      </c>
      <c r="B17" s="1">
        <f>export_calendar!AJ19</f>
        <v>4</v>
      </c>
      <c r="C17" s="1">
        <f>export_calendar!AK19</f>
        <v>30</v>
      </c>
      <c r="D17" t="str">
        <f>export_calendar!AP19</f>
        <v>Hartelijk gefeliciteerd,  Paul</v>
      </c>
      <c r="E17" s="1">
        <f>export_calendar!AO19</f>
        <v>98</v>
      </c>
      <c r="F17">
        <f>MATCH(export_calendar!AL19,theme_boxes!C:C,0)-1</f>
        <v>15</v>
      </c>
      <c r="G17">
        <f>MATCH(export_calendar!AN19,light_patterns!B:B,0)-1</f>
        <v>3</v>
      </c>
      <c r="H17">
        <f>MATCH(export_calendar!AM19,light_colors!B:B,0)-1</f>
        <v>14</v>
      </c>
    </row>
    <row r="18" spans="1:8" x14ac:dyDescent="0.25">
      <c r="A18" s="1">
        <f>export_calendar!AI20</f>
        <v>2026</v>
      </c>
      <c r="B18" s="1">
        <f>export_calendar!AJ20</f>
        <v>5</v>
      </c>
      <c r="C18" s="1">
        <f>export_calendar!AK20</f>
        <v>1</v>
      </c>
      <c r="D18" t="str">
        <f>export_calendar!AP20</f>
        <v>Eerste van de maand mei- leggen alle vogeltjes een ei</v>
      </c>
      <c r="E18" s="1">
        <f>export_calendar!AO20</f>
        <v>202</v>
      </c>
      <c r="F18">
        <f>MATCH(export_calendar!AL20,theme_boxes!C:C,0)-1</f>
        <v>23</v>
      </c>
      <c r="G18">
        <f>MATCH(export_calendar!AN20,light_patterns!B:B,0)-1</f>
        <v>4</v>
      </c>
      <c r="H18">
        <f>MATCH(export_calendar!AM20,light_colors!B:B,0)-1</f>
        <v>7</v>
      </c>
    </row>
    <row r="19" spans="1:8" x14ac:dyDescent="0.25">
      <c r="A19" s="1">
        <f>export_calendar!AI21</f>
        <v>2026</v>
      </c>
      <c r="B19" s="1">
        <f>export_calendar!AJ21</f>
        <v>5</v>
      </c>
      <c r="C19" s="1">
        <f>export_calendar!AK21</f>
        <v>4</v>
      </c>
      <c r="D19" t="str">
        <f>export_calendar!AP21</f>
        <v>Dodenherdenking</v>
      </c>
      <c r="E19" s="1">
        <f>export_calendar!AO21</f>
        <v>102</v>
      </c>
      <c r="F19">
        <f>MATCH(export_calendar!AL21,theme_boxes!C:C,0)-1</f>
        <v>21</v>
      </c>
      <c r="G19">
        <f>MATCH(export_calendar!AN21,light_patterns!B:B,0)-1</f>
        <v>2</v>
      </c>
      <c r="H19">
        <f>MATCH(export_calendar!AM21,light_colors!B:B,0)-1</f>
        <v>31</v>
      </c>
    </row>
    <row r="20" spans="1:8" x14ac:dyDescent="0.25">
      <c r="A20" s="1">
        <f>export_calendar!AI22</f>
        <v>2026</v>
      </c>
      <c r="B20" s="1">
        <f>export_calendar!AJ22</f>
        <v>5</v>
      </c>
      <c r="C20" s="1">
        <f>export_calendar!AK22</f>
        <v>5</v>
      </c>
      <c r="D20" t="str">
        <f>export_calendar!AP22</f>
        <v>Bevrijdingsdag</v>
      </c>
      <c r="E20" s="1">
        <f>export_calendar!AO22</f>
        <v>64</v>
      </c>
      <c r="F20">
        <f>MATCH(export_calendar!AL22,theme_boxes!C:C,0)-1</f>
        <v>24</v>
      </c>
      <c r="G20">
        <f>MATCH(export_calendar!AN22,light_patterns!B:B,0)-1</f>
        <v>3</v>
      </c>
      <c r="H20">
        <f>MATCH(export_calendar!AM22,light_colors!B:B,0)-1</f>
        <v>3</v>
      </c>
    </row>
    <row r="21" spans="1:8" x14ac:dyDescent="0.25">
      <c r="A21" s="1">
        <f>export_calendar!AI23</f>
        <v>2026</v>
      </c>
      <c r="B21" s="1">
        <f>export_calendar!AJ23</f>
        <v>5</v>
      </c>
      <c r="C21" s="1">
        <f>export_calendar!AK23</f>
        <v>10</v>
      </c>
      <c r="D21" t="str">
        <f>export_calendar!AP23</f>
        <v>Hartelijk gefeliciteerd,  Gaia</v>
      </c>
      <c r="E21" s="1">
        <f>export_calendar!AO23</f>
        <v>73</v>
      </c>
      <c r="F21">
        <f>MATCH(export_calendar!AL23,theme_boxes!C:C,0)-1</f>
        <v>15</v>
      </c>
      <c r="G21">
        <f>MATCH(export_calendar!AN23,light_patterns!B:B,0)-1</f>
        <v>3</v>
      </c>
      <c r="H21">
        <f>MATCH(export_calendar!AM23,light_colors!B:B,0)-1</f>
        <v>14</v>
      </c>
    </row>
    <row r="22" spans="1:8" x14ac:dyDescent="0.25">
      <c r="A22" s="1">
        <f>export_calendar!AI24</f>
        <v>2026</v>
      </c>
      <c r="B22" s="1">
        <f>export_calendar!AJ24</f>
        <v>5</v>
      </c>
      <c r="C22" s="1">
        <f>export_calendar!AK24</f>
        <v>14</v>
      </c>
      <c r="D22" t="str">
        <f>export_calendar!AP24</f>
        <v>Hemelvaart</v>
      </c>
      <c r="E22" s="1">
        <f>export_calendar!AO24</f>
        <v>133</v>
      </c>
      <c r="F22">
        <f>MATCH(export_calendar!AL24,theme_boxes!C:C,0)-1</f>
        <v>11</v>
      </c>
      <c r="G22">
        <f>MATCH(export_calendar!AN24,light_patterns!B:B,0)-1</f>
        <v>2</v>
      </c>
      <c r="H22">
        <f>MATCH(export_calendar!AM24,light_colors!B:B,0)-1</f>
        <v>29</v>
      </c>
    </row>
    <row r="23" spans="1:8" x14ac:dyDescent="0.25">
      <c r="A23" s="1">
        <f>export_calendar!AI25</f>
        <v>2026</v>
      </c>
      <c r="B23" s="1">
        <f>export_calendar!AJ25</f>
        <v>5</v>
      </c>
      <c r="C23" s="1">
        <f>export_calendar!AK25</f>
        <v>24</v>
      </c>
      <c r="D23" t="str">
        <f>export_calendar!AP25</f>
        <v>Pinksteren,  - wat is dat ook weer??</v>
      </c>
      <c r="E23" s="1">
        <f>export_calendar!AO25</f>
        <v>164</v>
      </c>
      <c r="F23">
        <f>MATCH(export_calendar!AL25,theme_boxes!C:C,0)-1</f>
        <v>4</v>
      </c>
      <c r="G23">
        <f>MATCH(export_calendar!AN25,light_patterns!B:B,0)-1</f>
        <v>4</v>
      </c>
      <c r="H23">
        <f>MATCH(export_calendar!AM25,light_colors!B:B,0)-1</f>
        <v>8</v>
      </c>
    </row>
    <row r="24" spans="1:8" x14ac:dyDescent="0.25">
      <c r="A24" s="1">
        <f>export_calendar!AI26</f>
        <v>2026</v>
      </c>
      <c r="B24" s="1">
        <f>export_calendar!AJ26</f>
        <v>5</v>
      </c>
      <c r="C24" s="1">
        <f>export_calendar!AK26</f>
        <v>25</v>
      </c>
      <c r="D24" t="str">
        <f>export_calendar!AP26</f>
        <v>Nog steeds Pinksteren,  - wat is dat ook weer??</v>
      </c>
      <c r="E24" s="1">
        <f>export_calendar!AO26</f>
        <v>174</v>
      </c>
      <c r="F24">
        <f>MATCH(export_calendar!AL26,theme_boxes!C:C,0)-1</f>
        <v>4</v>
      </c>
      <c r="G24">
        <f>MATCH(export_calendar!AN26,light_patterns!B:B,0)-1</f>
        <v>4</v>
      </c>
      <c r="H24">
        <f>MATCH(export_calendar!AM26,light_colors!B:B,0)-1</f>
        <v>8</v>
      </c>
    </row>
    <row r="25" spans="1:8" x14ac:dyDescent="0.25">
      <c r="A25" s="1">
        <f>export_calendar!AI27</f>
        <v>2026</v>
      </c>
      <c r="B25" s="1">
        <f>export_calendar!AJ27</f>
        <v>6</v>
      </c>
      <c r="C25" s="1">
        <f>export_calendar!AK27</f>
        <v>1</v>
      </c>
      <c r="D25" t="str">
        <f>export_calendar!AP27</f>
        <v>Eerste van de maand juni</v>
      </c>
      <c r="E25" s="1">
        <f>export_calendar!AO27</f>
        <v>157</v>
      </c>
      <c r="F25">
        <f>MATCH(export_calendar!AL27,theme_boxes!C:C,0)-1</f>
        <v>23</v>
      </c>
      <c r="G25">
        <f>MATCH(export_calendar!AN27,light_patterns!B:B,0)-1</f>
        <v>4</v>
      </c>
      <c r="H25">
        <f>MATCH(export_calendar!AM27,light_colors!B:B,0)-1</f>
        <v>7</v>
      </c>
    </row>
    <row r="26" spans="1:8" x14ac:dyDescent="0.25">
      <c r="A26" s="1">
        <f>export_calendar!AI28</f>
        <v>2026</v>
      </c>
      <c r="B26" s="1">
        <f>export_calendar!AJ28</f>
        <v>6</v>
      </c>
      <c r="C26" s="1">
        <f>export_calendar!AK28</f>
        <v>24</v>
      </c>
      <c r="D26" t="str">
        <f>export_calendar!AP28</f>
        <v>SintJan</v>
      </c>
      <c r="E26" s="1">
        <f>export_calendar!AO28</f>
        <v>61</v>
      </c>
      <c r="F26">
        <f>MATCH(export_calendar!AL28,theme_boxes!C:C,0)-1</f>
        <v>24</v>
      </c>
      <c r="G26">
        <f>MATCH(export_calendar!AN28,light_patterns!B:B,0)-1</f>
        <v>27</v>
      </c>
      <c r="H26">
        <f>MATCH(export_calendar!AM28,light_colors!B:B,0)-1</f>
        <v>5</v>
      </c>
    </row>
    <row r="27" spans="1:8" x14ac:dyDescent="0.25">
      <c r="A27" s="1">
        <f>export_calendar!AI29</f>
        <v>2026</v>
      </c>
      <c r="B27" s="1">
        <f>export_calendar!AJ29</f>
        <v>7</v>
      </c>
      <c r="C27" s="1">
        <f>export_calendar!AK29</f>
        <v>1</v>
      </c>
      <c r="D27" t="str">
        <f>export_calendar!AP29</f>
        <v>Eerste van de maand juli</v>
      </c>
      <c r="E27" s="1">
        <f>export_calendar!AO29</f>
        <v>171</v>
      </c>
      <c r="F27">
        <f>MATCH(export_calendar!AL29,theme_boxes!C:C,0)-1</f>
        <v>23</v>
      </c>
      <c r="G27">
        <f>MATCH(export_calendar!AN29,light_patterns!B:B,0)-1</f>
        <v>4</v>
      </c>
      <c r="H27">
        <f>MATCH(export_calendar!AM29,light_colors!B:B,0)-1</f>
        <v>7</v>
      </c>
    </row>
    <row r="28" spans="1:8" x14ac:dyDescent="0.25">
      <c r="A28" s="1">
        <f>export_calendar!AI30</f>
        <v>2026</v>
      </c>
      <c r="B28" s="1">
        <f>export_calendar!AJ30</f>
        <v>8</v>
      </c>
      <c r="C28" s="1">
        <f>export_calendar!AK30</f>
        <v>1</v>
      </c>
      <c r="D28" t="str">
        <f>export_calendar!AP30</f>
        <v>Eerste van de maand augustus</v>
      </c>
      <c r="E28" s="1">
        <f>export_calendar!AO30</f>
        <v>231</v>
      </c>
      <c r="F28">
        <f>MATCH(export_calendar!AL30,theme_boxes!C:C,0)-1</f>
        <v>23</v>
      </c>
      <c r="G28">
        <f>MATCH(export_calendar!AN30,light_patterns!B:B,0)-1</f>
        <v>4</v>
      </c>
      <c r="H28">
        <f>MATCH(export_calendar!AM30,light_colors!B:B,0)-1</f>
        <v>7</v>
      </c>
    </row>
    <row r="29" spans="1:8" x14ac:dyDescent="0.25">
      <c r="A29" s="1">
        <f>export_calendar!AI31</f>
        <v>2026</v>
      </c>
      <c r="B29" s="1">
        <f>export_calendar!AJ31</f>
        <v>9</v>
      </c>
      <c r="C29" s="1">
        <f>export_calendar!AK31</f>
        <v>1</v>
      </c>
      <c r="D29" t="str">
        <f>export_calendar!AP31</f>
        <v>Eerste van de maand september</v>
      </c>
      <c r="E29" s="1">
        <f>export_calendar!AO31</f>
        <v>282</v>
      </c>
      <c r="F29">
        <f>MATCH(export_calendar!AL31,theme_boxes!C:C,0)-1</f>
        <v>23</v>
      </c>
      <c r="G29">
        <f>MATCH(export_calendar!AN31,light_patterns!B:B,0)-1</f>
        <v>4</v>
      </c>
      <c r="H29">
        <f>MATCH(export_calendar!AM31,light_colors!B:B,0)-1</f>
        <v>7</v>
      </c>
    </row>
    <row r="30" spans="1:8" x14ac:dyDescent="0.25">
      <c r="A30" s="1">
        <f>export_calendar!AI32</f>
        <v>2026</v>
      </c>
      <c r="B30" s="1">
        <f>export_calendar!AJ32</f>
        <v>10</v>
      </c>
      <c r="C30" s="1">
        <f>export_calendar!AK32</f>
        <v>1</v>
      </c>
      <c r="D30" t="str">
        <f>export_calendar!AP32</f>
        <v>Eerste van de maand oktober</v>
      </c>
      <c r="E30" s="1">
        <f>export_calendar!AO32</f>
        <v>277</v>
      </c>
      <c r="F30">
        <f>MATCH(export_calendar!AL32,theme_boxes!C:C,0)-1</f>
        <v>23</v>
      </c>
      <c r="G30">
        <f>MATCH(export_calendar!AN32,light_patterns!B:B,0)-1</f>
        <v>4</v>
      </c>
      <c r="H30">
        <f>MATCH(export_calendar!AM32,light_colors!B:B,0)-1</f>
        <v>7</v>
      </c>
    </row>
    <row r="31" spans="1:8" x14ac:dyDescent="0.25">
      <c r="A31" s="1">
        <f>export_calendar!AI33</f>
        <v>2026</v>
      </c>
      <c r="B31" s="1">
        <f>export_calendar!AJ33</f>
        <v>10</v>
      </c>
      <c r="C31" s="1">
        <f>export_calendar!AK33</f>
        <v>8</v>
      </c>
      <c r="D31" t="str">
        <f>export_calendar!AP33</f>
        <v>Hartelijk gefeliciteerd,  Jan</v>
      </c>
      <c r="E31" s="1">
        <f>export_calendar!AO33</f>
        <v>105</v>
      </c>
      <c r="F31">
        <f>MATCH(export_calendar!AL33,theme_boxes!C:C,0)-1</f>
        <v>15</v>
      </c>
      <c r="G31">
        <f>MATCH(export_calendar!AN33,light_patterns!B:B,0)-1</f>
        <v>3</v>
      </c>
      <c r="H31">
        <f>MATCH(export_calendar!AM33,light_colors!B:B,0)-1</f>
        <v>14</v>
      </c>
    </row>
    <row r="32" spans="1:8" x14ac:dyDescent="0.25">
      <c r="A32" s="1">
        <f>export_calendar!AI34</f>
        <v>2026</v>
      </c>
      <c r="B32" s="1">
        <f>export_calendar!AJ34</f>
        <v>11</v>
      </c>
      <c r="C32" s="1">
        <f>export_calendar!AK34</f>
        <v>1</v>
      </c>
      <c r="D32" t="str">
        <f>export_calendar!AP34</f>
        <v>Eerste van de maand november</v>
      </c>
      <c r="E32" s="1">
        <f>export_calendar!AO34</f>
        <v>221</v>
      </c>
      <c r="F32">
        <f>MATCH(export_calendar!AL34,theme_boxes!C:C,0)-1</f>
        <v>23</v>
      </c>
      <c r="G32">
        <f>MATCH(export_calendar!AN34,light_patterns!B:B,0)-1</f>
        <v>4</v>
      </c>
      <c r="H32">
        <f>MATCH(export_calendar!AM34,light_colors!B:B,0)-1</f>
        <v>7</v>
      </c>
    </row>
    <row r="33" spans="1:8" x14ac:dyDescent="0.25">
      <c r="A33" s="1">
        <f>export_calendar!AI35</f>
        <v>2026</v>
      </c>
      <c r="B33" s="1">
        <f>export_calendar!AJ35</f>
        <v>12</v>
      </c>
      <c r="C33" s="1">
        <f>export_calendar!AK35</f>
        <v>1</v>
      </c>
      <c r="D33" t="str">
        <f>export_calendar!AP35</f>
        <v>Eerste van de maand december</v>
      </c>
      <c r="E33" s="1">
        <f>export_calendar!AO35</f>
        <v>165</v>
      </c>
      <c r="F33">
        <f>MATCH(export_calendar!AL35,theme_boxes!C:C,0)-1</f>
        <v>23</v>
      </c>
      <c r="G33">
        <f>MATCH(export_calendar!AN35,light_patterns!B:B,0)-1</f>
        <v>4</v>
      </c>
      <c r="H33">
        <f>MATCH(export_calendar!AM35,light_colors!B:B,0)-1</f>
        <v>7</v>
      </c>
    </row>
    <row r="34" spans="1:8" x14ac:dyDescent="0.25">
      <c r="A34" s="1">
        <f>export_calendar!AI36</f>
        <v>2026</v>
      </c>
      <c r="B34" s="1">
        <f>export_calendar!AJ36</f>
        <v>12</v>
      </c>
      <c r="C34" s="1">
        <f>export_calendar!AK36</f>
        <v>5</v>
      </c>
      <c r="D34" t="str">
        <f>export_calendar!AP36</f>
        <v>Sinterklaas</v>
      </c>
      <c r="E34" s="1">
        <f>export_calendar!AO36</f>
        <v>113</v>
      </c>
      <c r="F34">
        <f>MATCH(export_calendar!AL36,theme_boxes!C:C,0)-1</f>
        <v>12</v>
      </c>
      <c r="G34">
        <f>MATCH(export_calendar!AN36,light_patterns!B:B,0)-1</f>
        <v>6</v>
      </c>
      <c r="H34">
        <f>MATCH(export_calendar!AM36,light_colors!B:B,0)-1</f>
        <v>28</v>
      </c>
    </row>
    <row r="35" spans="1:8" x14ac:dyDescent="0.25">
      <c r="A35" s="1">
        <f>export_calendar!AI37</f>
        <v>2026</v>
      </c>
      <c r="B35" s="1">
        <f>export_calendar!AJ37</f>
        <v>12</v>
      </c>
      <c r="C35" s="1">
        <f>export_calendar!AK37</f>
        <v>13</v>
      </c>
      <c r="D35" t="str">
        <f>export_calendar!AP37</f>
        <v>Hartelijk gefeliciteerd,  lieve Marit</v>
      </c>
      <c r="E35" s="1">
        <f>export_calendar!AO37</f>
        <v>114</v>
      </c>
      <c r="F35">
        <f>MATCH(export_calendar!AL37,theme_boxes!C:C,0)-1</f>
        <v>15</v>
      </c>
      <c r="G35">
        <f>MATCH(export_calendar!AN37,light_patterns!B:B,0)-1</f>
        <v>3</v>
      </c>
      <c r="H35">
        <f>MATCH(export_calendar!AM37,light_colors!B:B,0)-1</f>
        <v>14</v>
      </c>
    </row>
    <row r="36" spans="1:8" x14ac:dyDescent="0.25">
      <c r="A36" s="1">
        <f>export_calendar!AI38</f>
        <v>2026</v>
      </c>
      <c r="B36" s="1">
        <f>export_calendar!AJ38</f>
        <v>12</v>
      </c>
      <c r="C36" s="1">
        <f>export_calendar!AK38</f>
        <v>25</v>
      </c>
      <c r="D36" t="str">
        <f>export_calendar!AP38</f>
        <v>Vrolijk Kerstfeest</v>
      </c>
      <c r="E36" s="1">
        <f>export_calendar!AO38</f>
        <v>95</v>
      </c>
      <c r="F36">
        <f>MATCH(export_calendar!AL38,theme_boxes!C:C,0)-1</f>
        <v>8</v>
      </c>
      <c r="G36">
        <f>MATCH(export_calendar!AN38,light_patterns!B:B,0)-1</f>
        <v>26</v>
      </c>
      <c r="H36">
        <f>MATCH(export_calendar!AM38,light_colors!B:B,0)-1</f>
        <v>30</v>
      </c>
    </row>
    <row r="37" spans="1:8" x14ac:dyDescent="0.25">
      <c r="A37" s="1">
        <f>export_calendar!AI39</f>
        <v>2026</v>
      </c>
      <c r="B37" s="1">
        <f>export_calendar!AJ39</f>
        <v>12</v>
      </c>
      <c r="C37" s="1">
        <f>export_calendar!AK39</f>
        <v>26</v>
      </c>
      <c r="D37" t="str">
        <f>export_calendar!AP39</f>
        <v>Tweede Kerstdag</v>
      </c>
      <c r="E37" s="1">
        <f>export_calendar!AO39</f>
        <v>108</v>
      </c>
      <c r="F37">
        <f>MATCH(export_calendar!AL39,theme_boxes!C:C,0)-1</f>
        <v>8</v>
      </c>
      <c r="G37">
        <f>MATCH(export_calendar!AN39,light_patterns!B:B,0)-1</f>
        <v>5</v>
      </c>
      <c r="H37">
        <f>MATCH(export_calendar!AM39,light_colors!B:B,0)-1</f>
        <v>20</v>
      </c>
    </row>
    <row r="38" spans="1:8" x14ac:dyDescent="0.25">
      <c r="A38" s="1">
        <f>export_calendar!AI40</f>
        <v>2026</v>
      </c>
      <c r="B38" s="1">
        <f>export_calendar!AJ40</f>
        <v>12</v>
      </c>
      <c r="C38" s="1">
        <f>export_calendar!AK40</f>
        <v>28</v>
      </c>
      <c r="D38" t="str">
        <f>export_calendar!AP40</f>
        <v>Onnozele Kinderen</v>
      </c>
      <c r="E38" s="1">
        <f>export_calendar!AO40</f>
        <v>77</v>
      </c>
      <c r="F38">
        <f>MATCH(export_calendar!AL40,theme_boxes!C:C,0)-1</f>
        <v>10</v>
      </c>
      <c r="G38">
        <f>MATCH(export_calendar!AN40,light_patterns!B:B,0)-1</f>
        <v>26</v>
      </c>
      <c r="H38">
        <f>MATCH(export_calendar!AM40,light_colors!B:B,0)-1</f>
        <v>35</v>
      </c>
    </row>
    <row r="39" spans="1:8" x14ac:dyDescent="0.25">
      <c r="A39" s="1">
        <f>export_calendar!AI41</f>
        <v>2027</v>
      </c>
      <c r="B39" s="1">
        <f>export_calendar!AJ41</f>
        <v>1</v>
      </c>
      <c r="C39" s="1">
        <f>export_calendar!AK41</f>
        <v>1</v>
      </c>
      <c r="D39" t="str">
        <f>export_calendar!AP41</f>
        <v>Gelukkig Nieuwjaar</v>
      </c>
      <c r="E39" s="1">
        <f>export_calendar!AO41</f>
        <v>77</v>
      </c>
      <c r="F39">
        <f>MATCH(export_calendar!AL41,theme_boxes!C:C,0)-1</f>
        <v>24</v>
      </c>
      <c r="G39">
        <f>MATCH(export_calendar!AN41,light_patterns!B:B,0)-1</f>
        <v>2</v>
      </c>
      <c r="H39">
        <f>MATCH(export_calendar!AM41,light_colors!B:B,0)-1</f>
        <v>40</v>
      </c>
    </row>
    <row r="40" spans="1:8" x14ac:dyDescent="0.25">
      <c r="A40" s="1">
        <f>export_calendar!AI42</f>
        <v>2027</v>
      </c>
      <c r="B40" s="1">
        <f>export_calendar!AJ42</f>
        <v>2</v>
      </c>
      <c r="C40" s="1">
        <f>export_calendar!AK42</f>
        <v>1</v>
      </c>
      <c r="D40" t="str">
        <f>export_calendar!AP42</f>
        <v>Eerste van de maand februari</v>
      </c>
      <c r="E40" s="1">
        <f>export_calendar!AO42</f>
        <v>249</v>
      </c>
      <c r="F40">
        <f>MATCH(export_calendar!AL42,theme_boxes!C:C,0)-1</f>
        <v>23</v>
      </c>
      <c r="G40">
        <f>MATCH(export_calendar!AN42,light_patterns!B:B,0)-1</f>
        <v>4</v>
      </c>
      <c r="H40">
        <f>MATCH(export_calendar!AM42,light_colors!B:B,0)-1</f>
        <v>7</v>
      </c>
    </row>
    <row r="41" spans="1:8" x14ac:dyDescent="0.25">
      <c r="A41" s="1">
        <f>export_calendar!AI43</f>
        <v>2027</v>
      </c>
      <c r="B41" s="1">
        <f>export_calendar!AJ43</f>
        <v>2</v>
      </c>
      <c r="C41" s="1">
        <f>export_calendar!AK43</f>
        <v>7</v>
      </c>
      <c r="D41" t="str">
        <f>export_calendar!AP43</f>
        <v>Carnaval, Keiebijters!!</v>
      </c>
      <c r="E41" s="1">
        <f>export_calendar!AO43</f>
        <v>115</v>
      </c>
      <c r="F41">
        <f>MATCH(export_calendar!AL43,theme_boxes!C:C,0)-1</f>
        <v>24</v>
      </c>
      <c r="G41">
        <f>MATCH(export_calendar!AN43,light_patterns!B:B,0)-1</f>
        <v>3</v>
      </c>
      <c r="H41">
        <f>MATCH(export_calendar!AM43,light_colors!B:B,0)-1</f>
        <v>7</v>
      </c>
    </row>
    <row r="42" spans="1:8" x14ac:dyDescent="0.25">
      <c r="A42" s="1">
        <f>export_calendar!AI44</f>
        <v>2027</v>
      </c>
      <c r="B42" s="1">
        <f>export_calendar!AJ44</f>
        <v>2</v>
      </c>
      <c r="C42" s="1">
        <f>export_calendar!AK44</f>
        <v>7</v>
      </c>
      <c r="D42" t="str">
        <f>export_calendar!AP44</f>
        <v>Carnaval, Alaaf!!</v>
      </c>
      <c r="E42" s="1">
        <f>export_calendar!AO44</f>
        <v>80</v>
      </c>
      <c r="F42">
        <f>MATCH(export_calendar!AL44,theme_boxes!C:C,0)-1</f>
        <v>24</v>
      </c>
      <c r="G42">
        <f>MATCH(export_calendar!AN44,light_patterns!B:B,0)-1</f>
        <v>3</v>
      </c>
      <c r="H42">
        <f>MATCH(export_calendar!AM44,light_colors!B:B,0)-1</f>
        <v>7</v>
      </c>
    </row>
    <row r="43" spans="1:8" x14ac:dyDescent="0.25">
      <c r="A43" s="1">
        <f>export_calendar!AI45</f>
        <v>2027</v>
      </c>
      <c r="B43" s="1">
        <f>export_calendar!AJ45</f>
        <v>2</v>
      </c>
      <c r="C43" s="1">
        <f>export_calendar!AK45</f>
        <v>8</v>
      </c>
      <c r="D43" t="str">
        <f>export_calendar!AP45</f>
        <v>RosenMoontach, Tadaaaaah - tadaaaah</v>
      </c>
      <c r="E43" s="1">
        <f>export_calendar!AO45</f>
        <v>88</v>
      </c>
      <c r="F43">
        <f>MATCH(export_calendar!AL45,theme_boxes!C:C,0)-1</f>
        <v>24</v>
      </c>
      <c r="G43">
        <f>MATCH(export_calendar!AN45,light_patterns!B:B,0)-1</f>
        <v>3</v>
      </c>
      <c r="H43">
        <f>MATCH(export_calendar!AM45,light_colors!B:B,0)-1</f>
        <v>7</v>
      </c>
    </row>
    <row r="44" spans="1:8" x14ac:dyDescent="0.25">
      <c r="A44" s="1">
        <f>export_calendar!AI46</f>
        <v>2027</v>
      </c>
      <c r="B44" s="1">
        <f>export_calendar!AJ46</f>
        <v>2</v>
      </c>
      <c r="C44" s="1">
        <f>export_calendar!AK46</f>
        <v>10</v>
      </c>
      <c r="D44" t="str">
        <f>export_calendar!AP46</f>
        <v>Aswoensdag ,  - en dan nu: vasten</v>
      </c>
      <c r="E44" s="1">
        <f>export_calendar!AO46</f>
        <v>227</v>
      </c>
      <c r="F44">
        <f>MATCH(export_calendar!AL46,theme_boxes!C:C,0)-1</f>
        <v>21</v>
      </c>
      <c r="G44">
        <f>MATCH(export_calendar!AN46,light_patterns!B:B,0)-1</f>
        <v>5</v>
      </c>
      <c r="H44">
        <f>MATCH(export_calendar!AM46,light_colors!B:B,0)-1</f>
        <v>21</v>
      </c>
    </row>
    <row r="45" spans="1:8" x14ac:dyDescent="0.25">
      <c r="A45" s="1">
        <f>export_calendar!AI47</f>
        <v>2027</v>
      </c>
      <c r="B45" s="1">
        <f>export_calendar!AJ47</f>
        <v>2</v>
      </c>
      <c r="C45" s="1">
        <f>export_calendar!AK47</f>
        <v>14</v>
      </c>
      <c r="D45" t="str">
        <f>export_calendar!AP47</f>
        <v>Valentijns en verlovingsdag</v>
      </c>
      <c r="E45" s="1">
        <f>export_calendar!AO47</f>
        <v>70</v>
      </c>
      <c r="F45">
        <f>MATCH(export_calendar!AL47,theme_boxes!C:C,0)-1</f>
        <v>24</v>
      </c>
      <c r="G45">
        <f>MATCH(export_calendar!AN47,light_patterns!B:B,0)-1</f>
        <v>6</v>
      </c>
      <c r="H45">
        <f>MATCH(export_calendar!AM47,light_colors!B:B,0)-1</f>
        <v>42</v>
      </c>
    </row>
    <row r="46" spans="1:8" x14ac:dyDescent="0.25">
      <c r="A46" s="1">
        <f>export_calendar!AI48</f>
        <v>2027</v>
      </c>
      <c r="B46" s="1">
        <f>export_calendar!AJ48</f>
        <v>3</v>
      </c>
      <c r="C46" s="1">
        <f>export_calendar!AK48</f>
        <v>1</v>
      </c>
      <c r="D46" t="str">
        <f>export_calendar!AP48</f>
        <v>Eerste van de maand maart</v>
      </c>
      <c r="E46" s="1">
        <f>export_calendar!AO48</f>
        <v>287</v>
      </c>
      <c r="F46">
        <f>MATCH(export_calendar!AL48,theme_boxes!C:C,0)-1</f>
        <v>23</v>
      </c>
      <c r="G46">
        <f>MATCH(export_calendar!AN48,light_patterns!B:B,0)-1</f>
        <v>4</v>
      </c>
      <c r="H46">
        <f>MATCH(export_calendar!AM48,light_colors!B:B,0)-1</f>
        <v>7</v>
      </c>
    </row>
    <row r="47" spans="1:8" x14ac:dyDescent="0.25">
      <c r="A47" s="1">
        <f>export_calendar!AI49</f>
        <v>2027</v>
      </c>
      <c r="B47" s="1">
        <f>export_calendar!AJ49</f>
        <v>3</v>
      </c>
      <c r="C47" s="1">
        <f>export_calendar!AK49</f>
        <v>9</v>
      </c>
      <c r="D47" t="str">
        <f>export_calendar!AP49</f>
        <v>Suikerfeest</v>
      </c>
      <c r="E47" s="1">
        <f>export_calendar!AO49</f>
        <v>201</v>
      </c>
      <c r="F47">
        <f>MATCH(export_calendar!AL49,theme_boxes!C:C,0)-1</f>
        <v>10</v>
      </c>
      <c r="G47">
        <f>MATCH(export_calendar!AN49,light_patterns!B:B,0)-1</f>
        <v>7</v>
      </c>
      <c r="H47">
        <f>MATCH(export_calendar!AM49,light_colors!B:B,0)-1</f>
        <v>1</v>
      </c>
    </row>
    <row r="48" spans="1:8" x14ac:dyDescent="0.25">
      <c r="A48" s="1">
        <f>export_calendar!AI50</f>
        <v>2027</v>
      </c>
      <c r="B48" s="1">
        <f>export_calendar!AJ50</f>
        <v>3</v>
      </c>
      <c r="C48" s="1">
        <f>export_calendar!AK50</f>
        <v>14</v>
      </c>
      <c r="D48" t="str">
        <f>export_calendar!AP50</f>
        <v>piedag - drie komma een vier enzovoorts !en nog meer decimalen</v>
      </c>
      <c r="E48" s="1">
        <f>export_calendar!AO50</f>
        <v>95</v>
      </c>
      <c r="F48">
        <f>MATCH(export_calendar!AL50,theme_boxes!C:C,0)-1</f>
        <v>9</v>
      </c>
      <c r="G48">
        <f>MATCH(export_calendar!AN50,light_patterns!B:B,0)-1</f>
        <v>28</v>
      </c>
      <c r="H48">
        <f>MATCH(export_calendar!AM50,light_colors!B:B,0)-1</f>
        <v>6</v>
      </c>
    </row>
    <row r="49" spans="1:8" x14ac:dyDescent="0.25">
      <c r="A49" s="1">
        <f>export_calendar!AI51</f>
        <v>2027</v>
      </c>
      <c r="B49" s="1">
        <f>export_calendar!AJ51</f>
        <v>3</v>
      </c>
      <c r="C49" s="1">
        <f>export_calendar!AK51</f>
        <v>21</v>
      </c>
      <c r="D49" t="str">
        <f>export_calendar!AP51</f>
        <v>Hartelijk gefeliciteerd,  Thomas</v>
      </c>
      <c r="E49" s="1">
        <f>export_calendar!AO51</f>
        <v>73</v>
      </c>
      <c r="F49">
        <f>MATCH(export_calendar!AL51,theme_boxes!C:C,0)-1</f>
        <v>15</v>
      </c>
      <c r="G49">
        <f>MATCH(export_calendar!AN51,light_patterns!B:B,0)-1</f>
        <v>3</v>
      </c>
      <c r="H49">
        <f>MATCH(export_calendar!AM51,light_colors!B:B,0)-1</f>
        <v>14</v>
      </c>
    </row>
    <row r="50" spans="1:8" x14ac:dyDescent="0.25">
      <c r="A50" s="1">
        <f>export_calendar!AI52</f>
        <v>2027</v>
      </c>
      <c r="B50" s="1">
        <f>export_calendar!AJ52</f>
        <v>3</v>
      </c>
      <c r="C50" s="1">
        <f>export_calendar!AK52</f>
        <v>26</v>
      </c>
      <c r="D50" t="str">
        <f>export_calendar!AP52</f>
        <v>Goede Vrijdag,  - geen vrije dag</v>
      </c>
      <c r="E50" s="1">
        <f>export_calendar!AO52</f>
        <v>202</v>
      </c>
      <c r="F50">
        <f>MATCH(export_calendar!AL52,theme_boxes!C:C,0)-1</f>
        <v>13</v>
      </c>
      <c r="G50">
        <f>MATCH(export_calendar!AN52,light_patterns!B:B,0)-1</f>
        <v>2</v>
      </c>
      <c r="H50">
        <f>MATCH(export_calendar!AM52,light_colors!B:B,0)-1</f>
        <v>13</v>
      </c>
    </row>
    <row r="51" spans="1:8" x14ac:dyDescent="0.25">
      <c r="A51" s="1">
        <f>export_calendar!AI53</f>
        <v>2027</v>
      </c>
      <c r="B51" s="1">
        <f>export_calendar!AJ53</f>
        <v>3</v>
      </c>
      <c r="C51" s="1">
        <f>export_calendar!AK53</f>
        <v>28</v>
      </c>
      <c r="D51" t="str">
        <f>export_calendar!AP53</f>
        <v>Vrolijk Pasen, zoek de eitjes</v>
      </c>
      <c r="E51" s="1">
        <f>export_calendar!AO53</f>
        <v>95</v>
      </c>
      <c r="F51">
        <f>MATCH(export_calendar!AL53,theme_boxes!C:C,0)-1</f>
        <v>17</v>
      </c>
      <c r="G51">
        <f>MATCH(export_calendar!AN53,light_patterns!B:B,0)-1</f>
        <v>9</v>
      </c>
      <c r="H51">
        <f>MATCH(export_calendar!AM53,light_colors!B:B,0)-1</f>
        <v>5</v>
      </c>
    </row>
    <row r="52" spans="1:8" x14ac:dyDescent="0.25">
      <c r="A52" s="1">
        <f>export_calendar!AI54</f>
        <v>2027</v>
      </c>
      <c r="B52" s="1">
        <f>export_calendar!AJ54</f>
        <v>3</v>
      </c>
      <c r="C52" s="1">
        <f>export_calendar!AK54</f>
        <v>29</v>
      </c>
      <c r="D52" t="str">
        <f>export_calendar!AP54</f>
        <v>Tweede Paasdag, zoek de eitjes</v>
      </c>
      <c r="E52" s="1">
        <f>export_calendar!AO54</f>
        <v>272</v>
      </c>
      <c r="F52">
        <f>MATCH(export_calendar!AL54,theme_boxes!C:C,0)-1</f>
        <v>17</v>
      </c>
      <c r="G52">
        <f>MATCH(export_calendar!AN54,light_patterns!B:B,0)-1</f>
        <v>13</v>
      </c>
      <c r="H52">
        <f>MATCH(export_calendar!AM54,light_colors!B:B,0)-1</f>
        <v>19</v>
      </c>
    </row>
    <row r="53" spans="1:8" x14ac:dyDescent="0.25">
      <c r="A53" s="1">
        <f>export_calendar!AI55</f>
        <v>2027</v>
      </c>
      <c r="B53" s="1">
        <f>export_calendar!AJ55</f>
        <v>4</v>
      </c>
      <c r="C53" s="1">
        <f>export_calendar!AK55</f>
        <v>1</v>
      </c>
      <c r="D53" t="str">
        <f>export_calendar!AP55</f>
        <v>Eerste van de maand april, een april, kikker in je bil!</v>
      </c>
      <c r="E53" s="1">
        <f>export_calendar!AO55</f>
        <v>265</v>
      </c>
      <c r="F53">
        <f>MATCH(export_calendar!AL55,theme_boxes!C:C,0)-1</f>
        <v>23</v>
      </c>
      <c r="G53">
        <f>MATCH(export_calendar!AN55,light_patterns!B:B,0)-1</f>
        <v>4</v>
      </c>
      <c r="H53">
        <f>MATCH(export_calendar!AM55,light_colors!B:B,0)-1</f>
        <v>7</v>
      </c>
    </row>
    <row r="54" spans="1:8" x14ac:dyDescent="0.25">
      <c r="A54" s="1">
        <f>export_calendar!AI56</f>
        <v>2027</v>
      </c>
      <c r="B54" s="1">
        <f>export_calendar!AJ56</f>
        <v>4</v>
      </c>
      <c r="C54" s="1">
        <f>export_calendar!AK56</f>
        <v>30</v>
      </c>
      <c r="D54" t="str">
        <f>export_calendar!AP56</f>
        <v>Hartelijk gefeliciteerd,  Paul</v>
      </c>
      <c r="E54" s="1">
        <f>export_calendar!AO56</f>
        <v>98</v>
      </c>
      <c r="F54">
        <f>MATCH(export_calendar!AL56,theme_boxes!C:C,0)-1</f>
        <v>15</v>
      </c>
      <c r="G54">
        <f>MATCH(export_calendar!AN56,light_patterns!B:B,0)-1</f>
        <v>3</v>
      </c>
      <c r="H54">
        <f>MATCH(export_calendar!AM56,light_colors!B:B,0)-1</f>
        <v>14</v>
      </c>
    </row>
    <row r="55" spans="1:8" x14ac:dyDescent="0.25">
      <c r="A55" s="1">
        <f>export_calendar!AI57</f>
        <v>2027</v>
      </c>
      <c r="B55" s="1">
        <f>export_calendar!AJ57</f>
        <v>5</v>
      </c>
      <c r="C55" s="1">
        <f>export_calendar!AK57</f>
        <v>1</v>
      </c>
      <c r="D55" t="str">
        <f>export_calendar!AP57</f>
        <v>Eerste van de maand mei- leggen alle vogeltjes een ei</v>
      </c>
      <c r="E55" s="1">
        <f>export_calendar!AO57</f>
        <v>202</v>
      </c>
      <c r="F55">
        <f>MATCH(export_calendar!AL57,theme_boxes!C:C,0)-1</f>
        <v>23</v>
      </c>
      <c r="G55">
        <f>MATCH(export_calendar!AN57,light_patterns!B:B,0)-1</f>
        <v>4</v>
      </c>
      <c r="H55">
        <f>MATCH(export_calendar!AM57,light_colors!B:B,0)-1</f>
        <v>7</v>
      </c>
    </row>
    <row r="56" spans="1:8" x14ac:dyDescent="0.25">
      <c r="A56" s="1">
        <f>export_calendar!AI58</f>
        <v>2027</v>
      </c>
      <c r="B56" s="1">
        <f>export_calendar!AJ58</f>
        <v>5</v>
      </c>
      <c r="C56" s="1">
        <f>export_calendar!AK58</f>
        <v>4</v>
      </c>
      <c r="D56" t="str">
        <f>export_calendar!AP58</f>
        <v>Dodenherdenking</v>
      </c>
      <c r="E56" s="1">
        <f>export_calendar!AO58</f>
        <v>102</v>
      </c>
      <c r="F56">
        <f>MATCH(export_calendar!AL58,theme_boxes!C:C,0)-1</f>
        <v>21</v>
      </c>
      <c r="G56">
        <f>MATCH(export_calendar!AN58,light_patterns!B:B,0)-1</f>
        <v>2</v>
      </c>
      <c r="H56">
        <f>MATCH(export_calendar!AM58,light_colors!B:B,0)-1</f>
        <v>31</v>
      </c>
    </row>
    <row r="57" spans="1:8" x14ac:dyDescent="0.25">
      <c r="A57" s="1">
        <f>export_calendar!AI59</f>
        <v>2027</v>
      </c>
      <c r="B57" s="1">
        <f>export_calendar!AJ59</f>
        <v>5</v>
      </c>
      <c r="C57" s="1">
        <f>export_calendar!AK59</f>
        <v>5</v>
      </c>
      <c r="D57" t="str">
        <f>export_calendar!AP59</f>
        <v>Bevrijdingsdag</v>
      </c>
      <c r="E57" s="1">
        <f>export_calendar!AO59</f>
        <v>64</v>
      </c>
      <c r="F57">
        <f>MATCH(export_calendar!AL59,theme_boxes!C:C,0)-1</f>
        <v>24</v>
      </c>
      <c r="G57">
        <f>MATCH(export_calendar!AN59,light_patterns!B:B,0)-1</f>
        <v>3</v>
      </c>
      <c r="H57">
        <f>MATCH(export_calendar!AM59,light_colors!B:B,0)-1</f>
        <v>3</v>
      </c>
    </row>
    <row r="58" spans="1:8" x14ac:dyDescent="0.25">
      <c r="A58" s="1">
        <f>export_calendar!AI60</f>
        <v>2027</v>
      </c>
      <c r="B58" s="1">
        <f>export_calendar!AJ60</f>
        <v>5</v>
      </c>
      <c r="C58" s="1">
        <f>export_calendar!AK60</f>
        <v>6</v>
      </c>
      <c r="D58" t="str">
        <f>export_calendar!AP60</f>
        <v>Hemelvaart</v>
      </c>
      <c r="E58" s="1">
        <f>export_calendar!AO60</f>
        <v>122</v>
      </c>
      <c r="F58">
        <f>MATCH(export_calendar!AL60,theme_boxes!C:C,0)-1</f>
        <v>11</v>
      </c>
      <c r="G58">
        <f>MATCH(export_calendar!AN60,light_patterns!B:B,0)-1</f>
        <v>2</v>
      </c>
      <c r="H58">
        <f>MATCH(export_calendar!AM60,light_colors!B:B,0)-1</f>
        <v>29</v>
      </c>
    </row>
    <row r="59" spans="1:8" x14ac:dyDescent="0.25">
      <c r="A59" s="1">
        <f>export_calendar!AI61</f>
        <v>2027</v>
      </c>
      <c r="B59" s="1">
        <f>export_calendar!AJ61</f>
        <v>5</v>
      </c>
      <c r="C59" s="1">
        <f>export_calendar!AK61</f>
        <v>10</v>
      </c>
      <c r="D59" t="str">
        <f>export_calendar!AP61</f>
        <v>Hartelijk gefeliciteerd,  Gaia</v>
      </c>
      <c r="E59" s="1">
        <f>export_calendar!AO61</f>
        <v>73</v>
      </c>
      <c r="F59">
        <f>MATCH(export_calendar!AL61,theme_boxes!C:C,0)-1</f>
        <v>15</v>
      </c>
      <c r="G59">
        <f>MATCH(export_calendar!AN61,light_patterns!B:B,0)-1</f>
        <v>3</v>
      </c>
      <c r="H59">
        <f>MATCH(export_calendar!AM61,light_colors!B:B,0)-1</f>
        <v>14</v>
      </c>
    </row>
    <row r="60" spans="1:8" x14ac:dyDescent="0.25">
      <c r="A60" s="1">
        <f>export_calendar!AI62</f>
        <v>2027</v>
      </c>
      <c r="B60" s="1">
        <f>export_calendar!AJ62</f>
        <v>5</v>
      </c>
      <c r="C60" s="1">
        <f>export_calendar!AK62</f>
        <v>16</v>
      </c>
      <c r="D60" t="str">
        <f>export_calendar!AP62</f>
        <v>Pinksteren,  - iets met vurige tongen?</v>
      </c>
      <c r="E60" s="1">
        <f>export_calendar!AO62</f>
        <v>137</v>
      </c>
      <c r="F60">
        <f>MATCH(export_calendar!AL62,theme_boxes!C:C,0)-1</f>
        <v>4</v>
      </c>
      <c r="G60">
        <f>MATCH(export_calendar!AN62,light_patterns!B:B,0)-1</f>
        <v>4</v>
      </c>
      <c r="H60">
        <f>MATCH(export_calendar!AM62,light_colors!B:B,0)-1</f>
        <v>8</v>
      </c>
    </row>
    <row r="61" spans="1:8" x14ac:dyDescent="0.25">
      <c r="A61" s="1">
        <f>export_calendar!AI63</f>
        <v>2027</v>
      </c>
      <c r="B61" s="1">
        <f>export_calendar!AJ63</f>
        <v>5</v>
      </c>
      <c r="C61" s="1">
        <f>export_calendar!AK63</f>
        <v>17</v>
      </c>
      <c r="D61" t="str">
        <f>export_calendar!AP63</f>
        <v>Nog steeds Pinksteren,  - iets met vurige tongen?</v>
      </c>
      <c r="E61" s="1">
        <f>export_calendar!AO63</f>
        <v>173</v>
      </c>
      <c r="F61">
        <f>MATCH(export_calendar!AL63,theme_boxes!C:C,0)-1</f>
        <v>4</v>
      </c>
      <c r="G61">
        <f>MATCH(export_calendar!AN63,light_patterns!B:B,0)-1</f>
        <v>4</v>
      </c>
      <c r="H61">
        <f>MATCH(export_calendar!AM63,light_colors!B:B,0)-1</f>
        <v>8</v>
      </c>
    </row>
    <row r="62" spans="1:8" x14ac:dyDescent="0.25">
      <c r="A62" s="1">
        <f>export_calendar!AI64</f>
        <v>2027</v>
      </c>
      <c r="B62" s="1">
        <f>export_calendar!AJ64</f>
        <v>6</v>
      </c>
      <c r="C62" s="1">
        <f>export_calendar!AK64</f>
        <v>1</v>
      </c>
      <c r="D62" t="str">
        <f>export_calendar!AP64</f>
        <v>Eerste van de maand juni</v>
      </c>
      <c r="E62" s="1">
        <f>export_calendar!AO64</f>
        <v>157</v>
      </c>
      <c r="F62">
        <f>MATCH(export_calendar!AL64,theme_boxes!C:C,0)-1</f>
        <v>23</v>
      </c>
      <c r="G62">
        <f>MATCH(export_calendar!AN64,light_patterns!B:B,0)-1</f>
        <v>4</v>
      </c>
      <c r="H62">
        <f>MATCH(export_calendar!AM64,light_colors!B:B,0)-1</f>
        <v>7</v>
      </c>
    </row>
    <row r="63" spans="1:8" x14ac:dyDescent="0.25">
      <c r="A63" s="1">
        <f>export_calendar!AI65</f>
        <v>2027</v>
      </c>
      <c r="B63" s="1">
        <f>export_calendar!AJ65</f>
        <v>6</v>
      </c>
      <c r="C63" s="1">
        <f>export_calendar!AK65</f>
        <v>24</v>
      </c>
      <c r="D63" t="str">
        <f>export_calendar!AP65</f>
        <v>SintJan</v>
      </c>
      <c r="E63" s="1">
        <f>export_calendar!AO65</f>
        <v>61</v>
      </c>
      <c r="F63">
        <f>MATCH(export_calendar!AL65,theme_boxes!C:C,0)-1</f>
        <v>24</v>
      </c>
      <c r="G63">
        <f>MATCH(export_calendar!AN65,light_patterns!B:B,0)-1</f>
        <v>27</v>
      </c>
      <c r="H63">
        <f>MATCH(export_calendar!AM65,light_colors!B:B,0)-1</f>
        <v>5</v>
      </c>
    </row>
    <row r="64" spans="1:8" x14ac:dyDescent="0.25">
      <c r="A64" s="1">
        <f>export_calendar!AI66</f>
        <v>2027</v>
      </c>
      <c r="B64" s="1">
        <f>export_calendar!AJ66</f>
        <v>7</v>
      </c>
      <c r="C64" s="1">
        <f>export_calendar!AK66</f>
        <v>1</v>
      </c>
      <c r="D64" t="str">
        <f>export_calendar!AP66</f>
        <v>Eerste van de maand juli</v>
      </c>
      <c r="E64" s="1">
        <f>export_calendar!AO66</f>
        <v>171</v>
      </c>
      <c r="F64">
        <f>MATCH(export_calendar!AL66,theme_boxes!C:C,0)-1</f>
        <v>23</v>
      </c>
      <c r="G64">
        <f>MATCH(export_calendar!AN66,light_patterns!B:B,0)-1</f>
        <v>4</v>
      </c>
      <c r="H64">
        <f>MATCH(export_calendar!AM66,light_colors!B:B,0)-1</f>
        <v>7</v>
      </c>
    </row>
    <row r="65" spans="1:8" x14ac:dyDescent="0.25">
      <c r="A65" s="1">
        <f>export_calendar!AI67</f>
        <v>2027</v>
      </c>
      <c r="B65" s="1">
        <f>export_calendar!AJ67</f>
        <v>8</v>
      </c>
      <c r="C65" s="1">
        <f>export_calendar!AK67</f>
        <v>1</v>
      </c>
      <c r="D65" t="str">
        <f>export_calendar!AP67</f>
        <v>Eerste van de maand augustus</v>
      </c>
      <c r="E65" s="1">
        <f>export_calendar!AO67</f>
        <v>231</v>
      </c>
      <c r="F65">
        <f>MATCH(export_calendar!AL67,theme_boxes!C:C,0)-1</f>
        <v>23</v>
      </c>
      <c r="G65">
        <f>MATCH(export_calendar!AN67,light_patterns!B:B,0)-1</f>
        <v>4</v>
      </c>
      <c r="H65">
        <f>MATCH(export_calendar!AM67,light_colors!B:B,0)-1</f>
        <v>7</v>
      </c>
    </row>
    <row r="66" spans="1:8" x14ac:dyDescent="0.25">
      <c r="A66" s="1">
        <f>export_calendar!AI68</f>
        <v>2027</v>
      </c>
      <c r="B66" s="1">
        <f>export_calendar!AJ68</f>
        <v>9</v>
      </c>
      <c r="C66" s="1">
        <f>export_calendar!AK68</f>
        <v>1</v>
      </c>
      <c r="D66" t="str">
        <f>export_calendar!AP68</f>
        <v>Eerste van de maand september</v>
      </c>
      <c r="E66" s="1">
        <f>export_calendar!AO68</f>
        <v>282</v>
      </c>
      <c r="F66">
        <f>MATCH(export_calendar!AL68,theme_boxes!C:C,0)-1</f>
        <v>23</v>
      </c>
      <c r="G66">
        <f>MATCH(export_calendar!AN68,light_patterns!B:B,0)-1</f>
        <v>4</v>
      </c>
      <c r="H66">
        <f>MATCH(export_calendar!AM68,light_colors!B:B,0)-1</f>
        <v>7</v>
      </c>
    </row>
    <row r="67" spans="1:8" x14ac:dyDescent="0.25">
      <c r="A67" s="1">
        <f>export_calendar!AI69</f>
        <v>2027</v>
      </c>
      <c r="B67" s="1">
        <f>export_calendar!AJ69</f>
        <v>10</v>
      </c>
      <c r="C67" s="1">
        <f>export_calendar!AK69</f>
        <v>1</v>
      </c>
      <c r="D67" t="str">
        <f>export_calendar!AP69</f>
        <v>Eerste van de maand oktober</v>
      </c>
      <c r="E67" s="1">
        <f>export_calendar!AO69</f>
        <v>277</v>
      </c>
      <c r="F67">
        <f>MATCH(export_calendar!AL69,theme_boxes!C:C,0)-1</f>
        <v>23</v>
      </c>
      <c r="G67">
        <f>MATCH(export_calendar!AN69,light_patterns!B:B,0)-1</f>
        <v>4</v>
      </c>
      <c r="H67">
        <f>MATCH(export_calendar!AM69,light_colors!B:B,0)-1</f>
        <v>7</v>
      </c>
    </row>
    <row r="68" spans="1:8" x14ac:dyDescent="0.25">
      <c r="A68" s="1">
        <f>export_calendar!AI70</f>
        <v>2027</v>
      </c>
      <c r="B68" s="1">
        <f>export_calendar!AJ70</f>
        <v>10</v>
      </c>
      <c r="C68" s="1">
        <f>export_calendar!AK70</f>
        <v>8</v>
      </c>
      <c r="D68" t="str">
        <f>export_calendar!AP70</f>
        <v>Hartelijk gefeliciteerd,  Jan</v>
      </c>
      <c r="E68" s="1">
        <f>export_calendar!AO70</f>
        <v>105</v>
      </c>
      <c r="F68">
        <f>MATCH(export_calendar!AL70,theme_boxes!C:C,0)-1</f>
        <v>15</v>
      </c>
      <c r="G68">
        <f>MATCH(export_calendar!AN70,light_patterns!B:B,0)-1</f>
        <v>3</v>
      </c>
      <c r="H68">
        <f>MATCH(export_calendar!AM70,light_colors!B:B,0)-1</f>
        <v>14</v>
      </c>
    </row>
    <row r="69" spans="1:8" x14ac:dyDescent="0.25">
      <c r="A69" s="1">
        <f>export_calendar!AI71</f>
        <v>2027</v>
      </c>
      <c r="B69" s="1">
        <f>export_calendar!AJ71</f>
        <v>11</v>
      </c>
      <c r="C69" s="1">
        <f>export_calendar!AK71</f>
        <v>1</v>
      </c>
      <c r="D69" t="str">
        <f>export_calendar!AP71</f>
        <v>Eerste van de maand november</v>
      </c>
      <c r="E69" s="1">
        <f>export_calendar!AO71</f>
        <v>221</v>
      </c>
      <c r="F69">
        <f>MATCH(export_calendar!AL71,theme_boxes!C:C,0)-1</f>
        <v>23</v>
      </c>
      <c r="G69">
        <f>MATCH(export_calendar!AN71,light_patterns!B:B,0)-1</f>
        <v>4</v>
      </c>
      <c r="H69">
        <f>MATCH(export_calendar!AM71,light_colors!B:B,0)-1</f>
        <v>7</v>
      </c>
    </row>
    <row r="70" spans="1:8" x14ac:dyDescent="0.25">
      <c r="A70" s="1">
        <f>export_calendar!AI72</f>
        <v>2027</v>
      </c>
      <c r="B70" s="1">
        <f>export_calendar!AJ72</f>
        <v>12</v>
      </c>
      <c r="C70" s="1">
        <f>export_calendar!AK72</f>
        <v>1</v>
      </c>
      <c r="D70" t="str">
        <f>export_calendar!AP72</f>
        <v>Eerste van de maand december</v>
      </c>
      <c r="E70" s="1">
        <f>export_calendar!AO72</f>
        <v>165</v>
      </c>
      <c r="F70">
        <f>MATCH(export_calendar!AL72,theme_boxes!C:C,0)-1</f>
        <v>23</v>
      </c>
      <c r="G70">
        <f>MATCH(export_calendar!AN72,light_patterns!B:B,0)-1</f>
        <v>4</v>
      </c>
      <c r="H70">
        <f>MATCH(export_calendar!AM72,light_colors!B:B,0)-1</f>
        <v>7</v>
      </c>
    </row>
    <row r="71" spans="1:8" x14ac:dyDescent="0.25">
      <c r="A71" s="1">
        <f>export_calendar!AI73</f>
        <v>2027</v>
      </c>
      <c r="B71" s="1">
        <f>export_calendar!AJ73</f>
        <v>12</v>
      </c>
      <c r="C71" s="1">
        <f>export_calendar!AK73</f>
        <v>5</v>
      </c>
      <c r="D71" t="str">
        <f>export_calendar!AP73</f>
        <v>Sinterklaas</v>
      </c>
      <c r="E71" s="1">
        <f>export_calendar!AO73</f>
        <v>113</v>
      </c>
      <c r="F71">
        <f>MATCH(export_calendar!AL73,theme_boxes!C:C,0)-1</f>
        <v>12</v>
      </c>
      <c r="G71">
        <f>MATCH(export_calendar!AN73,light_patterns!B:B,0)-1</f>
        <v>6</v>
      </c>
      <c r="H71">
        <f>MATCH(export_calendar!AM73,light_colors!B:B,0)-1</f>
        <v>28</v>
      </c>
    </row>
    <row r="72" spans="1:8" x14ac:dyDescent="0.25">
      <c r="A72" s="1">
        <f>export_calendar!AI74</f>
        <v>2027</v>
      </c>
      <c r="B72" s="1">
        <f>export_calendar!AJ74</f>
        <v>12</v>
      </c>
      <c r="C72" s="1">
        <f>export_calendar!AK74</f>
        <v>13</v>
      </c>
      <c r="D72" t="str">
        <f>export_calendar!AP74</f>
        <v>Hartelijk gefeliciteerd,  lieve Marit</v>
      </c>
      <c r="E72" s="1">
        <f>export_calendar!AO74</f>
        <v>114</v>
      </c>
      <c r="F72">
        <f>MATCH(export_calendar!AL74,theme_boxes!C:C,0)-1</f>
        <v>15</v>
      </c>
      <c r="G72">
        <f>MATCH(export_calendar!AN74,light_patterns!B:B,0)-1</f>
        <v>3</v>
      </c>
      <c r="H72">
        <f>MATCH(export_calendar!AM74,light_colors!B:B,0)-1</f>
        <v>14</v>
      </c>
    </row>
    <row r="73" spans="1:8" x14ac:dyDescent="0.25">
      <c r="A73" s="1">
        <f>export_calendar!AI75</f>
        <v>2027</v>
      </c>
      <c r="B73" s="1">
        <f>export_calendar!AJ75</f>
        <v>12</v>
      </c>
      <c r="C73" s="1">
        <f>export_calendar!AK75</f>
        <v>25</v>
      </c>
      <c r="D73" t="str">
        <f>export_calendar!AP75</f>
        <v>Vrolijk Kerstfeest</v>
      </c>
      <c r="E73" s="1">
        <f>export_calendar!AO75</f>
        <v>95</v>
      </c>
      <c r="F73">
        <f>MATCH(export_calendar!AL75,theme_boxes!C:C,0)-1</f>
        <v>8</v>
      </c>
      <c r="G73">
        <f>MATCH(export_calendar!AN75,light_patterns!B:B,0)-1</f>
        <v>26</v>
      </c>
      <c r="H73">
        <f>MATCH(export_calendar!AM75,light_colors!B:B,0)-1</f>
        <v>30</v>
      </c>
    </row>
    <row r="74" spans="1:8" x14ac:dyDescent="0.25">
      <c r="A74" s="1">
        <f>export_calendar!AI76</f>
        <v>2027</v>
      </c>
      <c r="B74" s="1">
        <f>export_calendar!AJ76</f>
        <v>12</v>
      </c>
      <c r="C74" s="1">
        <f>export_calendar!AK76</f>
        <v>26</v>
      </c>
      <c r="D74" t="str">
        <f>export_calendar!AP76</f>
        <v>Tweede Kerstdag</v>
      </c>
      <c r="E74" s="1">
        <f>export_calendar!AO76</f>
        <v>108</v>
      </c>
      <c r="F74">
        <f>MATCH(export_calendar!AL76,theme_boxes!C:C,0)-1</f>
        <v>8</v>
      </c>
      <c r="G74">
        <f>MATCH(export_calendar!AN76,light_patterns!B:B,0)-1</f>
        <v>5</v>
      </c>
      <c r="H74">
        <f>MATCH(export_calendar!AM76,light_colors!B:B,0)-1</f>
        <v>20</v>
      </c>
    </row>
    <row r="75" spans="1:8" x14ac:dyDescent="0.25">
      <c r="A75" s="1">
        <f>export_calendar!AI77</f>
        <v>2027</v>
      </c>
      <c r="B75" s="1">
        <f>export_calendar!AJ77</f>
        <v>12</v>
      </c>
      <c r="C75" s="1">
        <f>export_calendar!AK77</f>
        <v>28</v>
      </c>
      <c r="D75" t="str">
        <f>export_calendar!AP77</f>
        <v>Onnozele Kinderen</v>
      </c>
      <c r="E75" s="1">
        <f>export_calendar!AO77</f>
        <v>77</v>
      </c>
      <c r="F75">
        <f>MATCH(export_calendar!AL77,theme_boxes!C:C,0)-1</f>
        <v>10</v>
      </c>
      <c r="G75">
        <f>MATCH(export_calendar!AN77,light_patterns!B:B,0)-1</f>
        <v>26</v>
      </c>
      <c r="H75">
        <f>MATCH(export_calendar!AM77,light_colors!B:B,0)-1</f>
        <v>35</v>
      </c>
    </row>
    <row r="76" spans="1:8" x14ac:dyDescent="0.25">
      <c r="A76" s="1">
        <f>export_calendar!AI78</f>
        <v>2028</v>
      </c>
      <c r="B76" s="1">
        <f>export_calendar!AJ78</f>
        <v>1</v>
      </c>
      <c r="C76" s="1">
        <f>export_calendar!AK78</f>
        <v>1</v>
      </c>
      <c r="D76" t="str">
        <f>export_calendar!AP78</f>
        <v>Gelukkig Nieuwjaar</v>
      </c>
      <c r="E76" s="1">
        <f>export_calendar!AO78</f>
        <v>77</v>
      </c>
      <c r="F76">
        <f>MATCH(export_calendar!AL78,theme_boxes!C:C,0)-1</f>
        <v>24</v>
      </c>
      <c r="G76">
        <f>MATCH(export_calendar!AN78,light_patterns!B:B,0)-1</f>
        <v>2</v>
      </c>
      <c r="H76">
        <f>MATCH(export_calendar!AM78,light_colors!B:B,0)-1</f>
        <v>40</v>
      </c>
    </row>
    <row r="77" spans="1:8" x14ac:dyDescent="0.25">
      <c r="A77" s="1">
        <f>export_calendar!AI79</f>
        <v>2028</v>
      </c>
      <c r="B77" s="1">
        <f>export_calendar!AJ79</f>
        <v>2</v>
      </c>
      <c r="C77" s="1">
        <f>export_calendar!AK79</f>
        <v>1</v>
      </c>
      <c r="D77" t="str">
        <f>export_calendar!AP79</f>
        <v>Eerste van de maand februari</v>
      </c>
      <c r="E77" s="1">
        <f>export_calendar!AO79</f>
        <v>249</v>
      </c>
      <c r="F77">
        <f>MATCH(export_calendar!AL79,theme_boxes!C:C,0)-1</f>
        <v>23</v>
      </c>
      <c r="G77">
        <f>MATCH(export_calendar!AN79,light_patterns!B:B,0)-1</f>
        <v>4</v>
      </c>
      <c r="H77">
        <f>MATCH(export_calendar!AM79,light_colors!B:B,0)-1</f>
        <v>7</v>
      </c>
    </row>
    <row r="78" spans="1:8" x14ac:dyDescent="0.25">
      <c r="A78" s="1">
        <f>export_calendar!AI80</f>
        <v>2028</v>
      </c>
      <c r="B78" s="1">
        <f>export_calendar!AJ80</f>
        <v>2</v>
      </c>
      <c r="C78" s="1">
        <f>export_calendar!AK80</f>
        <v>14</v>
      </c>
      <c r="D78" t="str">
        <f>export_calendar!AP80</f>
        <v>Valentijns en verlovingsdag</v>
      </c>
      <c r="E78" s="1">
        <f>export_calendar!AO80</f>
        <v>70</v>
      </c>
      <c r="F78">
        <f>MATCH(export_calendar!AL80,theme_boxes!C:C,0)-1</f>
        <v>24</v>
      </c>
      <c r="G78">
        <f>MATCH(export_calendar!AN80,light_patterns!B:B,0)-1</f>
        <v>6</v>
      </c>
      <c r="H78">
        <f>MATCH(export_calendar!AM80,light_colors!B:B,0)-1</f>
        <v>42</v>
      </c>
    </row>
    <row r="79" spans="1:8" x14ac:dyDescent="0.25">
      <c r="A79" s="1">
        <f>export_calendar!AI81</f>
        <v>2028</v>
      </c>
      <c r="B79" s="1">
        <f>export_calendar!AJ81</f>
        <v>2</v>
      </c>
      <c r="C79" s="1">
        <f>export_calendar!AK81</f>
        <v>26</v>
      </c>
      <c r="D79" t="str">
        <f>export_calendar!AP81</f>
        <v>Suikerfeest</v>
      </c>
      <c r="E79" s="1">
        <f>export_calendar!AO81</f>
        <v>240</v>
      </c>
      <c r="F79">
        <f>MATCH(export_calendar!AL81,theme_boxes!C:C,0)-1</f>
        <v>10</v>
      </c>
      <c r="G79">
        <f>MATCH(export_calendar!AN81,light_patterns!B:B,0)-1</f>
        <v>7</v>
      </c>
      <c r="H79">
        <f>MATCH(export_calendar!AM81,light_colors!B:B,0)-1</f>
        <v>1</v>
      </c>
    </row>
    <row r="80" spans="1:8" x14ac:dyDescent="0.25">
      <c r="A80" s="1">
        <f>export_calendar!AI82</f>
        <v>2028</v>
      </c>
      <c r="B80" s="1">
        <f>export_calendar!AJ82</f>
        <v>2</v>
      </c>
      <c r="C80" s="1">
        <f>export_calendar!AK82</f>
        <v>27</v>
      </c>
      <c r="D80" t="str">
        <f>export_calendar!AP82</f>
        <v>Carnaval, En deh hittie naw gedonn umdettie Hellemonder is</v>
      </c>
      <c r="E80" s="1">
        <f>export_calendar!AO82</f>
        <v>98</v>
      </c>
      <c r="F80">
        <f>MATCH(export_calendar!AL82,theme_boxes!C:C,0)-1</f>
        <v>24</v>
      </c>
      <c r="G80">
        <f>MATCH(export_calendar!AN82,light_patterns!B:B,0)-1</f>
        <v>3</v>
      </c>
      <c r="H80">
        <f>MATCH(export_calendar!AM82,light_colors!B:B,0)-1</f>
        <v>7</v>
      </c>
    </row>
    <row r="81" spans="1:8" x14ac:dyDescent="0.25">
      <c r="A81" s="1">
        <f>export_calendar!AI83</f>
        <v>2028</v>
      </c>
      <c r="B81" s="1">
        <f>export_calendar!AJ83</f>
        <v>2</v>
      </c>
      <c r="C81" s="1">
        <f>export_calendar!AK83</f>
        <v>27</v>
      </c>
      <c r="D81" t="str">
        <f>export_calendar!AP83</f>
        <v>Carnaval, Keiebijters!!</v>
      </c>
      <c r="E81" s="1">
        <f>export_calendar!AO83</f>
        <v>82</v>
      </c>
      <c r="F81">
        <f>MATCH(export_calendar!AL83,theme_boxes!C:C,0)-1</f>
        <v>24</v>
      </c>
      <c r="G81">
        <f>MATCH(export_calendar!AN83,light_patterns!B:B,0)-1</f>
        <v>3</v>
      </c>
      <c r="H81">
        <f>MATCH(export_calendar!AM83,light_colors!B:B,0)-1</f>
        <v>7</v>
      </c>
    </row>
    <row r="82" spans="1:8" x14ac:dyDescent="0.25">
      <c r="A82" s="1">
        <f>export_calendar!AI84</f>
        <v>2028</v>
      </c>
      <c r="B82" s="1">
        <f>export_calendar!AJ84</f>
        <v>2</v>
      </c>
      <c r="C82" s="1">
        <f>export_calendar!AK84</f>
        <v>28</v>
      </c>
      <c r="D82" t="str">
        <f>export_calendar!AP84</f>
        <v>RosenMoontach, Alaaf!!</v>
      </c>
      <c r="E82" s="1">
        <f>export_calendar!AO84</f>
        <v>99</v>
      </c>
      <c r="F82">
        <f>MATCH(export_calendar!AL84,theme_boxes!C:C,0)-1</f>
        <v>24</v>
      </c>
      <c r="G82">
        <f>MATCH(export_calendar!AN84,light_patterns!B:B,0)-1</f>
        <v>3</v>
      </c>
      <c r="H82">
        <f>MATCH(export_calendar!AM84,light_colors!B:B,0)-1</f>
        <v>7</v>
      </c>
    </row>
    <row r="83" spans="1:8" x14ac:dyDescent="0.25">
      <c r="A83" s="1">
        <f>export_calendar!AI85</f>
        <v>2028</v>
      </c>
      <c r="B83" s="1">
        <f>export_calendar!AJ85</f>
        <v>3</v>
      </c>
      <c r="C83" s="1">
        <f>export_calendar!AK85</f>
        <v>1</v>
      </c>
      <c r="D83" t="str">
        <f>export_calendar!AP85</f>
        <v>Eerste van de maand maart</v>
      </c>
      <c r="E83" s="1">
        <f>export_calendar!AO85</f>
        <v>287</v>
      </c>
      <c r="F83">
        <f>MATCH(export_calendar!AL85,theme_boxes!C:C,0)-1</f>
        <v>23</v>
      </c>
      <c r="G83">
        <f>MATCH(export_calendar!AN85,light_patterns!B:B,0)-1</f>
        <v>4</v>
      </c>
      <c r="H83">
        <f>MATCH(export_calendar!AM85,light_colors!B:B,0)-1</f>
        <v>7</v>
      </c>
    </row>
    <row r="84" spans="1:8" x14ac:dyDescent="0.25">
      <c r="A84" s="1">
        <f>export_calendar!AI86</f>
        <v>2028</v>
      </c>
      <c r="B84" s="1">
        <f>export_calendar!AJ86</f>
        <v>3</v>
      </c>
      <c r="C84" s="1">
        <f>export_calendar!AK86</f>
        <v>1</v>
      </c>
      <c r="D84" t="str">
        <f>export_calendar!AP86</f>
        <v>Aswoensdag ,  - en nu begint de katholieke ramadan</v>
      </c>
      <c r="E84" s="1">
        <f>export_calendar!AO86</f>
        <v>187</v>
      </c>
      <c r="F84">
        <f>MATCH(export_calendar!AL86,theme_boxes!C:C,0)-1</f>
        <v>21</v>
      </c>
      <c r="G84">
        <f>MATCH(export_calendar!AN86,light_patterns!B:B,0)-1</f>
        <v>5</v>
      </c>
      <c r="H84">
        <f>MATCH(export_calendar!AM86,light_colors!B:B,0)-1</f>
        <v>21</v>
      </c>
    </row>
    <row r="85" spans="1:8" x14ac:dyDescent="0.25">
      <c r="A85" s="1">
        <f>export_calendar!AI87</f>
        <v>2028</v>
      </c>
      <c r="B85" s="1">
        <f>export_calendar!AJ87</f>
        <v>3</v>
      </c>
      <c r="C85" s="1">
        <f>export_calendar!AK87</f>
        <v>14</v>
      </c>
      <c r="D85" t="str">
        <f>export_calendar!AP87</f>
        <v>piedag - drie komma een vier enzovoorts !en nog meer decimalen</v>
      </c>
      <c r="E85" s="1">
        <f>export_calendar!AO87</f>
        <v>95</v>
      </c>
      <c r="F85">
        <f>MATCH(export_calendar!AL87,theme_boxes!C:C,0)-1</f>
        <v>9</v>
      </c>
      <c r="G85">
        <f>MATCH(export_calendar!AN87,light_patterns!B:B,0)-1</f>
        <v>28</v>
      </c>
      <c r="H85">
        <f>MATCH(export_calendar!AM87,light_colors!B:B,0)-1</f>
        <v>6</v>
      </c>
    </row>
    <row r="86" spans="1:8" x14ac:dyDescent="0.25">
      <c r="A86" s="1">
        <f>export_calendar!AI88</f>
        <v>2028</v>
      </c>
      <c r="B86" s="1">
        <f>export_calendar!AJ88</f>
        <v>3</v>
      </c>
      <c r="C86" s="1">
        <f>export_calendar!AK88</f>
        <v>21</v>
      </c>
      <c r="D86" t="str">
        <f>export_calendar!AP88</f>
        <v>Hartelijk gefeliciteerd,  Thomas</v>
      </c>
      <c r="E86" s="1">
        <f>export_calendar!AO88</f>
        <v>73</v>
      </c>
      <c r="F86">
        <f>MATCH(export_calendar!AL88,theme_boxes!C:C,0)-1</f>
        <v>15</v>
      </c>
      <c r="G86">
        <f>MATCH(export_calendar!AN88,light_patterns!B:B,0)-1</f>
        <v>3</v>
      </c>
      <c r="H86">
        <f>MATCH(export_calendar!AM88,light_colors!B:B,0)-1</f>
        <v>14</v>
      </c>
    </row>
    <row r="87" spans="1:8" x14ac:dyDescent="0.25">
      <c r="A87" s="1">
        <f>export_calendar!AI89</f>
        <v>2028</v>
      </c>
      <c r="B87" s="1">
        <f>export_calendar!AJ89</f>
        <v>4</v>
      </c>
      <c r="C87" s="1">
        <f>export_calendar!AK89</f>
        <v>1</v>
      </c>
      <c r="D87" t="str">
        <f>export_calendar!AP89</f>
        <v>Eerste van de maand april, een april, kikker in je bil!</v>
      </c>
      <c r="E87" s="1">
        <f>export_calendar!AO89</f>
        <v>265</v>
      </c>
      <c r="F87">
        <f>MATCH(export_calendar!AL89,theme_boxes!C:C,0)-1</f>
        <v>23</v>
      </c>
      <c r="G87">
        <f>MATCH(export_calendar!AN89,light_patterns!B:B,0)-1</f>
        <v>4</v>
      </c>
      <c r="H87">
        <f>MATCH(export_calendar!AM89,light_colors!B:B,0)-1</f>
        <v>7</v>
      </c>
    </row>
    <row r="88" spans="1:8" x14ac:dyDescent="0.25">
      <c r="A88" s="1">
        <f>export_calendar!AI90</f>
        <v>2028</v>
      </c>
      <c r="B88" s="1">
        <f>export_calendar!AJ90</f>
        <v>4</v>
      </c>
      <c r="C88" s="1">
        <f>export_calendar!AK90</f>
        <v>14</v>
      </c>
      <c r="D88" t="str">
        <f>export_calendar!AP90</f>
        <v>Goede Vrijdag</v>
      </c>
      <c r="E88" s="1">
        <f>export_calendar!AO90</f>
        <v>187</v>
      </c>
      <c r="F88">
        <f>MATCH(export_calendar!AL90,theme_boxes!C:C,0)-1</f>
        <v>13</v>
      </c>
      <c r="G88">
        <f>MATCH(export_calendar!AN90,light_patterns!B:B,0)-1</f>
        <v>2</v>
      </c>
      <c r="H88">
        <f>MATCH(export_calendar!AM90,light_colors!B:B,0)-1</f>
        <v>13</v>
      </c>
    </row>
    <row r="89" spans="1:8" x14ac:dyDescent="0.25">
      <c r="A89" s="1">
        <f>export_calendar!AI91</f>
        <v>2028</v>
      </c>
      <c r="B89" s="1">
        <f>export_calendar!AJ91</f>
        <v>4</v>
      </c>
      <c r="C89" s="1">
        <f>export_calendar!AK91</f>
        <v>16</v>
      </c>
      <c r="D89" t="str">
        <f>export_calendar!AP91</f>
        <v>Vrolijk Pasen</v>
      </c>
      <c r="E89" s="1">
        <f>export_calendar!AO91</f>
        <v>86</v>
      </c>
      <c r="F89">
        <f>MATCH(export_calendar!AL91,theme_boxes!C:C,0)-1</f>
        <v>17</v>
      </c>
      <c r="G89">
        <f>MATCH(export_calendar!AN91,light_patterns!B:B,0)-1</f>
        <v>9</v>
      </c>
      <c r="H89">
        <f>MATCH(export_calendar!AM91,light_colors!B:B,0)-1</f>
        <v>5</v>
      </c>
    </row>
    <row r="90" spans="1:8" x14ac:dyDescent="0.25">
      <c r="A90" s="1">
        <f>export_calendar!AI92</f>
        <v>2028</v>
      </c>
      <c r="B90" s="1">
        <f>export_calendar!AJ92</f>
        <v>4</v>
      </c>
      <c r="C90" s="1">
        <f>export_calendar!AK92</f>
        <v>17</v>
      </c>
      <c r="D90" t="str">
        <f>export_calendar!AP92</f>
        <v>Tweede Paasdag</v>
      </c>
      <c r="E90" s="1">
        <f>export_calendar!AO92</f>
        <v>331</v>
      </c>
      <c r="F90">
        <f>MATCH(export_calendar!AL92,theme_boxes!C:C,0)-1</f>
        <v>17</v>
      </c>
      <c r="G90">
        <f>MATCH(export_calendar!AN92,light_patterns!B:B,0)-1</f>
        <v>13</v>
      </c>
      <c r="H90">
        <f>MATCH(export_calendar!AM92,light_colors!B:B,0)-1</f>
        <v>19</v>
      </c>
    </row>
    <row r="91" spans="1:8" x14ac:dyDescent="0.25">
      <c r="A91" s="1">
        <f>export_calendar!AI93</f>
        <v>2028</v>
      </c>
      <c r="B91" s="1">
        <f>export_calendar!AJ93</f>
        <v>4</v>
      </c>
      <c r="C91" s="1">
        <f>export_calendar!AK93</f>
        <v>30</v>
      </c>
      <c r="D91" t="str">
        <f>export_calendar!AP93</f>
        <v>Hartelijk gefeliciteerd,  Paul</v>
      </c>
      <c r="E91" s="1">
        <f>export_calendar!AO93</f>
        <v>98</v>
      </c>
      <c r="F91">
        <f>MATCH(export_calendar!AL93,theme_boxes!C:C,0)-1</f>
        <v>15</v>
      </c>
      <c r="G91">
        <f>MATCH(export_calendar!AN93,light_patterns!B:B,0)-1</f>
        <v>3</v>
      </c>
      <c r="H91">
        <f>MATCH(export_calendar!AM93,light_colors!B:B,0)-1</f>
        <v>14</v>
      </c>
    </row>
    <row r="92" spans="1:8" x14ac:dyDescent="0.25">
      <c r="A92" s="1">
        <f>export_calendar!AI94</f>
        <v>2028</v>
      </c>
      <c r="B92" s="1">
        <f>export_calendar!AJ94</f>
        <v>5</v>
      </c>
      <c r="C92" s="1">
        <f>export_calendar!AK94</f>
        <v>1</v>
      </c>
      <c r="D92" t="str">
        <f>export_calendar!AP94</f>
        <v>Eerste van de maand mei- leggen alle vogeltjes een ei</v>
      </c>
      <c r="E92" s="1">
        <f>export_calendar!AO94</f>
        <v>202</v>
      </c>
      <c r="F92">
        <f>MATCH(export_calendar!AL94,theme_boxes!C:C,0)-1</f>
        <v>23</v>
      </c>
      <c r="G92">
        <f>MATCH(export_calendar!AN94,light_patterns!B:B,0)-1</f>
        <v>4</v>
      </c>
      <c r="H92">
        <f>MATCH(export_calendar!AM94,light_colors!B:B,0)-1</f>
        <v>7</v>
      </c>
    </row>
    <row r="93" spans="1:8" x14ac:dyDescent="0.25">
      <c r="A93" s="1">
        <f>export_calendar!AI95</f>
        <v>2028</v>
      </c>
      <c r="B93" s="1">
        <f>export_calendar!AJ95</f>
        <v>5</v>
      </c>
      <c r="C93" s="1">
        <f>export_calendar!AK95</f>
        <v>4</v>
      </c>
      <c r="D93" t="str">
        <f>export_calendar!AP95</f>
        <v>Dodenherdenking</v>
      </c>
      <c r="E93" s="1">
        <f>export_calendar!AO95</f>
        <v>102</v>
      </c>
      <c r="F93">
        <f>MATCH(export_calendar!AL95,theme_boxes!C:C,0)-1</f>
        <v>21</v>
      </c>
      <c r="G93">
        <f>MATCH(export_calendar!AN95,light_patterns!B:B,0)-1</f>
        <v>2</v>
      </c>
      <c r="H93">
        <f>MATCH(export_calendar!AM95,light_colors!B:B,0)-1</f>
        <v>31</v>
      </c>
    </row>
    <row r="94" spans="1:8" x14ac:dyDescent="0.25">
      <c r="A94" s="1">
        <f>export_calendar!AI96</f>
        <v>2028</v>
      </c>
      <c r="B94" s="1">
        <f>export_calendar!AJ96</f>
        <v>5</v>
      </c>
      <c r="C94" s="1">
        <f>export_calendar!AK96</f>
        <v>5</v>
      </c>
      <c r="D94" t="str">
        <f>export_calendar!AP96</f>
        <v>Bevrijdingsdag</v>
      </c>
      <c r="E94" s="1">
        <f>export_calendar!AO96</f>
        <v>64</v>
      </c>
      <c r="F94">
        <f>MATCH(export_calendar!AL96,theme_boxes!C:C,0)-1</f>
        <v>24</v>
      </c>
      <c r="G94">
        <f>MATCH(export_calendar!AN96,light_patterns!B:B,0)-1</f>
        <v>3</v>
      </c>
      <c r="H94">
        <f>MATCH(export_calendar!AM96,light_colors!B:B,0)-1</f>
        <v>3</v>
      </c>
    </row>
    <row r="95" spans="1:8" x14ac:dyDescent="0.25">
      <c r="A95" s="1">
        <f>export_calendar!AI97</f>
        <v>2028</v>
      </c>
      <c r="B95" s="1">
        <f>export_calendar!AJ97</f>
        <v>5</v>
      </c>
      <c r="C95" s="1">
        <f>export_calendar!AK97</f>
        <v>10</v>
      </c>
      <c r="D95" t="str">
        <f>export_calendar!AP97</f>
        <v>Hartelijk gefeliciteerd,  Gaia</v>
      </c>
      <c r="E95" s="1">
        <f>export_calendar!AO97</f>
        <v>73</v>
      </c>
      <c r="F95">
        <f>MATCH(export_calendar!AL97,theme_boxes!C:C,0)-1</f>
        <v>15</v>
      </c>
      <c r="G95">
        <f>MATCH(export_calendar!AN97,light_patterns!B:B,0)-1</f>
        <v>3</v>
      </c>
      <c r="H95">
        <f>MATCH(export_calendar!AM97,light_colors!B:B,0)-1</f>
        <v>14</v>
      </c>
    </row>
    <row r="96" spans="1:8" x14ac:dyDescent="0.25">
      <c r="A96" s="1">
        <f>export_calendar!AI98</f>
        <v>2028</v>
      </c>
      <c r="B96" s="1">
        <f>export_calendar!AJ98</f>
        <v>5</v>
      </c>
      <c r="C96" s="1">
        <f>export_calendar!AK98</f>
        <v>25</v>
      </c>
      <c r="D96" t="str">
        <f>export_calendar!AP98</f>
        <v>Hemelvaart</v>
      </c>
      <c r="E96" s="1">
        <f>export_calendar!AO98</f>
        <v>101</v>
      </c>
      <c r="F96">
        <f>MATCH(export_calendar!AL98,theme_boxes!C:C,0)-1</f>
        <v>11</v>
      </c>
      <c r="G96">
        <f>MATCH(export_calendar!AN98,light_patterns!B:B,0)-1</f>
        <v>2</v>
      </c>
      <c r="H96">
        <f>MATCH(export_calendar!AM98,light_colors!B:B,0)-1</f>
        <v>29</v>
      </c>
    </row>
    <row r="97" spans="1:8" x14ac:dyDescent="0.25">
      <c r="A97" s="1">
        <f>export_calendar!AI99</f>
        <v>2028</v>
      </c>
      <c r="B97" s="1">
        <f>export_calendar!AJ99</f>
        <v>6</v>
      </c>
      <c r="C97" s="1">
        <f>export_calendar!AK99</f>
        <v>1</v>
      </c>
      <c r="D97" t="str">
        <f>export_calendar!AP99</f>
        <v>Eerste van de maand juni</v>
      </c>
      <c r="E97" s="1">
        <f>export_calendar!AO99</f>
        <v>157</v>
      </c>
      <c r="F97">
        <f>MATCH(export_calendar!AL99,theme_boxes!C:C,0)-1</f>
        <v>23</v>
      </c>
      <c r="G97">
        <f>MATCH(export_calendar!AN99,light_patterns!B:B,0)-1</f>
        <v>4</v>
      </c>
      <c r="H97">
        <f>MATCH(export_calendar!AM99,light_colors!B:B,0)-1</f>
        <v>7</v>
      </c>
    </row>
    <row r="98" spans="1:8" x14ac:dyDescent="0.25">
      <c r="A98" s="1">
        <f>export_calendar!AI100</f>
        <v>2028</v>
      </c>
      <c r="B98" s="1">
        <f>export_calendar!AJ100</f>
        <v>6</v>
      </c>
      <c r="C98" s="1">
        <f>export_calendar!AK100</f>
        <v>4</v>
      </c>
      <c r="D98" t="str">
        <f>export_calendar!AP100</f>
        <v>Pinksteren,  - de Heilige Geest zien vliegen???</v>
      </c>
      <c r="E98" s="1">
        <f>export_calendar!AO100</f>
        <v>117</v>
      </c>
      <c r="F98">
        <f>MATCH(export_calendar!AL100,theme_boxes!C:C,0)-1</f>
        <v>4</v>
      </c>
      <c r="G98">
        <f>MATCH(export_calendar!AN100,light_patterns!B:B,0)-1</f>
        <v>4</v>
      </c>
      <c r="H98">
        <f>MATCH(export_calendar!AM100,light_colors!B:B,0)-1</f>
        <v>8</v>
      </c>
    </row>
    <row r="99" spans="1:8" x14ac:dyDescent="0.25">
      <c r="A99" s="1">
        <f>export_calendar!AI101</f>
        <v>2028</v>
      </c>
      <c r="B99" s="1">
        <f>export_calendar!AJ101</f>
        <v>6</v>
      </c>
      <c r="C99" s="1">
        <f>export_calendar!AK101</f>
        <v>5</v>
      </c>
      <c r="D99" t="str">
        <f>export_calendar!AP101</f>
        <v>Nog steeds Pinksteren,  - de Heilige Geest zien vliegen???</v>
      </c>
      <c r="E99" s="1">
        <f>export_calendar!AO101</f>
        <v>206</v>
      </c>
      <c r="F99">
        <f>MATCH(export_calendar!AL101,theme_boxes!C:C,0)-1</f>
        <v>4</v>
      </c>
      <c r="G99">
        <f>MATCH(export_calendar!AN101,light_patterns!B:B,0)-1</f>
        <v>4</v>
      </c>
      <c r="H99">
        <f>MATCH(export_calendar!AM101,light_colors!B:B,0)-1</f>
        <v>8</v>
      </c>
    </row>
    <row r="100" spans="1:8" x14ac:dyDescent="0.25">
      <c r="A100" s="1">
        <f>export_calendar!AI102</f>
        <v>2028</v>
      </c>
      <c r="B100" s="1">
        <f>export_calendar!AJ102</f>
        <v>6</v>
      </c>
      <c r="C100" s="1">
        <f>export_calendar!AK102</f>
        <v>24</v>
      </c>
      <c r="D100" t="str">
        <f>export_calendar!AP102</f>
        <v>SintJan</v>
      </c>
      <c r="E100" s="1">
        <f>export_calendar!AO102</f>
        <v>61</v>
      </c>
      <c r="F100">
        <f>MATCH(export_calendar!AL102,theme_boxes!C:C,0)-1</f>
        <v>24</v>
      </c>
      <c r="G100">
        <f>MATCH(export_calendar!AN102,light_patterns!B:B,0)-1</f>
        <v>27</v>
      </c>
      <c r="H100">
        <f>MATCH(export_calendar!AM102,light_colors!B:B,0)-1</f>
        <v>5</v>
      </c>
    </row>
    <row r="101" spans="1:8" x14ac:dyDescent="0.25">
      <c r="A101" s="1">
        <f>export_calendar!AI103</f>
        <v>2028</v>
      </c>
      <c r="B101" s="1">
        <f>export_calendar!AJ103</f>
        <v>7</v>
      </c>
      <c r="C101" s="1">
        <f>export_calendar!AK103</f>
        <v>1</v>
      </c>
      <c r="D101" t="str">
        <f>export_calendar!AP103</f>
        <v>Eerste van de maand juli</v>
      </c>
      <c r="E101" s="1">
        <f>export_calendar!AO103</f>
        <v>171</v>
      </c>
      <c r="F101">
        <f>MATCH(export_calendar!AL103,theme_boxes!C:C,0)-1</f>
        <v>23</v>
      </c>
      <c r="G101">
        <f>MATCH(export_calendar!AN103,light_patterns!B:B,0)-1</f>
        <v>4</v>
      </c>
      <c r="H101">
        <f>MATCH(export_calendar!AM103,light_colors!B:B,0)-1</f>
        <v>7</v>
      </c>
    </row>
    <row r="102" spans="1:8" x14ac:dyDescent="0.25">
      <c r="A102" s="1">
        <f>export_calendar!AI104</f>
        <v>2028</v>
      </c>
      <c r="B102" s="1">
        <f>export_calendar!AJ104</f>
        <v>8</v>
      </c>
      <c r="C102" s="1">
        <f>export_calendar!AK104</f>
        <v>1</v>
      </c>
      <c r="D102" t="str">
        <f>export_calendar!AP104</f>
        <v>Eerste van de maand augustus</v>
      </c>
      <c r="E102" s="1">
        <f>export_calendar!AO104</f>
        <v>231</v>
      </c>
      <c r="F102">
        <f>MATCH(export_calendar!AL104,theme_boxes!C:C,0)-1</f>
        <v>23</v>
      </c>
      <c r="G102">
        <f>MATCH(export_calendar!AN104,light_patterns!B:B,0)-1</f>
        <v>4</v>
      </c>
      <c r="H102">
        <f>MATCH(export_calendar!AM104,light_colors!B:B,0)-1</f>
        <v>7</v>
      </c>
    </row>
    <row r="103" spans="1:8" x14ac:dyDescent="0.25">
      <c r="A103" s="1">
        <f>export_calendar!AI105</f>
        <v>2028</v>
      </c>
      <c r="B103" s="1">
        <f>export_calendar!AJ105</f>
        <v>9</v>
      </c>
      <c r="C103" s="1">
        <f>export_calendar!AK105</f>
        <v>1</v>
      </c>
      <c r="D103" t="str">
        <f>export_calendar!AP105</f>
        <v>Eerste van de maand september</v>
      </c>
      <c r="E103" s="1">
        <f>export_calendar!AO105</f>
        <v>282</v>
      </c>
      <c r="F103">
        <f>MATCH(export_calendar!AL105,theme_boxes!C:C,0)-1</f>
        <v>23</v>
      </c>
      <c r="G103">
        <f>MATCH(export_calendar!AN105,light_patterns!B:B,0)-1</f>
        <v>4</v>
      </c>
      <c r="H103">
        <f>MATCH(export_calendar!AM105,light_colors!B:B,0)-1</f>
        <v>7</v>
      </c>
    </row>
    <row r="104" spans="1:8" x14ac:dyDescent="0.25">
      <c r="A104" s="1">
        <f>export_calendar!AI106</f>
        <v>2028</v>
      </c>
      <c r="B104" s="1">
        <f>export_calendar!AJ106</f>
        <v>10</v>
      </c>
      <c r="C104" s="1">
        <f>export_calendar!AK106</f>
        <v>1</v>
      </c>
      <c r="D104" t="str">
        <f>export_calendar!AP106</f>
        <v>Eerste van de maand oktober</v>
      </c>
      <c r="E104" s="1">
        <f>export_calendar!AO106</f>
        <v>277</v>
      </c>
      <c r="F104">
        <f>MATCH(export_calendar!AL106,theme_boxes!C:C,0)-1</f>
        <v>23</v>
      </c>
      <c r="G104">
        <f>MATCH(export_calendar!AN106,light_patterns!B:B,0)-1</f>
        <v>4</v>
      </c>
      <c r="H104">
        <f>MATCH(export_calendar!AM106,light_colors!B:B,0)-1</f>
        <v>7</v>
      </c>
    </row>
    <row r="105" spans="1:8" x14ac:dyDescent="0.25">
      <c r="A105" s="1">
        <f>export_calendar!AI107</f>
        <v>2028</v>
      </c>
      <c r="B105" s="1">
        <f>export_calendar!AJ107</f>
        <v>10</v>
      </c>
      <c r="C105" s="1">
        <f>export_calendar!AK107</f>
        <v>8</v>
      </c>
      <c r="D105" t="str">
        <f>export_calendar!AP107</f>
        <v>Hartelijk gefeliciteerd,  Jan</v>
      </c>
      <c r="E105" s="1">
        <f>export_calendar!AO107</f>
        <v>105</v>
      </c>
      <c r="F105">
        <f>MATCH(export_calendar!AL107,theme_boxes!C:C,0)-1</f>
        <v>15</v>
      </c>
      <c r="G105">
        <f>MATCH(export_calendar!AN107,light_patterns!B:B,0)-1</f>
        <v>3</v>
      </c>
      <c r="H105">
        <f>MATCH(export_calendar!AM107,light_colors!B:B,0)-1</f>
        <v>14</v>
      </c>
    </row>
    <row r="106" spans="1:8" x14ac:dyDescent="0.25">
      <c r="A106" s="1">
        <f>export_calendar!AI108</f>
        <v>2028</v>
      </c>
      <c r="B106" s="1">
        <f>export_calendar!AJ108</f>
        <v>11</v>
      </c>
      <c r="C106" s="1">
        <f>export_calendar!AK108</f>
        <v>1</v>
      </c>
      <c r="D106" t="str">
        <f>export_calendar!AP108</f>
        <v>Eerste van de maand november</v>
      </c>
      <c r="E106" s="1">
        <f>export_calendar!AO108</f>
        <v>221</v>
      </c>
      <c r="F106">
        <f>MATCH(export_calendar!AL108,theme_boxes!C:C,0)-1</f>
        <v>23</v>
      </c>
      <c r="G106">
        <f>MATCH(export_calendar!AN108,light_patterns!B:B,0)-1</f>
        <v>4</v>
      </c>
      <c r="H106">
        <f>MATCH(export_calendar!AM108,light_colors!B:B,0)-1</f>
        <v>7</v>
      </c>
    </row>
    <row r="107" spans="1:8" x14ac:dyDescent="0.25">
      <c r="A107" s="1">
        <f>export_calendar!AI109</f>
        <v>2028</v>
      </c>
      <c r="B107" s="1">
        <f>export_calendar!AJ109</f>
        <v>12</v>
      </c>
      <c r="C107" s="1">
        <f>export_calendar!AK109</f>
        <v>1</v>
      </c>
      <c r="D107" t="str">
        <f>export_calendar!AP109</f>
        <v>Eerste van de maand december</v>
      </c>
      <c r="E107" s="1">
        <f>export_calendar!AO109</f>
        <v>165</v>
      </c>
      <c r="F107">
        <f>MATCH(export_calendar!AL109,theme_boxes!C:C,0)-1</f>
        <v>23</v>
      </c>
      <c r="G107">
        <f>MATCH(export_calendar!AN109,light_patterns!B:B,0)-1</f>
        <v>4</v>
      </c>
      <c r="H107">
        <f>MATCH(export_calendar!AM109,light_colors!B:B,0)-1</f>
        <v>7</v>
      </c>
    </row>
    <row r="108" spans="1:8" x14ac:dyDescent="0.25">
      <c r="A108" s="1">
        <f>export_calendar!AI110</f>
        <v>2028</v>
      </c>
      <c r="B108" s="1">
        <f>export_calendar!AJ110</f>
        <v>12</v>
      </c>
      <c r="C108" s="1">
        <f>export_calendar!AK110</f>
        <v>5</v>
      </c>
      <c r="D108" t="str">
        <f>export_calendar!AP110</f>
        <v>Sinterklaas</v>
      </c>
      <c r="E108" s="1">
        <f>export_calendar!AO110</f>
        <v>113</v>
      </c>
      <c r="F108">
        <f>MATCH(export_calendar!AL110,theme_boxes!C:C,0)-1</f>
        <v>12</v>
      </c>
      <c r="G108">
        <f>MATCH(export_calendar!AN110,light_patterns!B:B,0)-1</f>
        <v>6</v>
      </c>
      <c r="H108">
        <f>MATCH(export_calendar!AM110,light_colors!B:B,0)-1</f>
        <v>28</v>
      </c>
    </row>
    <row r="109" spans="1:8" x14ac:dyDescent="0.25">
      <c r="A109" s="1">
        <f>export_calendar!AI111</f>
        <v>2028</v>
      </c>
      <c r="B109" s="1">
        <f>export_calendar!AJ111</f>
        <v>12</v>
      </c>
      <c r="C109" s="1">
        <f>export_calendar!AK111</f>
        <v>13</v>
      </c>
      <c r="D109" t="str">
        <f>export_calendar!AP111</f>
        <v>Hartelijk gefeliciteerd,  lieve Marit</v>
      </c>
      <c r="E109" s="1">
        <f>export_calendar!AO111</f>
        <v>114</v>
      </c>
      <c r="F109">
        <f>MATCH(export_calendar!AL111,theme_boxes!C:C,0)-1</f>
        <v>15</v>
      </c>
      <c r="G109">
        <f>MATCH(export_calendar!AN111,light_patterns!B:B,0)-1</f>
        <v>3</v>
      </c>
      <c r="H109">
        <f>MATCH(export_calendar!AM111,light_colors!B:B,0)-1</f>
        <v>14</v>
      </c>
    </row>
    <row r="110" spans="1:8" x14ac:dyDescent="0.25">
      <c r="A110" s="1">
        <f>export_calendar!AI112</f>
        <v>2028</v>
      </c>
      <c r="B110" s="1">
        <f>export_calendar!AJ112</f>
        <v>12</v>
      </c>
      <c r="C110" s="1">
        <f>export_calendar!AK112</f>
        <v>25</v>
      </c>
      <c r="D110" t="str">
        <f>export_calendar!AP112</f>
        <v>Vrolijk Kerstfeest</v>
      </c>
      <c r="E110" s="1">
        <f>export_calendar!AO112</f>
        <v>95</v>
      </c>
      <c r="F110">
        <f>MATCH(export_calendar!AL112,theme_boxes!C:C,0)-1</f>
        <v>8</v>
      </c>
      <c r="G110">
        <f>MATCH(export_calendar!AN112,light_patterns!B:B,0)-1</f>
        <v>26</v>
      </c>
      <c r="H110">
        <f>MATCH(export_calendar!AM112,light_colors!B:B,0)-1</f>
        <v>30</v>
      </c>
    </row>
    <row r="111" spans="1:8" x14ac:dyDescent="0.25">
      <c r="A111" s="1">
        <f>export_calendar!AI113</f>
        <v>2028</v>
      </c>
      <c r="B111" s="1">
        <f>export_calendar!AJ113</f>
        <v>12</v>
      </c>
      <c r="C111" s="1">
        <f>export_calendar!AK113</f>
        <v>26</v>
      </c>
      <c r="D111" t="str">
        <f>export_calendar!AP113</f>
        <v>Tweede Kerstdag</v>
      </c>
      <c r="E111" s="1">
        <f>export_calendar!AO113</f>
        <v>108</v>
      </c>
      <c r="F111">
        <f>MATCH(export_calendar!AL113,theme_boxes!C:C,0)-1</f>
        <v>8</v>
      </c>
      <c r="G111">
        <f>MATCH(export_calendar!AN113,light_patterns!B:B,0)-1</f>
        <v>5</v>
      </c>
      <c r="H111">
        <f>MATCH(export_calendar!AM113,light_colors!B:B,0)-1</f>
        <v>20</v>
      </c>
    </row>
    <row r="112" spans="1:8" x14ac:dyDescent="0.25">
      <c r="A112" s="1">
        <f>export_calendar!AI114</f>
        <v>2028</v>
      </c>
      <c r="B112" s="1">
        <f>export_calendar!AJ114</f>
        <v>12</v>
      </c>
      <c r="C112" s="1">
        <f>export_calendar!AK114</f>
        <v>28</v>
      </c>
      <c r="D112" t="str">
        <f>export_calendar!AP114</f>
        <v>Onnozele Kinderen</v>
      </c>
      <c r="E112" s="1">
        <f>export_calendar!AO114</f>
        <v>77</v>
      </c>
      <c r="F112">
        <f>MATCH(export_calendar!AL114,theme_boxes!C:C,0)-1</f>
        <v>10</v>
      </c>
      <c r="G112">
        <f>MATCH(export_calendar!AN114,light_patterns!B:B,0)-1</f>
        <v>26</v>
      </c>
      <c r="H112">
        <f>MATCH(export_calendar!AM114,light_colors!B:B,0)-1</f>
        <v>35</v>
      </c>
    </row>
    <row r="113" spans="1:8" x14ac:dyDescent="0.25">
      <c r="A113" s="1">
        <f>export_calendar!AI115</f>
        <v>2029</v>
      </c>
      <c r="B113" s="1">
        <f>export_calendar!AJ115</f>
        <v>1</v>
      </c>
      <c r="C113" s="1">
        <f>export_calendar!AK115</f>
        <v>1</v>
      </c>
      <c r="D113" t="str">
        <f>export_calendar!AP115</f>
        <v>Gelukkig Nieuwjaar</v>
      </c>
      <c r="E113" s="1">
        <f>export_calendar!AO115</f>
        <v>77</v>
      </c>
      <c r="F113">
        <f>MATCH(export_calendar!AL115,theme_boxes!C:C,0)-1</f>
        <v>24</v>
      </c>
      <c r="G113">
        <f>MATCH(export_calendar!AN115,light_patterns!B:B,0)-1</f>
        <v>2</v>
      </c>
      <c r="H113">
        <f>MATCH(export_calendar!AM115,light_colors!B:B,0)-1</f>
        <v>40</v>
      </c>
    </row>
    <row r="114" spans="1:8" x14ac:dyDescent="0.25">
      <c r="A114" s="1">
        <f>export_calendar!AI116</f>
        <v>2029</v>
      </c>
      <c r="B114" s="1">
        <f>export_calendar!AJ116</f>
        <v>2</v>
      </c>
      <c r="C114" s="1">
        <f>export_calendar!AK116</f>
        <v>1</v>
      </c>
      <c r="D114" t="str">
        <f>export_calendar!AP116</f>
        <v>Eerste van de maand februari</v>
      </c>
      <c r="E114" s="1">
        <f>export_calendar!AO116</f>
        <v>249</v>
      </c>
      <c r="F114">
        <f>MATCH(export_calendar!AL116,theme_boxes!C:C,0)-1</f>
        <v>23</v>
      </c>
      <c r="G114">
        <f>MATCH(export_calendar!AN116,light_patterns!B:B,0)-1</f>
        <v>4</v>
      </c>
      <c r="H114">
        <f>MATCH(export_calendar!AM116,light_colors!B:B,0)-1</f>
        <v>7</v>
      </c>
    </row>
    <row r="115" spans="1:8" x14ac:dyDescent="0.25">
      <c r="A115" s="1">
        <f>export_calendar!AI117</f>
        <v>2029</v>
      </c>
      <c r="B115" s="1">
        <f>export_calendar!AJ117</f>
        <v>2</v>
      </c>
      <c r="C115" s="1">
        <f>export_calendar!AK117</f>
        <v>11</v>
      </c>
      <c r="D115" t="str">
        <f>export_calendar!AP117</f>
        <v>Carnaval, Agge mar leut heht</v>
      </c>
      <c r="E115" s="1">
        <f>export_calendar!AO117</f>
        <v>82</v>
      </c>
      <c r="F115">
        <f>MATCH(export_calendar!AL117,theme_boxes!C:C,0)-1</f>
        <v>24</v>
      </c>
      <c r="G115">
        <f>MATCH(export_calendar!AN117,light_patterns!B:B,0)-1</f>
        <v>3</v>
      </c>
      <c r="H115">
        <f>MATCH(export_calendar!AM117,light_colors!B:B,0)-1</f>
        <v>7</v>
      </c>
    </row>
    <row r="116" spans="1:8" x14ac:dyDescent="0.25">
      <c r="A116" s="1">
        <f>export_calendar!AI118</f>
        <v>2029</v>
      </c>
      <c r="B116" s="1">
        <f>export_calendar!AJ118</f>
        <v>2</v>
      </c>
      <c r="C116" s="1">
        <f>export_calendar!AK118</f>
        <v>11</v>
      </c>
      <c r="D116" t="str">
        <f>export_calendar!AP118</f>
        <v>Carnaval, En deh hittie naw gedonn umdettie Hellemonder is</v>
      </c>
      <c r="E116" s="1">
        <f>export_calendar!AO118</f>
        <v>99</v>
      </c>
      <c r="F116">
        <f>MATCH(export_calendar!AL118,theme_boxes!C:C,0)-1</f>
        <v>24</v>
      </c>
      <c r="G116">
        <f>MATCH(export_calendar!AN118,light_patterns!B:B,0)-1</f>
        <v>3</v>
      </c>
      <c r="H116">
        <f>MATCH(export_calendar!AM118,light_colors!B:B,0)-1</f>
        <v>7</v>
      </c>
    </row>
    <row r="117" spans="1:8" x14ac:dyDescent="0.25">
      <c r="A117" s="1">
        <f>export_calendar!AI119</f>
        <v>2029</v>
      </c>
      <c r="B117" s="1">
        <f>export_calendar!AJ119</f>
        <v>2</v>
      </c>
      <c r="C117" s="1">
        <f>export_calendar!AK119</f>
        <v>12</v>
      </c>
      <c r="D117" t="str">
        <f>export_calendar!AP119</f>
        <v>RosenMoontach, Keiebijters!!</v>
      </c>
      <c r="E117" s="1">
        <f>export_calendar!AO119</f>
        <v>121</v>
      </c>
      <c r="F117">
        <f>MATCH(export_calendar!AL119,theme_boxes!C:C,0)-1</f>
        <v>24</v>
      </c>
      <c r="G117">
        <f>MATCH(export_calendar!AN119,light_patterns!B:B,0)-1</f>
        <v>3</v>
      </c>
      <c r="H117">
        <f>MATCH(export_calendar!AM119,light_colors!B:B,0)-1</f>
        <v>7</v>
      </c>
    </row>
    <row r="118" spans="1:8" x14ac:dyDescent="0.25">
      <c r="A118" s="1">
        <f>export_calendar!AI120</f>
        <v>2029</v>
      </c>
      <c r="B118" s="1">
        <f>export_calendar!AJ120</f>
        <v>2</v>
      </c>
      <c r="C118" s="1">
        <f>export_calendar!AK120</f>
        <v>14</v>
      </c>
      <c r="D118" t="str">
        <f>export_calendar!AP120</f>
        <v>Suikerfeest</v>
      </c>
      <c r="E118" s="1">
        <f>export_calendar!AO120</f>
        <v>252</v>
      </c>
      <c r="F118">
        <f>MATCH(export_calendar!AL120,theme_boxes!C:C,0)-1</f>
        <v>10</v>
      </c>
      <c r="G118">
        <f>MATCH(export_calendar!AN120,light_patterns!B:B,0)-1</f>
        <v>7</v>
      </c>
      <c r="H118">
        <f>MATCH(export_calendar!AM120,light_colors!B:B,0)-1</f>
        <v>1</v>
      </c>
    </row>
    <row r="119" spans="1:8" x14ac:dyDescent="0.25">
      <c r="A119" s="1">
        <f>export_calendar!AI121</f>
        <v>2029</v>
      </c>
      <c r="B119" s="1">
        <f>export_calendar!AJ121</f>
        <v>2</v>
      </c>
      <c r="C119" s="1">
        <f>export_calendar!AK121</f>
        <v>14</v>
      </c>
      <c r="D119" t="str">
        <f>export_calendar!AP121</f>
        <v>Aswoensdag ,  - het is  uit met de carnavalspret</v>
      </c>
      <c r="E119" s="1">
        <f>export_calendar!AO121</f>
        <v>179</v>
      </c>
      <c r="F119">
        <f>MATCH(export_calendar!AL121,theme_boxes!C:C,0)-1</f>
        <v>21</v>
      </c>
      <c r="G119">
        <f>MATCH(export_calendar!AN121,light_patterns!B:B,0)-1</f>
        <v>5</v>
      </c>
      <c r="H119">
        <f>MATCH(export_calendar!AM121,light_colors!B:B,0)-1</f>
        <v>21</v>
      </c>
    </row>
    <row r="120" spans="1:8" x14ac:dyDescent="0.25">
      <c r="A120" s="1">
        <f>export_calendar!AI122</f>
        <v>2029</v>
      </c>
      <c r="B120" s="1">
        <f>export_calendar!AJ122</f>
        <v>2</v>
      </c>
      <c r="C120" s="1">
        <f>export_calendar!AK122</f>
        <v>14</v>
      </c>
      <c r="D120" t="str">
        <f>export_calendar!AP122</f>
        <v>Valentijns en verlovingsdag</v>
      </c>
      <c r="E120" s="1">
        <f>export_calendar!AO122</f>
        <v>70</v>
      </c>
      <c r="F120">
        <f>MATCH(export_calendar!AL122,theme_boxes!C:C,0)-1</f>
        <v>24</v>
      </c>
      <c r="G120">
        <f>MATCH(export_calendar!AN122,light_patterns!B:B,0)-1</f>
        <v>6</v>
      </c>
      <c r="H120">
        <f>MATCH(export_calendar!AM122,light_colors!B:B,0)-1</f>
        <v>42</v>
      </c>
    </row>
    <row r="121" spans="1:8" x14ac:dyDescent="0.25">
      <c r="A121" s="1">
        <f>export_calendar!AI123</f>
        <v>2029</v>
      </c>
      <c r="B121" s="1">
        <f>export_calendar!AJ123</f>
        <v>3</v>
      </c>
      <c r="C121" s="1">
        <f>export_calendar!AK123</f>
        <v>1</v>
      </c>
      <c r="D121" t="str">
        <f>export_calendar!AP123</f>
        <v>Eerste van de maand maart</v>
      </c>
      <c r="E121" s="1">
        <f>export_calendar!AO123</f>
        <v>287</v>
      </c>
      <c r="F121">
        <f>MATCH(export_calendar!AL123,theme_boxes!C:C,0)-1</f>
        <v>23</v>
      </c>
      <c r="G121">
        <f>MATCH(export_calendar!AN123,light_patterns!B:B,0)-1</f>
        <v>4</v>
      </c>
      <c r="H121">
        <f>MATCH(export_calendar!AM123,light_colors!B:B,0)-1</f>
        <v>7</v>
      </c>
    </row>
    <row r="122" spans="1:8" x14ac:dyDescent="0.25">
      <c r="A122" s="1">
        <f>export_calendar!AI124</f>
        <v>2029</v>
      </c>
      <c r="B122" s="1">
        <f>export_calendar!AJ124</f>
        <v>3</v>
      </c>
      <c r="C122" s="1">
        <f>export_calendar!AK124</f>
        <v>14</v>
      </c>
      <c r="D122" t="str">
        <f>export_calendar!AP124</f>
        <v>piedag - drie komma een vier enzovoorts !en nog meer decimalen</v>
      </c>
      <c r="E122" s="1">
        <f>export_calendar!AO124</f>
        <v>95</v>
      </c>
      <c r="F122">
        <f>MATCH(export_calendar!AL124,theme_boxes!C:C,0)-1</f>
        <v>9</v>
      </c>
      <c r="G122">
        <f>MATCH(export_calendar!AN124,light_patterns!B:B,0)-1</f>
        <v>28</v>
      </c>
      <c r="H122">
        <f>MATCH(export_calendar!AM124,light_colors!B:B,0)-1</f>
        <v>6</v>
      </c>
    </row>
    <row r="123" spans="1:8" x14ac:dyDescent="0.25">
      <c r="A123" s="1">
        <f>export_calendar!AI125</f>
        <v>2029</v>
      </c>
      <c r="B123" s="1">
        <f>export_calendar!AJ125</f>
        <v>3</v>
      </c>
      <c r="C123" s="1">
        <f>export_calendar!AK125</f>
        <v>21</v>
      </c>
      <c r="D123" t="str">
        <f>export_calendar!AP125</f>
        <v>Hartelijk gefeliciteerd,  Thomas</v>
      </c>
      <c r="E123" s="1">
        <f>export_calendar!AO125</f>
        <v>73</v>
      </c>
      <c r="F123">
        <f>MATCH(export_calendar!AL125,theme_boxes!C:C,0)-1</f>
        <v>15</v>
      </c>
      <c r="G123">
        <f>MATCH(export_calendar!AN125,light_patterns!B:B,0)-1</f>
        <v>3</v>
      </c>
      <c r="H123">
        <f>MATCH(export_calendar!AM125,light_colors!B:B,0)-1</f>
        <v>14</v>
      </c>
    </row>
    <row r="124" spans="1:8" x14ac:dyDescent="0.25">
      <c r="A124" s="1">
        <f>export_calendar!AI126</f>
        <v>2029</v>
      </c>
      <c r="B124" s="1">
        <f>export_calendar!AJ126</f>
        <v>3</v>
      </c>
      <c r="C124" s="1">
        <f>export_calendar!AK126</f>
        <v>30</v>
      </c>
      <c r="D124" t="str">
        <f>export_calendar!AP126</f>
        <v>Goede Vrijdag,  tja, Goede Vrijdag?</v>
      </c>
      <c r="E124" s="1">
        <f>export_calendar!AO126</f>
        <v>215</v>
      </c>
      <c r="F124">
        <f>MATCH(export_calendar!AL126,theme_boxes!C:C,0)-1</f>
        <v>13</v>
      </c>
      <c r="G124">
        <f>MATCH(export_calendar!AN126,light_patterns!B:B,0)-1</f>
        <v>2</v>
      </c>
      <c r="H124">
        <f>MATCH(export_calendar!AM126,light_colors!B:B,0)-1</f>
        <v>13</v>
      </c>
    </row>
    <row r="125" spans="1:8" x14ac:dyDescent="0.25">
      <c r="A125" s="1">
        <f>export_calendar!AI127</f>
        <v>2029</v>
      </c>
      <c r="B125" s="1">
        <f>export_calendar!AJ127</f>
        <v>4</v>
      </c>
      <c r="C125" s="1">
        <f>export_calendar!AK127</f>
        <v>1</v>
      </c>
      <c r="D125" t="str">
        <f>export_calendar!AP127</f>
        <v>Eerste van de maand april, een april, kikker in je bil!</v>
      </c>
      <c r="E125" s="1">
        <f>export_calendar!AO127</f>
        <v>265</v>
      </c>
      <c r="F125">
        <f>MATCH(export_calendar!AL127,theme_boxes!C:C,0)-1</f>
        <v>23</v>
      </c>
      <c r="G125">
        <f>MATCH(export_calendar!AN127,light_patterns!B:B,0)-1</f>
        <v>4</v>
      </c>
      <c r="H125">
        <f>MATCH(export_calendar!AM127,light_colors!B:B,0)-1</f>
        <v>7</v>
      </c>
    </row>
    <row r="126" spans="1:8" x14ac:dyDescent="0.25">
      <c r="A126" s="1">
        <f>export_calendar!AI128</f>
        <v>2029</v>
      </c>
      <c r="B126" s="1">
        <f>export_calendar!AJ128</f>
        <v>4</v>
      </c>
      <c r="C126" s="1">
        <f>export_calendar!AK128</f>
        <v>1</v>
      </c>
      <c r="D126" t="str">
        <f>export_calendar!AP128</f>
        <v>Vrolijk Pasen</v>
      </c>
      <c r="E126" s="1">
        <f>export_calendar!AO128</f>
        <v>71</v>
      </c>
      <c r="F126">
        <f>MATCH(export_calendar!AL128,theme_boxes!C:C,0)-1</f>
        <v>17</v>
      </c>
      <c r="G126">
        <f>MATCH(export_calendar!AN128,light_patterns!B:B,0)-1</f>
        <v>9</v>
      </c>
      <c r="H126">
        <f>MATCH(export_calendar!AM128,light_colors!B:B,0)-1</f>
        <v>5</v>
      </c>
    </row>
    <row r="127" spans="1:8" x14ac:dyDescent="0.25">
      <c r="A127" s="1">
        <f>export_calendar!AI129</f>
        <v>2029</v>
      </c>
      <c r="B127" s="1">
        <f>export_calendar!AJ129</f>
        <v>4</v>
      </c>
      <c r="C127" s="1">
        <f>export_calendar!AK129</f>
        <v>2</v>
      </c>
      <c r="D127" t="str">
        <f>export_calendar!AP129</f>
        <v>Tweede Paasdag, zoek de eitjes</v>
      </c>
      <c r="E127" s="1">
        <f>export_calendar!AO129</f>
        <v>371</v>
      </c>
      <c r="F127">
        <f>MATCH(export_calendar!AL129,theme_boxes!C:C,0)-1</f>
        <v>17</v>
      </c>
      <c r="G127">
        <f>MATCH(export_calendar!AN129,light_patterns!B:B,0)-1</f>
        <v>13</v>
      </c>
      <c r="H127">
        <f>MATCH(export_calendar!AM129,light_colors!B:B,0)-1</f>
        <v>19</v>
      </c>
    </row>
    <row r="128" spans="1:8" x14ac:dyDescent="0.25">
      <c r="A128" s="1">
        <f>export_calendar!AI130</f>
        <v>2029</v>
      </c>
      <c r="B128" s="1">
        <f>export_calendar!AJ130</f>
        <v>4</v>
      </c>
      <c r="C128" s="1">
        <f>export_calendar!AK130</f>
        <v>30</v>
      </c>
      <c r="D128" t="str">
        <f>export_calendar!AP130</f>
        <v>Hartelijk gefeliciteerd,  Paul</v>
      </c>
      <c r="E128" s="1">
        <f>export_calendar!AO130</f>
        <v>98</v>
      </c>
      <c r="F128">
        <f>MATCH(export_calendar!AL130,theme_boxes!C:C,0)-1</f>
        <v>15</v>
      </c>
      <c r="G128">
        <f>MATCH(export_calendar!AN130,light_patterns!B:B,0)-1</f>
        <v>3</v>
      </c>
      <c r="H128">
        <f>MATCH(export_calendar!AM130,light_colors!B:B,0)-1</f>
        <v>14</v>
      </c>
    </row>
    <row r="129" spans="1:8" x14ac:dyDescent="0.25">
      <c r="A129" s="1">
        <f>export_calendar!AI131</f>
        <v>2029</v>
      </c>
      <c r="B129" s="1">
        <f>export_calendar!AJ131</f>
        <v>5</v>
      </c>
      <c r="C129" s="1">
        <f>export_calendar!AK131</f>
        <v>1</v>
      </c>
      <c r="D129" t="str">
        <f>export_calendar!AP131</f>
        <v>Eerste van de maand mei- leggen alle vogeltjes een ei</v>
      </c>
      <c r="E129" s="1">
        <f>export_calendar!AO131</f>
        <v>202</v>
      </c>
      <c r="F129">
        <f>MATCH(export_calendar!AL131,theme_boxes!C:C,0)-1</f>
        <v>23</v>
      </c>
      <c r="G129">
        <f>MATCH(export_calendar!AN131,light_patterns!B:B,0)-1</f>
        <v>4</v>
      </c>
      <c r="H129">
        <f>MATCH(export_calendar!AM131,light_colors!B:B,0)-1</f>
        <v>7</v>
      </c>
    </row>
    <row r="130" spans="1:8" x14ac:dyDescent="0.25">
      <c r="A130" s="1">
        <f>export_calendar!AI132</f>
        <v>2029</v>
      </c>
      <c r="B130" s="1">
        <f>export_calendar!AJ132</f>
        <v>5</v>
      </c>
      <c r="C130" s="1">
        <f>export_calendar!AK132</f>
        <v>4</v>
      </c>
      <c r="D130" t="str">
        <f>export_calendar!AP132</f>
        <v>Dodenherdenking</v>
      </c>
      <c r="E130" s="1">
        <f>export_calendar!AO132</f>
        <v>102</v>
      </c>
      <c r="F130">
        <f>MATCH(export_calendar!AL132,theme_boxes!C:C,0)-1</f>
        <v>21</v>
      </c>
      <c r="G130">
        <f>MATCH(export_calendar!AN132,light_patterns!B:B,0)-1</f>
        <v>2</v>
      </c>
      <c r="H130">
        <f>MATCH(export_calendar!AM132,light_colors!B:B,0)-1</f>
        <v>31</v>
      </c>
    </row>
    <row r="131" spans="1:8" x14ac:dyDescent="0.25">
      <c r="A131" s="1">
        <f>export_calendar!AI133</f>
        <v>2029</v>
      </c>
      <c r="B131" s="1">
        <f>export_calendar!AJ133</f>
        <v>5</v>
      </c>
      <c r="C131" s="1">
        <f>export_calendar!AK133</f>
        <v>5</v>
      </c>
      <c r="D131" t="str">
        <f>export_calendar!AP133</f>
        <v>Bevrijdingsdag</v>
      </c>
      <c r="E131" s="1">
        <f>export_calendar!AO133</f>
        <v>64</v>
      </c>
      <c r="F131">
        <f>MATCH(export_calendar!AL133,theme_boxes!C:C,0)-1</f>
        <v>24</v>
      </c>
      <c r="G131">
        <f>MATCH(export_calendar!AN133,light_patterns!B:B,0)-1</f>
        <v>3</v>
      </c>
      <c r="H131">
        <f>MATCH(export_calendar!AM133,light_colors!B:B,0)-1</f>
        <v>3</v>
      </c>
    </row>
    <row r="132" spans="1:8" x14ac:dyDescent="0.25">
      <c r="A132" s="1">
        <f>export_calendar!AI134</f>
        <v>2029</v>
      </c>
      <c r="B132" s="1">
        <f>export_calendar!AJ134</f>
        <v>5</v>
      </c>
      <c r="C132" s="1">
        <f>export_calendar!AK134</f>
        <v>10</v>
      </c>
      <c r="D132" t="str">
        <f>export_calendar!AP134</f>
        <v>Hemelvaart</v>
      </c>
      <c r="E132" s="1">
        <f>export_calendar!AO134</f>
        <v>88</v>
      </c>
      <c r="F132">
        <f>MATCH(export_calendar!AL134,theme_boxes!C:C,0)-1</f>
        <v>11</v>
      </c>
      <c r="G132">
        <f>MATCH(export_calendar!AN134,light_patterns!B:B,0)-1</f>
        <v>2</v>
      </c>
      <c r="H132">
        <f>MATCH(export_calendar!AM134,light_colors!B:B,0)-1</f>
        <v>29</v>
      </c>
    </row>
    <row r="133" spans="1:8" x14ac:dyDescent="0.25">
      <c r="A133" s="1">
        <f>export_calendar!AI135</f>
        <v>2029</v>
      </c>
      <c r="B133" s="1">
        <f>export_calendar!AJ135</f>
        <v>5</v>
      </c>
      <c r="C133" s="1">
        <f>export_calendar!AK135</f>
        <v>10</v>
      </c>
      <c r="D133" t="str">
        <f>export_calendar!AP135</f>
        <v>Hartelijk gefeliciteerd,  Gaia</v>
      </c>
      <c r="E133" s="1">
        <f>export_calendar!AO135</f>
        <v>73</v>
      </c>
      <c r="F133">
        <f>MATCH(export_calendar!AL135,theme_boxes!C:C,0)-1</f>
        <v>15</v>
      </c>
      <c r="G133">
        <f>MATCH(export_calendar!AN135,light_patterns!B:B,0)-1</f>
        <v>3</v>
      </c>
      <c r="H133">
        <f>MATCH(export_calendar!AM135,light_colors!B:B,0)-1</f>
        <v>14</v>
      </c>
    </row>
    <row r="134" spans="1:8" x14ac:dyDescent="0.25">
      <c r="A134" s="1">
        <f>export_calendar!AI136</f>
        <v>2029</v>
      </c>
      <c r="B134" s="1">
        <f>export_calendar!AJ136</f>
        <v>5</v>
      </c>
      <c r="C134" s="1">
        <f>export_calendar!AK136</f>
        <v>20</v>
      </c>
      <c r="D134" t="str">
        <f>export_calendar!AP136</f>
        <v>Pinksteren</v>
      </c>
      <c r="E134" s="1">
        <f>export_calendar!AO136</f>
        <v>124</v>
      </c>
      <c r="F134">
        <f>MATCH(export_calendar!AL136,theme_boxes!C:C,0)-1</f>
        <v>4</v>
      </c>
      <c r="G134">
        <f>MATCH(export_calendar!AN136,light_patterns!B:B,0)-1</f>
        <v>4</v>
      </c>
      <c r="H134">
        <f>MATCH(export_calendar!AM136,light_colors!B:B,0)-1</f>
        <v>8</v>
      </c>
    </row>
    <row r="135" spans="1:8" x14ac:dyDescent="0.25">
      <c r="A135" s="1">
        <f>export_calendar!AI137</f>
        <v>2029</v>
      </c>
      <c r="B135" s="1">
        <f>export_calendar!AJ137</f>
        <v>5</v>
      </c>
      <c r="C135" s="1">
        <f>export_calendar!AK137</f>
        <v>21</v>
      </c>
      <c r="D135" t="str">
        <f>export_calendar!AP137</f>
        <v>Nog steeds Pinksteren</v>
      </c>
      <c r="E135" s="1">
        <f>export_calendar!AO137</f>
        <v>244</v>
      </c>
      <c r="F135">
        <f>MATCH(export_calendar!AL137,theme_boxes!C:C,0)-1</f>
        <v>4</v>
      </c>
      <c r="G135">
        <f>MATCH(export_calendar!AN137,light_patterns!B:B,0)-1</f>
        <v>4</v>
      </c>
      <c r="H135">
        <f>MATCH(export_calendar!AM137,light_colors!B:B,0)-1</f>
        <v>8</v>
      </c>
    </row>
    <row r="136" spans="1:8" x14ac:dyDescent="0.25">
      <c r="A136" s="1">
        <f>export_calendar!AI138</f>
        <v>2029</v>
      </c>
      <c r="B136" s="1">
        <f>export_calendar!AJ138</f>
        <v>6</v>
      </c>
      <c r="C136" s="1">
        <f>export_calendar!AK138</f>
        <v>1</v>
      </c>
      <c r="D136" t="str">
        <f>export_calendar!AP138</f>
        <v>Eerste van de maand juni</v>
      </c>
      <c r="E136" s="1">
        <f>export_calendar!AO138</f>
        <v>157</v>
      </c>
      <c r="F136">
        <f>MATCH(export_calendar!AL138,theme_boxes!C:C,0)-1</f>
        <v>23</v>
      </c>
      <c r="G136">
        <f>MATCH(export_calendar!AN138,light_patterns!B:B,0)-1</f>
        <v>4</v>
      </c>
      <c r="H136">
        <f>MATCH(export_calendar!AM138,light_colors!B:B,0)-1</f>
        <v>7</v>
      </c>
    </row>
    <row r="137" spans="1:8" x14ac:dyDescent="0.25">
      <c r="A137" s="1">
        <f>export_calendar!AI139</f>
        <v>2029</v>
      </c>
      <c r="B137" s="1">
        <f>export_calendar!AJ139</f>
        <v>6</v>
      </c>
      <c r="C137" s="1">
        <f>export_calendar!AK139</f>
        <v>24</v>
      </c>
      <c r="D137" t="str">
        <f>export_calendar!AP139</f>
        <v>SintJan</v>
      </c>
      <c r="E137" s="1">
        <f>export_calendar!AO139</f>
        <v>61</v>
      </c>
      <c r="F137">
        <f>MATCH(export_calendar!AL139,theme_boxes!C:C,0)-1</f>
        <v>24</v>
      </c>
      <c r="G137">
        <f>MATCH(export_calendar!AN139,light_patterns!B:B,0)-1</f>
        <v>27</v>
      </c>
      <c r="H137">
        <f>MATCH(export_calendar!AM139,light_colors!B:B,0)-1</f>
        <v>5</v>
      </c>
    </row>
    <row r="138" spans="1:8" x14ac:dyDescent="0.25">
      <c r="A138" s="1">
        <f>export_calendar!AI140</f>
        <v>2029</v>
      </c>
      <c r="B138" s="1">
        <f>export_calendar!AJ140</f>
        <v>7</v>
      </c>
      <c r="C138" s="1">
        <f>export_calendar!AK140</f>
        <v>1</v>
      </c>
      <c r="D138" t="str">
        <f>export_calendar!AP140</f>
        <v>Eerste van de maand juli</v>
      </c>
      <c r="E138" s="1">
        <f>export_calendar!AO140</f>
        <v>171</v>
      </c>
      <c r="F138">
        <f>MATCH(export_calendar!AL140,theme_boxes!C:C,0)-1</f>
        <v>23</v>
      </c>
      <c r="G138">
        <f>MATCH(export_calendar!AN140,light_patterns!B:B,0)-1</f>
        <v>4</v>
      </c>
      <c r="H138">
        <f>MATCH(export_calendar!AM140,light_colors!B:B,0)-1</f>
        <v>7</v>
      </c>
    </row>
    <row r="139" spans="1:8" x14ac:dyDescent="0.25">
      <c r="A139" s="1">
        <f>export_calendar!AI141</f>
        <v>2029</v>
      </c>
      <c r="B139" s="1">
        <f>export_calendar!AJ141</f>
        <v>8</v>
      </c>
      <c r="C139" s="1">
        <f>export_calendar!AK141</f>
        <v>1</v>
      </c>
      <c r="D139" t="str">
        <f>export_calendar!AP141</f>
        <v>Eerste van de maand augustus</v>
      </c>
      <c r="E139" s="1">
        <f>export_calendar!AO141</f>
        <v>231</v>
      </c>
      <c r="F139">
        <f>MATCH(export_calendar!AL141,theme_boxes!C:C,0)-1</f>
        <v>23</v>
      </c>
      <c r="G139">
        <f>MATCH(export_calendar!AN141,light_patterns!B:B,0)-1</f>
        <v>4</v>
      </c>
      <c r="H139">
        <f>MATCH(export_calendar!AM141,light_colors!B:B,0)-1</f>
        <v>7</v>
      </c>
    </row>
    <row r="140" spans="1:8" x14ac:dyDescent="0.25">
      <c r="A140" s="1">
        <f>export_calendar!AI142</f>
        <v>2029</v>
      </c>
      <c r="B140" s="1">
        <f>export_calendar!AJ142</f>
        <v>9</v>
      </c>
      <c r="C140" s="1">
        <f>export_calendar!AK142</f>
        <v>1</v>
      </c>
      <c r="D140" t="str">
        <f>export_calendar!AP142</f>
        <v>Eerste van de maand september</v>
      </c>
      <c r="E140" s="1">
        <f>export_calendar!AO142</f>
        <v>282</v>
      </c>
      <c r="F140">
        <f>MATCH(export_calendar!AL142,theme_boxes!C:C,0)-1</f>
        <v>23</v>
      </c>
      <c r="G140">
        <f>MATCH(export_calendar!AN142,light_patterns!B:B,0)-1</f>
        <v>4</v>
      </c>
      <c r="H140">
        <f>MATCH(export_calendar!AM142,light_colors!B:B,0)-1</f>
        <v>7</v>
      </c>
    </row>
    <row r="141" spans="1:8" x14ac:dyDescent="0.25">
      <c r="A141" s="1">
        <f>export_calendar!AI143</f>
        <v>2029</v>
      </c>
      <c r="B141" s="1">
        <f>export_calendar!AJ143</f>
        <v>10</v>
      </c>
      <c r="C141" s="1">
        <f>export_calendar!AK143</f>
        <v>1</v>
      </c>
      <c r="D141" t="str">
        <f>export_calendar!AP143</f>
        <v>Eerste van de maand oktober</v>
      </c>
      <c r="E141" s="1">
        <f>export_calendar!AO143</f>
        <v>277</v>
      </c>
      <c r="F141">
        <f>MATCH(export_calendar!AL143,theme_boxes!C:C,0)-1</f>
        <v>23</v>
      </c>
      <c r="G141">
        <f>MATCH(export_calendar!AN143,light_patterns!B:B,0)-1</f>
        <v>4</v>
      </c>
      <c r="H141">
        <f>MATCH(export_calendar!AM143,light_colors!B:B,0)-1</f>
        <v>7</v>
      </c>
    </row>
    <row r="142" spans="1:8" x14ac:dyDescent="0.25">
      <c r="A142" s="1">
        <f>export_calendar!AI144</f>
        <v>2029</v>
      </c>
      <c r="B142" s="1">
        <f>export_calendar!AJ144</f>
        <v>10</v>
      </c>
      <c r="C142" s="1">
        <f>export_calendar!AK144</f>
        <v>8</v>
      </c>
      <c r="D142" t="str">
        <f>export_calendar!AP144</f>
        <v>Hartelijk gefeliciteerd,  Jan</v>
      </c>
      <c r="E142" s="1">
        <f>export_calendar!AO144</f>
        <v>105</v>
      </c>
      <c r="F142">
        <f>MATCH(export_calendar!AL144,theme_boxes!C:C,0)-1</f>
        <v>15</v>
      </c>
      <c r="G142">
        <f>MATCH(export_calendar!AN144,light_patterns!B:B,0)-1</f>
        <v>3</v>
      </c>
      <c r="H142">
        <f>MATCH(export_calendar!AM144,light_colors!B:B,0)-1</f>
        <v>14</v>
      </c>
    </row>
    <row r="143" spans="1:8" x14ac:dyDescent="0.25">
      <c r="A143" s="1">
        <f>export_calendar!AI145</f>
        <v>2029</v>
      </c>
      <c r="B143" s="1">
        <f>export_calendar!AJ145</f>
        <v>11</v>
      </c>
      <c r="C143" s="1">
        <f>export_calendar!AK145</f>
        <v>1</v>
      </c>
      <c r="D143" t="str">
        <f>export_calendar!AP145</f>
        <v>Eerste van de maand november</v>
      </c>
      <c r="E143" s="1">
        <f>export_calendar!AO145</f>
        <v>221</v>
      </c>
      <c r="F143">
        <f>MATCH(export_calendar!AL145,theme_boxes!C:C,0)-1</f>
        <v>23</v>
      </c>
      <c r="G143">
        <f>MATCH(export_calendar!AN145,light_patterns!B:B,0)-1</f>
        <v>4</v>
      </c>
      <c r="H143">
        <f>MATCH(export_calendar!AM145,light_colors!B:B,0)-1</f>
        <v>7</v>
      </c>
    </row>
    <row r="144" spans="1:8" x14ac:dyDescent="0.25">
      <c r="A144" s="1">
        <f>export_calendar!AI146</f>
        <v>2029</v>
      </c>
      <c r="B144" s="1">
        <f>export_calendar!AJ146</f>
        <v>12</v>
      </c>
      <c r="C144" s="1">
        <f>export_calendar!AK146</f>
        <v>1</v>
      </c>
      <c r="D144" t="str">
        <f>export_calendar!AP146</f>
        <v>Eerste van de maand december</v>
      </c>
      <c r="E144" s="1">
        <f>export_calendar!AO146</f>
        <v>165</v>
      </c>
      <c r="F144">
        <f>MATCH(export_calendar!AL146,theme_boxes!C:C,0)-1</f>
        <v>23</v>
      </c>
      <c r="G144">
        <f>MATCH(export_calendar!AN146,light_patterns!B:B,0)-1</f>
        <v>4</v>
      </c>
      <c r="H144">
        <f>MATCH(export_calendar!AM146,light_colors!B:B,0)-1</f>
        <v>7</v>
      </c>
    </row>
    <row r="145" spans="1:8" x14ac:dyDescent="0.25">
      <c r="A145" s="1">
        <f>export_calendar!AI147</f>
        <v>2029</v>
      </c>
      <c r="B145" s="1">
        <f>export_calendar!AJ147</f>
        <v>12</v>
      </c>
      <c r="C145" s="1">
        <f>export_calendar!AK147</f>
        <v>5</v>
      </c>
      <c r="D145" t="str">
        <f>export_calendar!AP147</f>
        <v>Sinterklaas</v>
      </c>
      <c r="E145" s="1">
        <f>export_calendar!AO147</f>
        <v>113</v>
      </c>
      <c r="F145">
        <f>MATCH(export_calendar!AL147,theme_boxes!C:C,0)-1</f>
        <v>12</v>
      </c>
      <c r="G145">
        <f>MATCH(export_calendar!AN147,light_patterns!B:B,0)-1</f>
        <v>6</v>
      </c>
      <c r="H145">
        <f>MATCH(export_calendar!AM147,light_colors!B:B,0)-1</f>
        <v>28</v>
      </c>
    </row>
    <row r="146" spans="1:8" x14ac:dyDescent="0.25">
      <c r="A146" s="1">
        <f>export_calendar!AI148</f>
        <v>2029</v>
      </c>
      <c r="B146" s="1">
        <f>export_calendar!AJ148</f>
        <v>12</v>
      </c>
      <c r="C146" s="1">
        <f>export_calendar!AK148</f>
        <v>13</v>
      </c>
      <c r="D146" t="str">
        <f>export_calendar!AP148</f>
        <v>Hartelijk gefeliciteerd,  lieve Marit</v>
      </c>
      <c r="E146" s="1">
        <f>export_calendar!AO148</f>
        <v>114</v>
      </c>
      <c r="F146">
        <f>MATCH(export_calendar!AL148,theme_boxes!C:C,0)-1</f>
        <v>15</v>
      </c>
      <c r="G146">
        <f>MATCH(export_calendar!AN148,light_patterns!B:B,0)-1</f>
        <v>3</v>
      </c>
      <c r="H146">
        <f>MATCH(export_calendar!AM148,light_colors!B:B,0)-1</f>
        <v>14</v>
      </c>
    </row>
    <row r="147" spans="1:8" x14ac:dyDescent="0.25">
      <c r="A147" s="1">
        <f>export_calendar!AI149</f>
        <v>2029</v>
      </c>
      <c r="B147" s="1">
        <f>export_calendar!AJ149</f>
        <v>12</v>
      </c>
      <c r="C147" s="1">
        <f>export_calendar!AK149</f>
        <v>25</v>
      </c>
      <c r="D147" t="str">
        <f>export_calendar!AP149</f>
        <v>Vrolijk Kerstfeest</v>
      </c>
      <c r="E147" s="1">
        <f>export_calendar!AO149</f>
        <v>95</v>
      </c>
      <c r="F147">
        <f>MATCH(export_calendar!AL149,theme_boxes!C:C,0)-1</f>
        <v>8</v>
      </c>
      <c r="G147">
        <f>MATCH(export_calendar!AN149,light_patterns!B:B,0)-1</f>
        <v>26</v>
      </c>
      <c r="H147">
        <f>MATCH(export_calendar!AM149,light_colors!B:B,0)-1</f>
        <v>30</v>
      </c>
    </row>
    <row r="148" spans="1:8" x14ac:dyDescent="0.25">
      <c r="A148" s="1">
        <f>export_calendar!AI150</f>
        <v>2029</v>
      </c>
      <c r="B148" s="1">
        <f>export_calendar!AJ150</f>
        <v>12</v>
      </c>
      <c r="C148" s="1">
        <f>export_calendar!AK150</f>
        <v>26</v>
      </c>
      <c r="D148" t="str">
        <f>export_calendar!AP150</f>
        <v>Tweede Kerstdag</v>
      </c>
      <c r="E148" s="1">
        <f>export_calendar!AO150</f>
        <v>108</v>
      </c>
      <c r="F148">
        <f>MATCH(export_calendar!AL150,theme_boxes!C:C,0)-1</f>
        <v>8</v>
      </c>
      <c r="G148">
        <f>MATCH(export_calendar!AN150,light_patterns!B:B,0)-1</f>
        <v>5</v>
      </c>
      <c r="H148">
        <f>MATCH(export_calendar!AM150,light_colors!B:B,0)-1</f>
        <v>20</v>
      </c>
    </row>
    <row r="149" spans="1:8" x14ac:dyDescent="0.25">
      <c r="A149" s="1">
        <f>export_calendar!AI151</f>
        <v>2029</v>
      </c>
      <c r="B149" s="1">
        <f>export_calendar!AJ151</f>
        <v>12</v>
      </c>
      <c r="C149" s="1">
        <f>export_calendar!AK151</f>
        <v>28</v>
      </c>
      <c r="D149" t="str">
        <f>export_calendar!AP151</f>
        <v>Onnozele Kinderen</v>
      </c>
      <c r="E149" s="1">
        <f>export_calendar!AO151</f>
        <v>77</v>
      </c>
      <c r="F149">
        <f>MATCH(export_calendar!AL151,theme_boxes!C:C,0)-1</f>
        <v>10</v>
      </c>
      <c r="G149">
        <f>MATCH(export_calendar!AN151,light_patterns!B:B,0)-1</f>
        <v>26</v>
      </c>
      <c r="H149">
        <f>MATCH(export_calendar!AM151,light_colors!B:B,0)-1</f>
        <v>35</v>
      </c>
    </row>
    <row r="150" spans="1:8" x14ac:dyDescent="0.25">
      <c r="A150" s="1">
        <f>export_calendar!AI152</f>
        <v>2030</v>
      </c>
      <c r="B150" s="1">
        <f>export_calendar!AJ152</f>
        <v>1</v>
      </c>
      <c r="C150" s="1">
        <f>export_calendar!AK152</f>
        <v>1</v>
      </c>
      <c r="D150" t="str">
        <f>export_calendar!AP152</f>
        <v>Gelukkig Nieuwjaar</v>
      </c>
      <c r="E150" s="1">
        <f>export_calendar!AO152</f>
        <v>77</v>
      </c>
      <c r="F150">
        <f>MATCH(export_calendar!AL152,theme_boxes!C:C,0)-1</f>
        <v>24</v>
      </c>
      <c r="G150">
        <f>MATCH(export_calendar!AN152,light_patterns!B:B,0)-1</f>
        <v>2</v>
      </c>
      <c r="H150">
        <f>MATCH(export_calendar!AM152,light_colors!B:B,0)-1</f>
        <v>40</v>
      </c>
    </row>
    <row r="151" spans="1:8" x14ac:dyDescent="0.25">
      <c r="A151" s="1">
        <f>export_calendar!AI153</f>
        <v>2030</v>
      </c>
      <c r="B151" s="1">
        <f>export_calendar!AJ153</f>
        <v>2</v>
      </c>
      <c r="C151" s="1">
        <f>export_calendar!AK153</f>
        <v>1</v>
      </c>
      <c r="D151" t="str">
        <f>export_calendar!AP153</f>
        <v>Eerste van de maand februari</v>
      </c>
      <c r="E151" s="1">
        <f>export_calendar!AO153</f>
        <v>249</v>
      </c>
      <c r="F151">
        <f>MATCH(export_calendar!AL153,theme_boxes!C:C,0)-1</f>
        <v>23</v>
      </c>
      <c r="G151">
        <f>MATCH(export_calendar!AN153,light_patterns!B:B,0)-1</f>
        <v>4</v>
      </c>
      <c r="H151">
        <f>MATCH(export_calendar!AM153,light_colors!B:B,0)-1</f>
        <v>7</v>
      </c>
    </row>
    <row r="152" spans="1:8" x14ac:dyDescent="0.25">
      <c r="A152" s="1">
        <f>export_calendar!AI154</f>
        <v>2030</v>
      </c>
      <c r="B152" s="1">
        <f>export_calendar!AJ154</f>
        <v>2</v>
      </c>
      <c r="C152" s="1">
        <f>export_calendar!AK154</f>
        <v>4</v>
      </c>
      <c r="D152" t="str">
        <f>export_calendar!AP154</f>
        <v>Suikerfeest</v>
      </c>
      <c r="E152" s="1">
        <f>export_calendar!AO154</f>
        <v>226</v>
      </c>
      <c r="F152">
        <f>MATCH(export_calendar!AL154,theme_boxes!C:C,0)-1</f>
        <v>10</v>
      </c>
      <c r="G152">
        <f>MATCH(export_calendar!AN154,light_patterns!B:B,0)-1</f>
        <v>7</v>
      </c>
      <c r="H152">
        <f>MATCH(export_calendar!AM154,light_colors!B:B,0)-1</f>
        <v>1</v>
      </c>
    </row>
    <row r="153" spans="1:8" x14ac:dyDescent="0.25">
      <c r="A153" s="1">
        <f>export_calendar!AI155</f>
        <v>2030</v>
      </c>
      <c r="B153" s="1">
        <f>export_calendar!AJ155</f>
        <v>2</v>
      </c>
      <c r="C153" s="1">
        <f>export_calendar!AK155</f>
        <v>14</v>
      </c>
      <c r="D153" t="str">
        <f>export_calendar!AP155</f>
        <v>Valentijns en verlovingsdag</v>
      </c>
      <c r="E153" s="1">
        <f>export_calendar!AO155</f>
        <v>70</v>
      </c>
      <c r="F153">
        <f>MATCH(export_calendar!AL155,theme_boxes!C:C,0)-1</f>
        <v>24</v>
      </c>
      <c r="G153">
        <f>MATCH(export_calendar!AN155,light_patterns!B:B,0)-1</f>
        <v>6</v>
      </c>
      <c r="H153">
        <f>MATCH(export_calendar!AM155,light_colors!B:B,0)-1</f>
        <v>42</v>
      </c>
    </row>
    <row r="154" spans="1:8" x14ac:dyDescent="0.25">
      <c r="A154" s="1">
        <f>export_calendar!AI156</f>
        <v>2030</v>
      </c>
      <c r="B154" s="1">
        <f>export_calendar!AJ156</f>
        <v>3</v>
      </c>
      <c r="C154" s="1">
        <f>export_calendar!AK156</f>
        <v>1</v>
      </c>
      <c r="D154" t="str">
        <f>export_calendar!AP156</f>
        <v>Eerste van de maand maart</v>
      </c>
      <c r="E154" s="1">
        <f>export_calendar!AO156</f>
        <v>287</v>
      </c>
      <c r="F154">
        <f>MATCH(export_calendar!AL156,theme_boxes!C:C,0)-1</f>
        <v>23</v>
      </c>
      <c r="G154">
        <f>MATCH(export_calendar!AN156,light_patterns!B:B,0)-1</f>
        <v>4</v>
      </c>
      <c r="H154">
        <f>MATCH(export_calendar!AM156,light_colors!B:B,0)-1</f>
        <v>7</v>
      </c>
    </row>
    <row r="155" spans="1:8" x14ac:dyDescent="0.25">
      <c r="A155" s="1">
        <f>export_calendar!AI157</f>
        <v>2030</v>
      </c>
      <c r="B155" s="1">
        <f>export_calendar!AJ157</f>
        <v>3</v>
      </c>
      <c r="C155" s="1">
        <f>export_calendar!AK157</f>
        <v>3</v>
      </c>
      <c r="D155" t="str">
        <f>export_calendar!AP157</f>
        <v>Carnaval, Agge mar leut heht</v>
      </c>
      <c r="E155" s="1">
        <f>export_calendar!AO157</f>
        <v>116</v>
      </c>
      <c r="F155">
        <f>MATCH(export_calendar!AL157,theme_boxes!C:C,0)-1</f>
        <v>24</v>
      </c>
      <c r="G155">
        <f>MATCH(export_calendar!AN157,light_patterns!B:B,0)-1</f>
        <v>3</v>
      </c>
      <c r="H155">
        <f>MATCH(export_calendar!AM157,light_colors!B:B,0)-1</f>
        <v>7</v>
      </c>
    </row>
    <row r="156" spans="1:8" x14ac:dyDescent="0.25">
      <c r="A156" s="1">
        <f>export_calendar!AI158</f>
        <v>2030</v>
      </c>
      <c r="B156" s="1">
        <f>export_calendar!AJ158</f>
        <v>3</v>
      </c>
      <c r="C156" s="1">
        <f>export_calendar!AK158</f>
        <v>3</v>
      </c>
      <c r="D156" t="str">
        <f>export_calendar!AP158</f>
        <v>Carnaval, Alaaf!!</v>
      </c>
      <c r="E156" s="1">
        <f>export_calendar!AO158</f>
        <v>81</v>
      </c>
      <c r="F156">
        <f>MATCH(export_calendar!AL158,theme_boxes!C:C,0)-1</f>
        <v>24</v>
      </c>
      <c r="G156">
        <f>MATCH(export_calendar!AN158,light_patterns!B:B,0)-1</f>
        <v>3</v>
      </c>
      <c r="H156">
        <f>MATCH(export_calendar!AM158,light_colors!B:B,0)-1</f>
        <v>7</v>
      </c>
    </row>
    <row r="157" spans="1:8" x14ac:dyDescent="0.25">
      <c r="A157" s="1">
        <f>export_calendar!AI159</f>
        <v>2030</v>
      </c>
      <c r="B157" s="1">
        <f>export_calendar!AJ159</f>
        <v>3</v>
      </c>
      <c r="C157" s="1">
        <f>export_calendar!AK159</f>
        <v>4</v>
      </c>
      <c r="D157" t="str">
        <f>export_calendar!AP159</f>
        <v>RosenMoontach, En deh hittie naw gedonn umdettie Hellemonder is</v>
      </c>
      <c r="E157" s="1">
        <f>export_calendar!AO159</f>
        <v>133</v>
      </c>
      <c r="F157">
        <f>MATCH(export_calendar!AL159,theme_boxes!C:C,0)-1</f>
        <v>24</v>
      </c>
      <c r="G157">
        <f>MATCH(export_calendar!AN159,light_patterns!B:B,0)-1</f>
        <v>3</v>
      </c>
      <c r="H157">
        <f>MATCH(export_calendar!AM159,light_colors!B:B,0)-1</f>
        <v>7</v>
      </c>
    </row>
    <row r="158" spans="1:8" x14ac:dyDescent="0.25">
      <c r="A158" s="1">
        <f>export_calendar!AI160</f>
        <v>2030</v>
      </c>
      <c r="B158" s="1">
        <f>export_calendar!AJ160</f>
        <v>3</v>
      </c>
      <c r="C158" s="1">
        <f>export_calendar!AK160</f>
        <v>6</v>
      </c>
      <c r="D158" t="str">
        <f>export_calendar!AP160</f>
        <v>Aswoensdag ,  - en dan nu: vasten</v>
      </c>
      <c r="E158" s="1">
        <f>export_calendar!AO160</f>
        <v>210</v>
      </c>
      <c r="F158">
        <f>MATCH(export_calendar!AL160,theme_boxes!C:C,0)-1</f>
        <v>21</v>
      </c>
      <c r="G158">
        <f>MATCH(export_calendar!AN160,light_patterns!B:B,0)-1</f>
        <v>5</v>
      </c>
      <c r="H158">
        <f>MATCH(export_calendar!AM160,light_colors!B:B,0)-1</f>
        <v>21</v>
      </c>
    </row>
    <row r="159" spans="1:8" x14ac:dyDescent="0.25">
      <c r="A159" s="1">
        <f>export_calendar!AI161</f>
        <v>2030</v>
      </c>
      <c r="B159" s="1">
        <f>export_calendar!AJ161</f>
        <v>3</v>
      </c>
      <c r="C159" s="1">
        <f>export_calendar!AK161</f>
        <v>14</v>
      </c>
      <c r="D159" t="str">
        <f>export_calendar!AP161</f>
        <v>piedag - drie komma een vier enzovoorts !en nog meer decimalen</v>
      </c>
      <c r="E159" s="1">
        <f>export_calendar!AO161</f>
        <v>95</v>
      </c>
      <c r="F159">
        <f>MATCH(export_calendar!AL161,theme_boxes!C:C,0)-1</f>
        <v>9</v>
      </c>
      <c r="G159">
        <f>MATCH(export_calendar!AN161,light_patterns!B:B,0)-1</f>
        <v>28</v>
      </c>
      <c r="H159">
        <f>MATCH(export_calendar!AM161,light_colors!B:B,0)-1</f>
        <v>6</v>
      </c>
    </row>
    <row r="160" spans="1:8" x14ac:dyDescent="0.25">
      <c r="A160" s="1">
        <f>export_calendar!AI162</f>
        <v>2030</v>
      </c>
      <c r="B160" s="1">
        <f>export_calendar!AJ162</f>
        <v>3</v>
      </c>
      <c r="C160" s="1">
        <f>export_calendar!AK162</f>
        <v>21</v>
      </c>
      <c r="D160" t="str">
        <f>export_calendar!AP162</f>
        <v>Hartelijk gefeliciteerd,  Thomas</v>
      </c>
      <c r="E160" s="1">
        <f>export_calendar!AO162</f>
        <v>73</v>
      </c>
      <c r="F160">
        <f>MATCH(export_calendar!AL162,theme_boxes!C:C,0)-1</f>
        <v>15</v>
      </c>
      <c r="G160">
        <f>MATCH(export_calendar!AN162,light_patterns!B:B,0)-1</f>
        <v>3</v>
      </c>
      <c r="H160">
        <f>MATCH(export_calendar!AM162,light_colors!B:B,0)-1</f>
        <v>14</v>
      </c>
    </row>
    <row r="161" spans="1:8" x14ac:dyDescent="0.25">
      <c r="A161" s="1">
        <f>export_calendar!AI163</f>
        <v>2030</v>
      </c>
      <c r="B161" s="1">
        <f>export_calendar!AJ163</f>
        <v>4</v>
      </c>
      <c r="C161" s="1">
        <f>export_calendar!AK163</f>
        <v>1</v>
      </c>
      <c r="D161" t="str">
        <f>export_calendar!AP163</f>
        <v>Eerste van de maand april, een april, kikker in je bil!</v>
      </c>
      <c r="E161" s="1">
        <f>export_calendar!AO163</f>
        <v>265</v>
      </c>
      <c r="F161">
        <f>MATCH(export_calendar!AL163,theme_boxes!C:C,0)-1</f>
        <v>23</v>
      </c>
      <c r="G161">
        <f>MATCH(export_calendar!AN163,light_patterns!B:B,0)-1</f>
        <v>4</v>
      </c>
      <c r="H161">
        <f>MATCH(export_calendar!AM163,light_colors!B:B,0)-1</f>
        <v>7</v>
      </c>
    </row>
    <row r="162" spans="1:8" x14ac:dyDescent="0.25">
      <c r="A162" s="1">
        <f>export_calendar!AI164</f>
        <v>2030</v>
      </c>
      <c r="B162" s="1">
        <f>export_calendar!AJ164</f>
        <v>4</v>
      </c>
      <c r="C162" s="1">
        <f>export_calendar!AK164</f>
        <v>19</v>
      </c>
      <c r="D162" t="str">
        <f>export_calendar!AP164</f>
        <v>Goede Vrijdag</v>
      </c>
      <c r="E162" s="1">
        <f>export_calendar!AO164</f>
        <v>260</v>
      </c>
      <c r="F162">
        <f>MATCH(export_calendar!AL164,theme_boxes!C:C,0)-1</f>
        <v>13</v>
      </c>
      <c r="G162">
        <f>MATCH(export_calendar!AN164,light_patterns!B:B,0)-1</f>
        <v>2</v>
      </c>
      <c r="H162">
        <f>MATCH(export_calendar!AM164,light_colors!B:B,0)-1</f>
        <v>13</v>
      </c>
    </row>
    <row r="163" spans="1:8" x14ac:dyDescent="0.25">
      <c r="A163" s="1">
        <f>export_calendar!AI165</f>
        <v>2030</v>
      </c>
      <c r="B163" s="1">
        <f>export_calendar!AJ165</f>
        <v>4</v>
      </c>
      <c r="C163" s="1">
        <f>export_calendar!AK165</f>
        <v>21</v>
      </c>
      <c r="D163" t="str">
        <f>export_calendar!AP165</f>
        <v>Vrolijk Pasen, waar is de paashaas??</v>
      </c>
      <c r="E163" s="1">
        <f>export_calendar!AO165</f>
        <v>64</v>
      </c>
      <c r="F163">
        <f>MATCH(export_calendar!AL165,theme_boxes!C:C,0)-1</f>
        <v>17</v>
      </c>
      <c r="G163">
        <f>MATCH(export_calendar!AN165,light_patterns!B:B,0)-1</f>
        <v>9</v>
      </c>
      <c r="H163">
        <f>MATCH(export_calendar!AM165,light_colors!B:B,0)-1</f>
        <v>5</v>
      </c>
    </row>
    <row r="164" spans="1:8" x14ac:dyDescent="0.25">
      <c r="A164" s="1">
        <f>export_calendar!AI166</f>
        <v>2030</v>
      </c>
      <c r="B164" s="1">
        <f>export_calendar!AJ166</f>
        <v>4</v>
      </c>
      <c r="C164" s="1">
        <f>export_calendar!AK166</f>
        <v>22</v>
      </c>
      <c r="D164" t="str">
        <f>export_calendar!AP166</f>
        <v>Tweede Paasdag, waar is de paashaas??</v>
      </c>
      <c r="E164" s="1">
        <f>export_calendar!AO166</f>
        <v>355</v>
      </c>
      <c r="F164">
        <f>MATCH(export_calendar!AL166,theme_boxes!C:C,0)-1</f>
        <v>17</v>
      </c>
      <c r="G164">
        <f>MATCH(export_calendar!AN166,light_patterns!B:B,0)-1</f>
        <v>13</v>
      </c>
      <c r="H164">
        <f>MATCH(export_calendar!AM166,light_colors!B:B,0)-1</f>
        <v>19</v>
      </c>
    </row>
    <row r="165" spans="1:8" x14ac:dyDescent="0.25">
      <c r="A165" s="1">
        <f>export_calendar!AI167</f>
        <v>2030</v>
      </c>
      <c r="B165" s="1">
        <f>export_calendar!AJ167</f>
        <v>4</v>
      </c>
      <c r="C165" s="1">
        <f>export_calendar!AK167</f>
        <v>30</v>
      </c>
      <c r="D165" t="str">
        <f>export_calendar!AP167</f>
        <v>Hartelijk gefeliciteerd,  Paul</v>
      </c>
      <c r="E165" s="1">
        <f>export_calendar!AO167</f>
        <v>98</v>
      </c>
      <c r="F165">
        <f>MATCH(export_calendar!AL167,theme_boxes!C:C,0)-1</f>
        <v>15</v>
      </c>
      <c r="G165">
        <f>MATCH(export_calendar!AN167,light_patterns!B:B,0)-1</f>
        <v>3</v>
      </c>
      <c r="H165">
        <f>MATCH(export_calendar!AM167,light_colors!B:B,0)-1</f>
        <v>14</v>
      </c>
    </row>
    <row r="166" spans="1:8" x14ac:dyDescent="0.25">
      <c r="A166" s="1">
        <f>export_calendar!AI168</f>
        <v>2030</v>
      </c>
      <c r="B166" s="1">
        <f>export_calendar!AJ168</f>
        <v>5</v>
      </c>
      <c r="C166" s="1">
        <f>export_calendar!AK168</f>
        <v>1</v>
      </c>
      <c r="D166" t="str">
        <f>export_calendar!AP168</f>
        <v>Eerste van de maand mei- leggen alle vogeltjes een ei</v>
      </c>
      <c r="E166" s="1">
        <f>export_calendar!AO168</f>
        <v>202</v>
      </c>
      <c r="F166">
        <f>MATCH(export_calendar!AL168,theme_boxes!C:C,0)-1</f>
        <v>23</v>
      </c>
      <c r="G166">
        <f>MATCH(export_calendar!AN168,light_patterns!B:B,0)-1</f>
        <v>4</v>
      </c>
      <c r="H166">
        <f>MATCH(export_calendar!AM168,light_colors!B:B,0)-1</f>
        <v>7</v>
      </c>
    </row>
    <row r="167" spans="1:8" x14ac:dyDescent="0.25">
      <c r="A167" s="1">
        <f>export_calendar!AI169</f>
        <v>2030</v>
      </c>
      <c r="B167" s="1">
        <f>export_calendar!AJ169</f>
        <v>5</v>
      </c>
      <c r="C167" s="1">
        <f>export_calendar!AK169</f>
        <v>4</v>
      </c>
      <c r="D167" t="str">
        <f>export_calendar!AP169</f>
        <v>Dodenherdenking</v>
      </c>
      <c r="E167" s="1">
        <f>export_calendar!AO169</f>
        <v>102</v>
      </c>
      <c r="F167">
        <f>MATCH(export_calendar!AL169,theme_boxes!C:C,0)-1</f>
        <v>21</v>
      </c>
      <c r="G167">
        <f>MATCH(export_calendar!AN169,light_patterns!B:B,0)-1</f>
        <v>2</v>
      </c>
      <c r="H167">
        <f>MATCH(export_calendar!AM169,light_colors!B:B,0)-1</f>
        <v>31</v>
      </c>
    </row>
    <row r="168" spans="1:8" x14ac:dyDescent="0.25">
      <c r="A168" s="1">
        <f>export_calendar!AI170</f>
        <v>2030</v>
      </c>
      <c r="B168" s="1">
        <f>export_calendar!AJ170</f>
        <v>5</v>
      </c>
      <c r="C168" s="1">
        <f>export_calendar!AK170</f>
        <v>5</v>
      </c>
      <c r="D168" t="str">
        <f>export_calendar!AP170</f>
        <v>Bevrijdingsdag</v>
      </c>
      <c r="E168" s="1">
        <f>export_calendar!AO170</f>
        <v>64</v>
      </c>
      <c r="F168">
        <f>MATCH(export_calendar!AL170,theme_boxes!C:C,0)-1</f>
        <v>24</v>
      </c>
      <c r="G168">
        <f>MATCH(export_calendar!AN170,light_patterns!B:B,0)-1</f>
        <v>3</v>
      </c>
      <c r="H168">
        <f>MATCH(export_calendar!AM170,light_colors!B:B,0)-1</f>
        <v>3</v>
      </c>
    </row>
    <row r="169" spans="1:8" x14ac:dyDescent="0.25">
      <c r="A169" s="1">
        <f>export_calendar!AI171</f>
        <v>2030</v>
      </c>
      <c r="B169" s="1">
        <f>export_calendar!AJ171</f>
        <v>5</v>
      </c>
      <c r="C169" s="1">
        <f>export_calendar!AK171</f>
        <v>10</v>
      </c>
      <c r="D169" t="str">
        <f>export_calendar!AP171</f>
        <v>Hartelijk gefeliciteerd,  Gaia</v>
      </c>
      <c r="E169" s="1">
        <f>export_calendar!AO171</f>
        <v>73</v>
      </c>
      <c r="F169">
        <f>MATCH(export_calendar!AL171,theme_boxes!C:C,0)-1</f>
        <v>15</v>
      </c>
      <c r="G169">
        <f>MATCH(export_calendar!AN171,light_patterns!B:B,0)-1</f>
        <v>3</v>
      </c>
      <c r="H169">
        <f>MATCH(export_calendar!AM171,light_colors!B:B,0)-1</f>
        <v>14</v>
      </c>
    </row>
    <row r="170" spans="1:8" x14ac:dyDescent="0.25">
      <c r="A170" s="1">
        <f>export_calendar!AI172</f>
        <v>2030</v>
      </c>
      <c r="B170" s="1">
        <f>export_calendar!AJ172</f>
        <v>5</v>
      </c>
      <c r="C170" s="1">
        <f>export_calendar!AK172</f>
        <v>30</v>
      </c>
      <c r="D170" t="str">
        <f>export_calendar!AP172</f>
        <v>Hemelvaart</v>
      </c>
      <c r="E170" s="1">
        <f>export_calendar!AO172</f>
        <v>96</v>
      </c>
      <c r="F170">
        <f>MATCH(export_calendar!AL172,theme_boxes!C:C,0)-1</f>
        <v>11</v>
      </c>
      <c r="G170">
        <f>MATCH(export_calendar!AN172,light_patterns!B:B,0)-1</f>
        <v>2</v>
      </c>
      <c r="H170">
        <f>MATCH(export_calendar!AM172,light_colors!B:B,0)-1</f>
        <v>29</v>
      </c>
    </row>
    <row r="171" spans="1:8" x14ac:dyDescent="0.25">
      <c r="A171" s="1">
        <f>export_calendar!AI173</f>
        <v>2030</v>
      </c>
      <c r="B171" s="1">
        <f>export_calendar!AJ173</f>
        <v>6</v>
      </c>
      <c r="C171" s="1">
        <f>export_calendar!AK173</f>
        <v>1</v>
      </c>
      <c r="D171" t="str">
        <f>export_calendar!AP173</f>
        <v>Eerste van de maand juni</v>
      </c>
      <c r="E171" s="1">
        <f>export_calendar!AO173</f>
        <v>157</v>
      </c>
      <c r="F171">
        <f>MATCH(export_calendar!AL173,theme_boxes!C:C,0)-1</f>
        <v>23</v>
      </c>
      <c r="G171">
        <f>MATCH(export_calendar!AN173,light_patterns!B:B,0)-1</f>
        <v>4</v>
      </c>
      <c r="H171">
        <f>MATCH(export_calendar!AM173,light_colors!B:B,0)-1</f>
        <v>7</v>
      </c>
    </row>
    <row r="172" spans="1:8" x14ac:dyDescent="0.25">
      <c r="A172" s="1">
        <f>export_calendar!AI174</f>
        <v>2030</v>
      </c>
      <c r="B172" s="1">
        <f>export_calendar!AJ174</f>
        <v>6</v>
      </c>
      <c r="C172" s="1">
        <f>export_calendar!AK174</f>
        <v>9</v>
      </c>
      <c r="D172" t="str">
        <f>export_calendar!AP174</f>
        <v>Pinksteren,  - wat is dat ook weer??</v>
      </c>
      <c r="E172" s="1">
        <f>export_calendar!AO174</f>
        <v>150</v>
      </c>
      <c r="F172">
        <f>MATCH(export_calendar!AL174,theme_boxes!C:C,0)-1</f>
        <v>4</v>
      </c>
      <c r="G172">
        <f>MATCH(export_calendar!AN174,light_patterns!B:B,0)-1</f>
        <v>4</v>
      </c>
      <c r="H172">
        <f>MATCH(export_calendar!AM174,light_colors!B:B,0)-1</f>
        <v>8</v>
      </c>
    </row>
    <row r="173" spans="1:8" x14ac:dyDescent="0.25">
      <c r="A173" s="1">
        <f>export_calendar!AI175</f>
        <v>2030</v>
      </c>
      <c r="B173" s="1">
        <f>export_calendar!AJ175</f>
        <v>6</v>
      </c>
      <c r="C173" s="1">
        <f>export_calendar!AK175</f>
        <v>10</v>
      </c>
      <c r="D173" t="str">
        <f>export_calendar!AP175</f>
        <v>Nog steeds Pinksteren,  - wat is dat ook weer??</v>
      </c>
      <c r="E173" s="1">
        <f>export_calendar!AO175</f>
        <v>250</v>
      </c>
      <c r="F173">
        <f>MATCH(export_calendar!AL175,theme_boxes!C:C,0)-1</f>
        <v>4</v>
      </c>
      <c r="G173">
        <f>MATCH(export_calendar!AN175,light_patterns!B:B,0)-1</f>
        <v>4</v>
      </c>
      <c r="H173">
        <f>MATCH(export_calendar!AM175,light_colors!B:B,0)-1</f>
        <v>8</v>
      </c>
    </row>
    <row r="174" spans="1:8" x14ac:dyDescent="0.25">
      <c r="A174" s="1">
        <f>export_calendar!AI176</f>
        <v>2030</v>
      </c>
      <c r="B174" s="1">
        <f>export_calendar!AJ176</f>
        <v>6</v>
      </c>
      <c r="C174" s="1">
        <f>export_calendar!AK176</f>
        <v>24</v>
      </c>
      <c r="D174" t="str">
        <f>export_calendar!AP176</f>
        <v>SintJan</v>
      </c>
      <c r="E174" s="1">
        <f>export_calendar!AO176</f>
        <v>61</v>
      </c>
      <c r="F174">
        <f>MATCH(export_calendar!AL176,theme_boxes!C:C,0)-1</f>
        <v>24</v>
      </c>
      <c r="G174">
        <f>MATCH(export_calendar!AN176,light_patterns!B:B,0)-1</f>
        <v>27</v>
      </c>
      <c r="H174">
        <f>MATCH(export_calendar!AM176,light_colors!B:B,0)-1</f>
        <v>5</v>
      </c>
    </row>
    <row r="175" spans="1:8" x14ac:dyDescent="0.25">
      <c r="A175" s="1">
        <f>export_calendar!AI177</f>
        <v>2030</v>
      </c>
      <c r="B175" s="1">
        <f>export_calendar!AJ177</f>
        <v>7</v>
      </c>
      <c r="C175" s="1">
        <f>export_calendar!AK177</f>
        <v>1</v>
      </c>
      <c r="D175" t="str">
        <f>export_calendar!AP177</f>
        <v>Eerste van de maand juli</v>
      </c>
      <c r="E175" s="1">
        <f>export_calendar!AO177</f>
        <v>171</v>
      </c>
      <c r="F175">
        <f>MATCH(export_calendar!AL177,theme_boxes!C:C,0)-1</f>
        <v>23</v>
      </c>
      <c r="G175">
        <f>MATCH(export_calendar!AN177,light_patterns!B:B,0)-1</f>
        <v>4</v>
      </c>
      <c r="H175">
        <f>MATCH(export_calendar!AM177,light_colors!B:B,0)-1</f>
        <v>7</v>
      </c>
    </row>
    <row r="176" spans="1:8" x14ac:dyDescent="0.25">
      <c r="A176" s="1">
        <f>export_calendar!AI178</f>
        <v>2030</v>
      </c>
      <c r="B176" s="1">
        <f>export_calendar!AJ178</f>
        <v>8</v>
      </c>
      <c r="C176" s="1">
        <f>export_calendar!AK178</f>
        <v>1</v>
      </c>
      <c r="D176" t="str">
        <f>export_calendar!AP178</f>
        <v>Eerste van de maand augustus</v>
      </c>
      <c r="E176" s="1">
        <f>export_calendar!AO178</f>
        <v>231</v>
      </c>
      <c r="F176">
        <f>MATCH(export_calendar!AL178,theme_boxes!C:C,0)-1</f>
        <v>23</v>
      </c>
      <c r="G176">
        <f>MATCH(export_calendar!AN178,light_patterns!B:B,0)-1</f>
        <v>4</v>
      </c>
      <c r="H176">
        <f>MATCH(export_calendar!AM178,light_colors!B:B,0)-1</f>
        <v>7</v>
      </c>
    </row>
    <row r="177" spans="1:8" x14ac:dyDescent="0.25">
      <c r="A177" s="1">
        <f>export_calendar!AI179</f>
        <v>2030</v>
      </c>
      <c r="B177" s="1">
        <f>export_calendar!AJ179</f>
        <v>9</v>
      </c>
      <c r="C177" s="1">
        <f>export_calendar!AK179</f>
        <v>1</v>
      </c>
      <c r="D177" t="str">
        <f>export_calendar!AP179</f>
        <v>Eerste van de maand september</v>
      </c>
      <c r="E177" s="1">
        <f>export_calendar!AO179</f>
        <v>282</v>
      </c>
      <c r="F177">
        <f>MATCH(export_calendar!AL179,theme_boxes!C:C,0)-1</f>
        <v>23</v>
      </c>
      <c r="G177">
        <f>MATCH(export_calendar!AN179,light_patterns!B:B,0)-1</f>
        <v>4</v>
      </c>
      <c r="H177">
        <f>MATCH(export_calendar!AM179,light_colors!B:B,0)-1</f>
        <v>7</v>
      </c>
    </row>
    <row r="178" spans="1:8" x14ac:dyDescent="0.25">
      <c r="A178" s="1">
        <f>export_calendar!AI180</f>
        <v>2030</v>
      </c>
      <c r="B178" s="1">
        <f>export_calendar!AJ180</f>
        <v>10</v>
      </c>
      <c r="C178" s="1">
        <f>export_calendar!AK180</f>
        <v>1</v>
      </c>
      <c r="D178" t="str">
        <f>export_calendar!AP180</f>
        <v>Eerste van de maand oktober</v>
      </c>
      <c r="E178" s="1">
        <f>export_calendar!AO180</f>
        <v>277</v>
      </c>
      <c r="F178">
        <f>MATCH(export_calendar!AL180,theme_boxes!C:C,0)-1</f>
        <v>23</v>
      </c>
      <c r="G178">
        <f>MATCH(export_calendar!AN180,light_patterns!B:B,0)-1</f>
        <v>4</v>
      </c>
      <c r="H178">
        <f>MATCH(export_calendar!AM180,light_colors!B:B,0)-1</f>
        <v>7</v>
      </c>
    </row>
    <row r="179" spans="1:8" x14ac:dyDescent="0.25">
      <c r="A179" s="1">
        <f>export_calendar!AI181</f>
        <v>2030</v>
      </c>
      <c r="B179" s="1">
        <f>export_calendar!AJ181</f>
        <v>10</v>
      </c>
      <c r="C179" s="1">
        <f>export_calendar!AK181</f>
        <v>8</v>
      </c>
      <c r="D179" t="str">
        <f>export_calendar!AP181</f>
        <v>Hartelijk gefeliciteerd,  Jan</v>
      </c>
      <c r="E179" s="1">
        <f>export_calendar!AO181</f>
        <v>105</v>
      </c>
      <c r="F179">
        <f>MATCH(export_calendar!AL181,theme_boxes!C:C,0)-1</f>
        <v>15</v>
      </c>
      <c r="G179">
        <f>MATCH(export_calendar!AN181,light_patterns!B:B,0)-1</f>
        <v>3</v>
      </c>
      <c r="H179">
        <f>MATCH(export_calendar!AM181,light_colors!B:B,0)-1</f>
        <v>14</v>
      </c>
    </row>
    <row r="180" spans="1:8" x14ac:dyDescent="0.25">
      <c r="A180" s="1">
        <f>export_calendar!AI182</f>
        <v>2030</v>
      </c>
      <c r="B180" s="1">
        <f>export_calendar!AJ182</f>
        <v>11</v>
      </c>
      <c r="C180" s="1">
        <f>export_calendar!AK182</f>
        <v>1</v>
      </c>
      <c r="D180" t="str">
        <f>export_calendar!AP182</f>
        <v>Eerste van de maand november</v>
      </c>
      <c r="E180" s="1">
        <f>export_calendar!AO182</f>
        <v>221</v>
      </c>
      <c r="F180">
        <f>MATCH(export_calendar!AL182,theme_boxes!C:C,0)-1</f>
        <v>23</v>
      </c>
      <c r="G180">
        <f>MATCH(export_calendar!AN182,light_patterns!B:B,0)-1</f>
        <v>4</v>
      </c>
      <c r="H180">
        <f>MATCH(export_calendar!AM182,light_colors!B:B,0)-1</f>
        <v>7</v>
      </c>
    </row>
    <row r="181" spans="1:8" x14ac:dyDescent="0.25">
      <c r="A181" s="1">
        <f>export_calendar!AI183</f>
        <v>2030</v>
      </c>
      <c r="B181" s="1">
        <f>export_calendar!AJ183</f>
        <v>12</v>
      </c>
      <c r="C181" s="1">
        <f>export_calendar!AK183</f>
        <v>1</v>
      </c>
      <c r="D181" t="str">
        <f>export_calendar!AP183</f>
        <v>Eerste van de maand december</v>
      </c>
      <c r="E181" s="1">
        <f>export_calendar!AO183</f>
        <v>165</v>
      </c>
      <c r="F181">
        <f>MATCH(export_calendar!AL183,theme_boxes!C:C,0)-1</f>
        <v>23</v>
      </c>
      <c r="G181">
        <f>MATCH(export_calendar!AN183,light_patterns!B:B,0)-1</f>
        <v>4</v>
      </c>
      <c r="H181">
        <f>MATCH(export_calendar!AM183,light_colors!B:B,0)-1</f>
        <v>7</v>
      </c>
    </row>
    <row r="182" spans="1:8" x14ac:dyDescent="0.25">
      <c r="A182" s="1">
        <f>export_calendar!AI184</f>
        <v>2030</v>
      </c>
      <c r="B182" s="1">
        <f>export_calendar!AJ184</f>
        <v>12</v>
      </c>
      <c r="C182" s="1">
        <f>export_calendar!AK184</f>
        <v>5</v>
      </c>
      <c r="D182" t="str">
        <f>export_calendar!AP184</f>
        <v>Sinterklaas</v>
      </c>
      <c r="E182" s="1">
        <f>export_calendar!AO184</f>
        <v>113</v>
      </c>
      <c r="F182">
        <f>MATCH(export_calendar!AL184,theme_boxes!C:C,0)-1</f>
        <v>12</v>
      </c>
      <c r="G182">
        <f>MATCH(export_calendar!AN184,light_patterns!B:B,0)-1</f>
        <v>6</v>
      </c>
      <c r="H182">
        <f>MATCH(export_calendar!AM184,light_colors!B:B,0)-1</f>
        <v>28</v>
      </c>
    </row>
    <row r="183" spans="1:8" x14ac:dyDescent="0.25">
      <c r="A183" s="1">
        <f>export_calendar!AI185</f>
        <v>2030</v>
      </c>
      <c r="B183" s="1">
        <f>export_calendar!AJ185</f>
        <v>12</v>
      </c>
      <c r="C183" s="1">
        <f>export_calendar!AK185</f>
        <v>13</v>
      </c>
      <c r="D183" t="str">
        <f>export_calendar!AP185</f>
        <v>Hartelijk gefeliciteerd,  lieve Marit</v>
      </c>
      <c r="E183" s="1">
        <f>export_calendar!AO185</f>
        <v>114</v>
      </c>
      <c r="F183">
        <f>MATCH(export_calendar!AL185,theme_boxes!C:C,0)-1</f>
        <v>15</v>
      </c>
      <c r="G183">
        <f>MATCH(export_calendar!AN185,light_patterns!B:B,0)-1</f>
        <v>3</v>
      </c>
      <c r="H183">
        <f>MATCH(export_calendar!AM185,light_colors!B:B,0)-1</f>
        <v>14</v>
      </c>
    </row>
    <row r="184" spans="1:8" x14ac:dyDescent="0.25">
      <c r="A184" s="1">
        <f>export_calendar!AI186</f>
        <v>2030</v>
      </c>
      <c r="B184" s="1">
        <f>export_calendar!AJ186</f>
        <v>12</v>
      </c>
      <c r="C184" s="1">
        <f>export_calendar!AK186</f>
        <v>25</v>
      </c>
      <c r="D184" t="str">
        <f>export_calendar!AP186</f>
        <v>Vrolijk Kerstfeest</v>
      </c>
      <c r="E184" s="1">
        <f>export_calendar!AO186</f>
        <v>95</v>
      </c>
      <c r="F184">
        <f>MATCH(export_calendar!AL186,theme_boxes!C:C,0)-1</f>
        <v>8</v>
      </c>
      <c r="G184">
        <f>MATCH(export_calendar!AN186,light_patterns!B:B,0)-1</f>
        <v>26</v>
      </c>
      <c r="H184">
        <f>MATCH(export_calendar!AM186,light_colors!B:B,0)-1</f>
        <v>30</v>
      </c>
    </row>
    <row r="185" spans="1:8" x14ac:dyDescent="0.25">
      <c r="A185" s="1">
        <f>export_calendar!AI187</f>
        <v>2030</v>
      </c>
      <c r="B185" s="1">
        <f>export_calendar!AJ187</f>
        <v>12</v>
      </c>
      <c r="C185" s="1">
        <f>export_calendar!AK187</f>
        <v>26</v>
      </c>
      <c r="D185" t="str">
        <f>export_calendar!AP187</f>
        <v>Tweede Kerstdag</v>
      </c>
      <c r="E185" s="1">
        <f>export_calendar!AO187</f>
        <v>108</v>
      </c>
      <c r="F185">
        <f>MATCH(export_calendar!AL187,theme_boxes!C:C,0)-1</f>
        <v>8</v>
      </c>
      <c r="G185">
        <f>MATCH(export_calendar!AN187,light_patterns!B:B,0)-1</f>
        <v>5</v>
      </c>
      <c r="H185">
        <f>MATCH(export_calendar!AM187,light_colors!B:B,0)-1</f>
        <v>20</v>
      </c>
    </row>
    <row r="186" spans="1:8" x14ac:dyDescent="0.25">
      <c r="A186" s="1">
        <f>export_calendar!AI188</f>
        <v>2030</v>
      </c>
      <c r="B186" s="1">
        <f>export_calendar!AJ188</f>
        <v>12</v>
      </c>
      <c r="C186" s="1">
        <f>export_calendar!AK188</f>
        <v>28</v>
      </c>
      <c r="D186" t="str">
        <f>export_calendar!AP188</f>
        <v>Onnozele Kinderen</v>
      </c>
      <c r="E186" s="1">
        <f>export_calendar!AO188</f>
        <v>77</v>
      </c>
      <c r="F186">
        <f>MATCH(export_calendar!AL188,theme_boxes!C:C,0)-1</f>
        <v>10</v>
      </c>
      <c r="G186">
        <f>MATCH(export_calendar!AN188,light_patterns!B:B,0)-1</f>
        <v>26</v>
      </c>
      <c r="H186">
        <f>MATCH(export_calendar!AM188,light_colors!B:B,0)-1</f>
        <v>35</v>
      </c>
    </row>
    <row r="187" spans="1:8" x14ac:dyDescent="0.25">
      <c r="A187" s="1">
        <f>export_calendar!AI189</f>
        <v>2031</v>
      </c>
      <c r="B187" s="1">
        <f>export_calendar!AJ189</f>
        <v>1</v>
      </c>
      <c r="C187" s="1">
        <f>export_calendar!AK189</f>
        <v>1</v>
      </c>
      <c r="D187" t="str">
        <f>export_calendar!AP189</f>
        <v>Gelukkig Nieuwjaar</v>
      </c>
      <c r="E187" s="1">
        <f>export_calendar!AO189</f>
        <v>77</v>
      </c>
      <c r="F187">
        <f>MATCH(export_calendar!AL189,theme_boxes!C:C,0)-1</f>
        <v>24</v>
      </c>
      <c r="G187">
        <f>MATCH(export_calendar!AN189,light_patterns!B:B,0)-1</f>
        <v>2</v>
      </c>
      <c r="H187">
        <f>MATCH(export_calendar!AM189,light_colors!B:B,0)-1</f>
        <v>40</v>
      </c>
    </row>
    <row r="188" spans="1:8" x14ac:dyDescent="0.25">
      <c r="A188" s="1">
        <f>export_calendar!AI190</f>
        <v>2031</v>
      </c>
      <c r="B188" s="1">
        <f>export_calendar!AJ190</f>
        <v>1</v>
      </c>
      <c r="C188" s="1">
        <f>export_calendar!AK190</f>
        <v>24</v>
      </c>
      <c r="D188" t="str">
        <f>export_calendar!AP190</f>
        <v>Suikerfeest</v>
      </c>
      <c r="E188" s="1">
        <f>export_calendar!AO190</f>
        <v>186</v>
      </c>
      <c r="F188">
        <f>MATCH(export_calendar!AL190,theme_boxes!C:C,0)-1</f>
        <v>10</v>
      </c>
      <c r="G188">
        <f>MATCH(export_calendar!AN190,light_patterns!B:B,0)-1</f>
        <v>7</v>
      </c>
      <c r="H188">
        <f>MATCH(export_calendar!AM190,light_colors!B:B,0)-1</f>
        <v>1</v>
      </c>
    </row>
    <row r="189" spans="1:8" x14ac:dyDescent="0.25">
      <c r="A189" s="1">
        <f>export_calendar!AI191</f>
        <v>2031</v>
      </c>
      <c r="B189" s="1">
        <f>export_calendar!AJ191</f>
        <v>2</v>
      </c>
      <c r="C189" s="1">
        <f>export_calendar!AK191</f>
        <v>1</v>
      </c>
      <c r="D189" t="str">
        <f>export_calendar!AP191</f>
        <v>Eerste van de maand februari</v>
      </c>
      <c r="E189" s="1">
        <f>export_calendar!AO191</f>
        <v>249</v>
      </c>
      <c r="F189">
        <f>MATCH(export_calendar!AL191,theme_boxes!C:C,0)-1</f>
        <v>23</v>
      </c>
      <c r="G189">
        <f>MATCH(export_calendar!AN191,light_patterns!B:B,0)-1</f>
        <v>4</v>
      </c>
      <c r="H189">
        <f>MATCH(export_calendar!AM191,light_colors!B:B,0)-1</f>
        <v>7</v>
      </c>
    </row>
    <row r="190" spans="1:8" x14ac:dyDescent="0.25">
      <c r="A190" s="1">
        <f>export_calendar!AI192</f>
        <v>2031</v>
      </c>
      <c r="B190" s="1">
        <f>export_calendar!AJ192</f>
        <v>2</v>
      </c>
      <c r="C190" s="1">
        <f>export_calendar!AK192</f>
        <v>14</v>
      </c>
      <c r="D190" t="str">
        <f>export_calendar!AP192</f>
        <v>Valentijns en verlovingsdag</v>
      </c>
      <c r="E190" s="1">
        <f>export_calendar!AO192</f>
        <v>70</v>
      </c>
      <c r="F190">
        <f>MATCH(export_calendar!AL192,theme_boxes!C:C,0)-1</f>
        <v>24</v>
      </c>
      <c r="G190">
        <f>MATCH(export_calendar!AN192,light_patterns!B:B,0)-1</f>
        <v>6</v>
      </c>
      <c r="H190">
        <f>MATCH(export_calendar!AM192,light_colors!B:B,0)-1</f>
        <v>42</v>
      </c>
    </row>
    <row r="191" spans="1:8" x14ac:dyDescent="0.25">
      <c r="A191" s="1">
        <f>export_calendar!AI193</f>
        <v>2031</v>
      </c>
      <c r="B191" s="1">
        <f>export_calendar!AJ193</f>
        <v>2</v>
      </c>
      <c r="C191" s="1">
        <f>export_calendar!AK193</f>
        <v>23</v>
      </c>
      <c r="D191" t="str">
        <f>export_calendar!AP193</f>
        <v>Carnaval, Keiebijters!!</v>
      </c>
      <c r="E191" s="1">
        <f>export_calendar!AO193</f>
        <v>96</v>
      </c>
      <c r="F191">
        <f>MATCH(export_calendar!AL193,theme_boxes!C:C,0)-1</f>
        <v>24</v>
      </c>
      <c r="G191">
        <f>MATCH(export_calendar!AN193,light_patterns!B:B,0)-1</f>
        <v>3</v>
      </c>
      <c r="H191">
        <f>MATCH(export_calendar!AM193,light_colors!B:B,0)-1</f>
        <v>7</v>
      </c>
    </row>
    <row r="192" spans="1:8" x14ac:dyDescent="0.25">
      <c r="A192" s="1">
        <f>export_calendar!AI194</f>
        <v>2031</v>
      </c>
      <c r="B192" s="1">
        <f>export_calendar!AJ194</f>
        <v>2</v>
      </c>
      <c r="C192" s="1">
        <f>export_calendar!AK194</f>
        <v>23</v>
      </c>
      <c r="D192" t="str">
        <f>export_calendar!AP194</f>
        <v>Carnaval, Alaaf!!</v>
      </c>
      <c r="E192" s="1">
        <f>export_calendar!AO194</f>
        <v>116</v>
      </c>
      <c r="F192">
        <f>MATCH(export_calendar!AL194,theme_boxes!C:C,0)-1</f>
        <v>24</v>
      </c>
      <c r="G192">
        <f>MATCH(export_calendar!AN194,light_patterns!B:B,0)-1</f>
        <v>3</v>
      </c>
      <c r="H192">
        <f>MATCH(export_calendar!AM194,light_colors!B:B,0)-1</f>
        <v>7</v>
      </c>
    </row>
    <row r="193" spans="1:8" x14ac:dyDescent="0.25">
      <c r="A193" s="1">
        <f>export_calendar!AI195</f>
        <v>2031</v>
      </c>
      <c r="B193" s="1">
        <f>export_calendar!AJ195</f>
        <v>2</v>
      </c>
      <c r="C193" s="1">
        <f>export_calendar!AK195</f>
        <v>24</v>
      </c>
      <c r="D193" t="str">
        <f>export_calendar!AP195</f>
        <v>RosenMoontach, Agge mar leut heht</v>
      </c>
      <c r="E193" s="1">
        <f>export_calendar!AO195</f>
        <v>124</v>
      </c>
      <c r="F193">
        <f>MATCH(export_calendar!AL195,theme_boxes!C:C,0)-1</f>
        <v>24</v>
      </c>
      <c r="G193">
        <f>MATCH(export_calendar!AN195,light_patterns!B:B,0)-1</f>
        <v>3</v>
      </c>
      <c r="H193">
        <f>MATCH(export_calendar!AM195,light_colors!B:B,0)-1</f>
        <v>7</v>
      </c>
    </row>
    <row r="194" spans="1:8" x14ac:dyDescent="0.25">
      <c r="A194" s="1">
        <f>export_calendar!AI196</f>
        <v>2031</v>
      </c>
      <c r="B194" s="1">
        <f>export_calendar!AJ196</f>
        <v>2</v>
      </c>
      <c r="C194" s="1">
        <f>export_calendar!AK196</f>
        <v>26</v>
      </c>
      <c r="D194" t="str">
        <f>export_calendar!AP196</f>
        <v>Aswoensdag ,  - en nu begint de katholieke ramadan</v>
      </c>
      <c r="E194" s="1">
        <f>export_calendar!AO196</f>
        <v>251</v>
      </c>
      <c r="F194">
        <f>MATCH(export_calendar!AL196,theme_boxes!C:C,0)-1</f>
        <v>21</v>
      </c>
      <c r="G194">
        <f>MATCH(export_calendar!AN196,light_patterns!B:B,0)-1</f>
        <v>5</v>
      </c>
      <c r="H194">
        <f>MATCH(export_calendar!AM196,light_colors!B:B,0)-1</f>
        <v>21</v>
      </c>
    </row>
    <row r="195" spans="1:8" x14ac:dyDescent="0.25">
      <c r="A195" s="1">
        <f>export_calendar!AI197</f>
        <v>2031</v>
      </c>
      <c r="B195" s="1">
        <f>export_calendar!AJ197</f>
        <v>3</v>
      </c>
      <c r="C195" s="1">
        <f>export_calendar!AK197</f>
        <v>1</v>
      </c>
      <c r="D195" t="str">
        <f>export_calendar!AP197</f>
        <v>Eerste van de maand maart</v>
      </c>
      <c r="E195" s="1">
        <f>export_calendar!AO197</f>
        <v>287</v>
      </c>
      <c r="F195">
        <f>MATCH(export_calendar!AL197,theme_boxes!C:C,0)-1</f>
        <v>23</v>
      </c>
      <c r="G195">
        <f>MATCH(export_calendar!AN197,light_patterns!B:B,0)-1</f>
        <v>4</v>
      </c>
      <c r="H195">
        <f>MATCH(export_calendar!AM197,light_colors!B:B,0)-1</f>
        <v>7</v>
      </c>
    </row>
    <row r="196" spans="1:8" x14ac:dyDescent="0.25">
      <c r="A196" s="1">
        <f>export_calendar!AI198</f>
        <v>2031</v>
      </c>
      <c r="B196" s="1">
        <f>export_calendar!AJ198</f>
        <v>3</v>
      </c>
      <c r="C196" s="1">
        <f>export_calendar!AK198</f>
        <v>14</v>
      </c>
      <c r="D196" t="str">
        <f>export_calendar!AP198</f>
        <v>piedag - drie komma een vier enzovoorts !en nog meer decimalen</v>
      </c>
      <c r="E196" s="1">
        <f>export_calendar!AO198</f>
        <v>95</v>
      </c>
      <c r="F196">
        <f>MATCH(export_calendar!AL198,theme_boxes!C:C,0)-1</f>
        <v>9</v>
      </c>
      <c r="G196">
        <f>MATCH(export_calendar!AN198,light_patterns!B:B,0)-1</f>
        <v>28</v>
      </c>
      <c r="H196">
        <f>MATCH(export_calendar!AM198,light_colors!B:B,0)-1</f>
        <v>6</v>
      </c>
    </row>
    <row r="197" spans="1:8" x14ac:dyDescent="0.25">
      <c r="A197" s="1">
        <f>export_calendar!AI199</f>
        <v>2031</v>
      </c>
      <c r="B197" s="1">
        <f>export_calendar!AJ199</f>
        <v>3</v>
      </c>
      <c r="C197" s="1">
        <f>export_calendar!AK199</f>
        <v>21</v>
      </c>
      <c r="D197" t="str">
        <f>export_calendar!AP199</f>
        <v>Hartelijk gefeliciteerd,  Thomas</v>
      </c>
      <c r="E197" s="1">
        <f>export_calendar!AO199</f>
        <v>73</v>
      </c>
      <c r="F197">
        <f>MATCH(export_calendar!AL199,theme_boxes!C:C,0)-1</f>
        <v>15</v>
      </c>
      <c r="G197">
        <f>MATCH(export_calendar!AN199,light_patterns!B:B,0)-1</f>
        <v>3</v>
      </c>
      <c r="H197">
        <f>MATCH(export_calendar!AM199,light_colors!B:B,0)-1</f>
        <v>14</v>
      </c>
    </row>
    <row r="198" spans="1:8" x14ac:dyDescent="0.25">
      <c r="A198" s="1">
        <f>export_calendar!AI200</f>
        <v>2031</v>
      </c>
      <c r="B198" s="1">
        <f>export_calendar!AJ200</f>
        <v>4</v>
      </c>
      <c r="C198" s="1">
        <f>export_calendar!AK200</f>
        <v>1</v>
      </c>
      <c r="D198" t="str">
        <f>export_calendar!AP200</f>
        <v>Eerste van de maand april, een april, kikker in je bil!</v>
      </c>
      <c r="E198" s="1">
        <f>export_calendar!AO200</f>
        <v>265</v>
      </c>
      <c r="F198">
        <f>MATCH(export_calendar!AL200,theme_boxes!C:C,0)-1</f>
        <v>23</v>
      </c>
      <c r="G198">
        <f>MATCH(export_calendar!AN200,light_patterns!B:B,0)-1</f>
        <v>4</v>
      </c>
      <c r="H198">
        <f>MATCH(export_calendar!AM200,light_colors!B:B,0)-1</f>
        <v>7</v>
      </c>
    </row>
    <row r="199" spans="1:8" x14ac:dyDescent="0.25">
      <c r="A199" s="1">
        <f>export_calendar!AI201</f>
        <v>2031</v>
      </c>
      <c r="B199" s="1">
        <f>export_calendar!AJ201</f>
        <v>4</v>
      </c>
      <c r="C199" s="1">
        <f>export_calendar!AK201</f>
        <v>11</v>
      </c>
      <c r="D199" t="str">
        <f>export_calendar!AP201</f>
        <v>Goede Vrijdag,  - ook zowat</v>
      </c>
      <c r="E199" s="1">
        <f>export_calendar!AO201</f>
        <v>280</v>
      </c>
      <c r="F199">
        <f>MATCH(export_calendar!AL201,theme_boxes!C:C,0)-1</f>
        <v>13</v>
      </c>
      <c r="G199">
        <f>MATCH(export_calendar!AN201,light_patterns!B:B,0)-1</f>
        <v>2</v>
      </c>
      <c r="H199">
        <f>MATCH(export_calendar!AM201,light_colors!B:B,0)-1</f>
        <v>13</v>
      </c>
    </row>
    <row r="200" spans="1:8" x14ac:dyDescent="0.25">
      <c r="A200" s="1">
        <f>export_calendar!AI202</f>
        <v>2031</v>
      </c>
      <c r="B200" s="1">
        <f>export_calendar!AJ202</f>
        <v>4</v>
      </c>
      <c r="C200" s="1">
        <f>export_calendar!AK202</f>
        <v>13</v>
      </c>
      <c r="D200" t="str">
        <f>export_calendar!AP202</f>
        <v>Vrolijk Pasen</v>
      </c>
      <c r="E200" s="1">
        <f>export_calendar!AO202</f>
        <v>71</v>
      </c>
      <c r="F200">
        <f>MATCH(export_calendar!AL202,theme_boxes!C:C,0)-1</f>
        <v>17</v>
      </c>
      <c r="G200">
        <f>MATCH(export_calendar!AN202,light_patterns!B:B,0)-1</f>
        <v>9</v>
      </c>
      <c r="H200">
        <f>MATCH(export_calendar!AM202,light_colors!B:B,0)-1</f>
        <v>5</v>
      </c>
    </row>
    <row r="201" spans="1:8" x14ac:dyDescent="0.25">
      <c r="A201" s="1">
        <f>export_calendar!AI203</f>
        <v>2031</v>
      </c>
      <c r="B201" s="1">
        <f>export_calendar!AJ203</f>
        <v>4</v>
      </c>
      <c r="C201" s="1">
        <f>export_calendar!AK203</f>
        <v>14</v>
      </c>
      <c r="D201" t="str">
        <f>export_calendar!AP203</f>
        <v>Tweede Paasdag</v>
      </c>
      <c r="E201" s="1">
        <f>export_calendar!AO203</f>
        <v>298</v>
      </c>
      <c r="F201">
        <f>MATCH(export_calendar!AL203,theme_boxes!C:C,0)-1</f>
        <v>17</v>
      </c>
      <c r="G201">
        <f>MATCH(export_calendar!AN203,light_patterns!B:B,0)-1</f>
        <v>13</v>
      </c>
      <c r="H201">
        <f>MATCH(export_calendar!AM203,light_colors!B:B,0)-1</f>
        <v>19</v>
      </c>
    </row>
    <row r="202" spans="1:8" x14ac:dyDescent="0.25">
      <c r="A202" s="1">
        <f>export_calendar!AI204</f>
        <v>2031</v>
      </c>
      <c r="B202" s="1">
        <f>export_calendar!AJ204</f>
        <v>4</v>
      </c>
      <c r="C202" s="1">
        <f>export_calendar!AK204</f>
        <v>30</v>
      </c>
      <c r="D202" t="str">
        <f>export_calendar!AP204</f>
        <v>Hartelijk gefeliciteerd,  Paul</v>
      </c>
      <c r="E202" s="1">
        <f>export_calendar!AO204</f>
        <v>98</v>
      </c>
      <c r="F202">
        <f>MATCH(export_calendar!AL204,theme_boxes!C:C,0)-1</f>
        <v>15</v>
      </c>
      <c r="G202">
        <f>MATCH(export_calendar!AN204,light_patterns!B:B,0)-1</f>
        <v>3</v>
      </c>
      <c r="H202">
        <f>MATCH(export_calendar!AM204,light_colors!B:B,0)-1</f>
        <v>14</v>
      </c>
    </row>
    <row r="203" spans="1:8" x14ac:dyDescent="0.25">
      <c r="A203" s="1">
        <f>export_calendar!AI205</f>
        <v>2031</v>
      </c>
      <c r="B203" s="1">
        <f>export_calendar!AJ205</f>
        <v>5</v>
      </c>
      <c r="C203" s="1">
        <f>export_calendar!AK205</f>
        <v>1</v>
      </c>
      <c r="D203" t="str">
        <f>export_calendar!AP205</f>
        <v>Eerste van de maand mei- leggen alle vogeltjes een ei</v>
      </c>
      <c r="E203" s="1">
        <f>export_calendar!AO205</f>
        <v>202</v>
      </c>
      <c r="F203">
        <f>MATCH(export_calendar!AL205,theme_boxes!C:C,0)-1</f>
        <v>23</v>
      </c>
      <c r="G203">
        <f>MATCH(export_calendar!AN205,light_patterns!B:B,0)-1</f>
        <v>4</v>
      </c>
      <c r="H203">
        <f>MATCH(export_calendar!AM205,light_colors!B:B,0)-1</f>
        <v>7</v>
      </c>
    </row>
    <row r="204" spans="1:8" x14ac:dyDescent="0.25">
      <c r="A204" s="1">
        <f>export_calendar!AI206</f>
        <v>2031</v>
      </c>
      <c r="B204" s="1">
        <f>export_calendar!AJ206</f>
        <v>5</v>
      </c>
      <c r="C204" s="1">
        <f>export_calendar!AK206</f>
        <v>4</v>
      </c>
      <c r="D204" t="str">
        <f>export_calendar!AP206</f>
        <v>Dodenherdenking</v>
      </c>
      <c r="E204" s="1">
        <f>export_calendar!AO206</f>
        <v>102</v>
      </c>
      <c r="F204">
        <f>MATCH(export_calendar!AL206,theme_boxes!C:C,0)-1</f>
        <v>21</v>
      </c>
      <c r="G204">
        <f>MATCH(export_calendar!AN206,light_patterns!B:B,0)-1</f>
        <v>2</v>
      </c>
      <c r="H204">
        <f>MATCH(export_calendar!AM206,light_colors!B:B,0)-1</f>
        <v>31</v>
      </c>
    </row>
    <row r="205" spans="1:8" x14ac:dyDescent="0.25">
      <c r="A205" s="1">
        <f>export_calendar!AI207</f>
        <v>2031</v>
      </c>
      <c r="B205" s="1">
        <f>export_calendar!AJ207</f>
        <v>5</v>
      </c>
      <c r="C205" s="1">
        <f>export_calendar!AK207</f>
        <v>5</v>
      </c>
      <c r="D205" t="str">
        <f>export_calendar!AP207</f>
        <v>Bevrijdingsdag</v>
      </c>
      <c r="E205" s="1">
        <f>export_calendar!AO207</f>
        <v>64</v>
      </c>
      <c r="F205">
        <f>MATCH(export_calendar!AL207,theme_boxes!C:C,0)-1</f>
        <v>24</v>
      </c>
      <c r="G205">
        <f>MATCH(export_calendar!AN207,light_patterns!B:B,0)-1</f>
        <v>3</v>
      </c>
      <c r="H205">
        <f>MATCH(export_calendar!AM207,light_colors!B:B,0)-1</f>
        <v>3</v>
      </c>
    </row>
    <row r="206" spans="1:8" x14ac:dyDescent="0.25">
      <c r="A206" s="1">
        <f>export_calendar!AI208</f>
        <v>2031</v>
      </c>
      <c r="B206" s="1">
        <f>export_calendar!AJ208</f>
        <v>5</v>
      </c>
      <c r="C206" s="1">
        <f>export_calendar!AK208</f>
        <v>10</v>
      </c>
      <c r="D206" t="str">
        <f>export_calendar!AP208</f>
        <v>Hartelijk gefeliciteerd,  Gaia</v>
      </c>
      <c r="E206" s="1">
        <f>export_calendar!AO208</f>
        <v>73</v>
      </c>
      <c r="F206">
        <f>MATCH(export_calendar!AL208,theme_boxes!C:C,0)-1</f>
        <v>15</v>
      </c>
      <c r="G206">
        <f>MATCH(export_calendar!AN208,light_patterns!B:B,0)-1</f>
        <v>3</v>
      </c>
      <c r="H206">
        <f>MATCH(export_calendar!AM208,light_colors!B:B,0)-1</f>
        <v>14</v>
      </c>
    </row>
    <row r="207" spans="1:8" x14ac:dyDescent="0.25">
      <c r="A207" s="1">
        <f>export_calendar!AI209</f>
        <v>2031</v>
      </c>
      <c r="B207" s="1">
        <f>export_calendar!AJ209</f>
        <v>5</v>
      </c>
      <c r="C207" s="1">
        <f>export_calendar!AK209</f>
        <v>22</v>
      </c>
      <c r="D207" t="str">
        <f>export_calendar!AP209</f>
        <v>Hemelvaart</v>
      </c>
      <c r="E207" s="1">
        <f>export_calendar!AO209</f>
        <v>117</v>
      </c>
      <c r="F207">
        <f>MATCH(export_calendar!AL209,theme_boxes!C:C,0)-1</f>
        <v>11</v>
      </c>
      <c r="G207">
        <f>MATCH(export_calendar!AN209,light_patterns!B:B,0)-1</f>
        <v>2</v>
      </c>
      <c r="H207">
        <f>MATCH(export_calendar!AM209,light_colors!B:B,0)-1</f>
        <v>29</v>
      </c>
    </row>
    <row r="208" spans="1:8" x14ac:dyDescent="0.25">
      <c r="A208" s="1">
        <f>export_calendar!AI210</f>
        <v>2031</v>
      </c>
      <c r="B208" s="1">
        <f>export_calendar!AJ210</f>
        <v>6</v>
      </c>
      <c r="C208" s="1">
        <f>export_calendar!AK210</f>
        <v>1</v>
      </c>
      <c r="D208" t="str">
        <f>export_calendar!AP210</f>
        <v>Eerste van de maand juni</v>
      </c>
      <c r="E208" s="1">
        <f>export_calendar!AO210</f>
        <v>157</v>
      </c>
      <c r="F208">
        <f>MATCH(export_calendar!AL210,theme_boxes!C:C,0)-1</f>
        <v>23</v>
      </c>
      <c r="G208">
        <f>MATCH(export_calendar!AN210,light_patterns!B:B,0)-1</f>
        <v>4</v>
      </c>
      <c r="H208">
        <f>MATCH(export_calendar!AM210,light_colors!B:B,0)-1</f>
        <v>7</v>
      </c>
    </row>
    <row r="209" spans="1:8" x14ac:dyDescent="0.25">
      <c r="A209" s="1">
        <f>export_calendar!AI211</f>
        <v>2031</v>
      </c>
      <c r="B209" s="1">
        <f>export_calendar!AJ211</f>
        <v>6</v>
      </c>
      <c r="C209" s="1">
        <f>export_calendar!AK211</f>
        <v>1</v>
      </c>
      <c r="D209" t="str">
        <f>export_calendar!AP211</f>
        <v>Pinksteren,  - iets met vurige tongen?</v>
      </c>
      <c r="E209" s="1">
        <f>export_calendar!AO211</f>
        <v>172</v>
      </c>
      <c r="F209">
        <f>MATCH(export_calendar!AL211,theme_boxes!C:C,0)-1</f>
        <v>4</v>
      </c>
      <c r="G209">
        <f>MATCH(export_calendar!AN211,light_patterns!B:B,0)-1</f>
        <v>4</v>
      </c>
      <c r="H209">
        <f>MATCH(export_calendar!AM211,light_colors!B:B,0)-1</f>
        <v>8</v>
      </c>
    </row>
    <row r="210" spans="1:8" x14ac:dyDescent="0.25">
      <c r="A210" s="1">
        <f>export_calendar!AI212</f>
        <v>2031</v>
      </c>
      <c r="B210" s="1">
        <f>export_calendar!AJ212</f>
        <v>6</v>
      </c>
      <c r="C210" s="1">
        <f>export_calendar!AK212</f>
        <v>2</v>
      </c>
      <c r="D210" t="str">
        <f>export_calendar!AP212</f>
        <v>Nog steeds Pinksteren,  - iets met vurige tongen?</v>
      </c>
      <c r="E210" s="1">
        <f>export_calendar!AO212</f>
        <v>220</v>
      </c>
      <c r="F210">
        <f>MATCH(export_calendar!AL212,theme_boxes!C:C,0)-1</f>
        <v>4</v>
      </c>
      <c r="G210">
        <f>MATCH(export_calendar!AN212,light_patterns!B:B,0)-1</f>
        <v>4</v>
      </c>
      <c r="H210">
        <f>MATCH(export_calendar!AM212,light_colors!B:B,0)-1</f>
        <v>8</v>
      </c>
    </row>
    <row r="211" spans="1:8" x14ac:dyDescent="0.25">
      <c r="A211" s="1">
        <f>export_calendar!AI213</f>
        <v>2031</v>
      </c>
      <c r="B211" s="1">
        <f>export_calendar!AJ213</f>
        <v>6</v>
      </c>
      <c r="C211" s="1">
        <f>export_calendar!AK213</f>
        <v>24</v>
      </c>
      <c r="D211" t="str">
        <f>export_calendar!AP213</f>
        <v>SintJan</v>
      </c>
      <c r="E211" s="1">
        <f>export_calendar!AO213</f>
        <v>61</v>
      </c>
      <c r="F211">
        <f>MATCH(export_calendar!AL213,theme_boxes!C:C,0)-1</f>
        <v>24</v>
      </c>
      <c r="G211">
        <f>MATCH(export_calendar!AN213,light_patterns!B:B,0)-1</f>
        <v>27</v>
      </c>
      <c r="H211">
        <f>MATCH(export_calendar!AM213,light_colors!B:B,0)-1</f>
        <v>5</v>
      </c>
    </row>
    <row r="212" spans="1:8" x14ac:dyDescent="0.25">
      <c r="A212" s="1">
        <f>export_calendar!AI214</f>
        <v>2031</v>
      </c>
      <c r="B212" s="1">
        <f>export_calendar!AJ214</f>
        <v>7</v>
      </c>
      <c r="C212" s="1">
        <f>export_calendar!AK214</f>
        <v>1</v>
      </c>
      <c r="D212" t="str">
        <f>export_calendar!AP214</f>
        <v>Eerste van de maand juli</v>
      </c>
      <c r="E212" s="1">
        <f>export_calendar!AO214</f>
        <v>171</v>
      </c>
      <c r="F212">
        <f>MATCH(export_calendar!AL214,theme_boxes!C:C,0)-1</f>
        <v>23</v>
      </c>
      <c r="G212">
        <f>MATCH(export_calendar!AN214,light_patterns!B:B,0)-1</f>
        <v>4</v>
      </c>
      <c r="H212">
        <f>MATCH(export_calendar!AM214,light_colors!B:B,0)-1</f>
        <v>7</v>
      </c>
    </row>
    <row r="213" spans="1:8" x14ac:dyDescent="0.25">
      <c r="A213" s="1">
        <f>export_calendar!AI215</f>
        <v>2031</v>
      </c>
      <c r="B213" s="1">
        <f>export_calendar!AJ215</f>
        <v>8</v>
      </c>
      <c r="C213" s="1">
        <f>export_calendar!AK215</f>
        <v>1</v>
      </c>
      <c r="D213" t="str">
        <f>export_calendar!AP215</f>
        <v>Eerste van de maand augustus</v>
      </c>
      <c r="E213" s="1">
        <f>export_calendar!AO215</f>
        <v>231</v>
      </c>
      <c r="F213">
        <f>MATCH(export_calendar!AL215,theme_boxes!C:C,0)-1</f>
        <v>23</v>
      </c>
      <c r="G213">
        <f>MATCH(export_calendar!AN215,light_patterns!B:B,0)-1</f>
        <v>4</v>
      </c>
      <c r="H213">
        <f>MATCH(export_calendar!AM215,light_colors!B:B,0)-1</f>
        <v>7</v>
      </c>
    </row>
    <row r="214" spans="1:8" x14ac:dyDescent="0.25">
      <c r="A214" s="1">
        <f>export_calendar!AI216</f>
        <v>2031</v>
      </c>
      <c r="B214" s="1">
        <f>export_calendar!AJ216</f>
        <v>9</v>
      </c>
      <c r="C214" s="1">
        <f>export_calendar!AK216</f>
        <v>1</v>
      </c>
      <c r="D214" t="str">
        <f>export_calendar!AP216</f>
        <v>Eerste van de maand september</v>
      </c>
      <c r="E214" s="1">
        <f>export_calendar!AO216</f>
        <v>282</v>
      </c>
      <c r="F214">
        <f>MATCH(export_calendar!AL216,theme_boxes!C:C,0)-1</f>
        <v>23</v>
      </c>
      <c r="G214">
        <f>MATCH(export_calendar!AN216,light_patterns!B:B,0)-1</f>
        <v>4</v>
      </c>
      <c r="H214">
        <f>MATCH(export_calendar!AM216,light_colors!B:B,0)-1</f>
        <v>7</v>
      </c>
    </row>
    <row r="215" spans="1:8" x14ac:dyDescent="0.25">
      <c r="A215" s="1">
        <f>export_calendar!AI217</f>
        <v>2031</v>
      </c>
      <c r="B215" s="1">
        <f>export_calendar!AJ217</f>
        <v>10</v>
      </c>
      <c r="C215" s="1">
        <f>export_calendar!AK217</f>
        <v>1</v>
      </c>
      <c r="D215" t="str">
        <f>export_calendar!AP217</f>
        <v>Eerste van de maand oktober</v>
      </c>
      <c r="E215" s="1">
        <f>export_calendar!AO217</f>
        <v>277</v>
      </c>
      <c r="F215">
        <f>MATCH(export_calendar!AL217,theme_boxes!C:C,0)-1</f>
        <v>23</v>
      </c>
      <c r="G215">
        <f>MATCH(export_calendar!AN217,light_patterns!B:B,0)-1</f>
        <v>4</v>
      </c>
      <c r="H215">
        <f>MATCH(export_calendar!AM217,light_colors!B:B,0)-1</f>
        <v>7</v>
      </c>
    </row>
    <row r="216" spans="1:8" x14ac:dyDescent="0.25">
      <c r="A216" s="1">
        <f>export_calendar!AI218</f>
        <v>2031</v>
      </c>
      <c r="B216" s="1">
        <f>export_calendar!AJ218</f>
        <v>10</v>
      </c>
      <c r="C216" s="1">
        <f>export_calendar!AK218</f>
        <v>8</v>
      </c>
      <c r="D216" t="str">
        <f>export_calendar!AP218</f>
        <v>Hartelijk gefeliciteerd,  Jan</v>
      </c>
      <c r="E216" s="1">
        <f>export_calendar!AO218</f>
        <v>105</v>
      </c>
      <c r="F216">
        <f>MATCH(export_calendar!AL218,theme_boxes!C:C,0)-1</f>
        <v>15</v>
      </c>
      <c r="G216">
        <f>MATCH(export_calendar!AN218,light_patterns!B:B,0)-1</f>
        <v>3</v>
      </c>
      <c r="H216">
        <f>MATCH(export_calendar!AM218,light_colors!B:B,0)-1</f>
        <v>14</v>
      </c>
    </row>
    <row r="217" spans="1:8" x14ac:dyDescent="0.25">
      <c r="A217" s="1">
        <f>export_calendar!AI219</f>
        <v>2031</v>
      </c>
      <c r="B217" s="1">
        <f>export_calendar!AJ219</f>
        <v>11</v>
      </c>
      <c r="C217" s="1">
        <f>export_calendar!AK219</f>
        <v>1</v>
      </c>
      <c r="D217" t="str">
        <f>export_calendar!AP219</f>
        <v>Eerste van de maand november</v>
      </c>
      <c r="E217" s="1">
        <f>export_calendar!AO219</f>
        <v>221</v>
      </c>
      <c r="F217">
        <f>MATCH(export_calendar!AL219,theme_boxes!C:C,0)-1</f>
        <v>23</v>
      </c>
      <c r="G217">
        <f>MATCH(export_calendar!AN219,light_patterns!B:B,0)-1</f>
        <v>4</v>
      </c>
      <c r="H217">
        <f>MATCH(export_calendar!AM219,light_colors!B:B,0)-1</f>
        <v>7</v>
      </c>
    </row>
    <row r="218" spans="1:8" x14ac:dyDescent="0.25">
      <c r="A218" s="1">
        <f>export_calendar!AI220</f>
        <v>2031</v>
      </c>
      <c r="B218" s="1">
        <f>export_calendar!AJ220</f>
        <v>12</v>
      </c>
      <c r="C218" s="1">
        <f>export_calendar!AK220</f>
        <v>1</v>
      </c>
      <c r="D218" t="str">
        <f>export_calendar!AP220</f>
        <v>Eerste van de maand december</v>
      </c>
      <c r="E218" s="1">
        <f>export_calendar!AO220</f>
        <v>165</v>
      </c>
      <c r="F218">
        <f>MATCH(export_calendar!AL220,theme_boxes!C:C,0)-1</f>
        <v>23</v>
      </c>
      <c r="G218">
        <f>MATCH(export_calendar!AN220,light_patterns!B:B,0)-1</f>
        <v>4</v>
      </c>
      <c r="H218">
        <f>MATCH(export_calendar!AM220,light_colors!B:B,0)-1</f>
        <v>7</v>
      </c>
    </row>
    <row r="219" spans="1:8" x14ac:dyDescent="0.25">
      <c r="A219" s="1">
        <f>export_calendar!AI221</f>
        <v>2031</v>
      </c>
      <c r="B219" s="1">
        <f>export_calendar!AJ221</f>
        <v>12</v>
      </c>
      <c r="C219" s="1">
        <f>export_calendar!AK221</f>
        <v>5</v>
      </c>
      <c r="D219" t="str">
        <f>export_calendar!AP221</f>
        <v>Sinterklaas</v>
      </c>
      <c r="E219" s="1">
        <f>export_calendar!AO221</f>
        <v>113</v>
      </c>
      <c r="F219">
        <f>MATCH(export_calendar!AL221,theme_boxes!C:C,0)-1</f>
        <v>12</v>
      </c>
      <c r="G219">
        <f>MATCH(export_calendar!AN221,light_patterns!B:B,0)-1</f>
        <v>6</v>
      </c>
      <c r="H219">
        <f>MATCH(export_calendar!AM221,light_colors!B:B,0)-1</f>
        <v>28</v>
      </c>
    </row>
    <row r="220" spans="1:8" x14ac:dyDescent="0.25">
      <c r="A220" s="1">
        <f>export_calendar!AI222</f>
        <v>2031</v>
      </c>
      <c r="B220" s="1">
        <f>export_calendar!AJ222</f>
        <v>12</v>
      </c>
      <c r="C220" s="1">
        <f>export_calendar!AK222</f>
        <v>13</v>
      </c>
      <c r="D220" t="str">
        <f>export_calendar!AP222</f>
        <v>Hartelijk gefeliciteerd,  lieve Marit</v>
      </c>
      <c r="E220" s="1">
        <f>export_calendar!AO222</f>
        <v>114</v>
      </c>
      <c r="F220">
        <f>MATCH(export_calendar!AL222,theme_boxes!C:C,0)-1</f>
        <v>15</v>
      </c>
      <c r="G220">
        <f>MATCH(export_calendar!AN222,light_patterns!B:B,0)-1</f>
        <v>3</v>
      </c>
      <c r="H220">
        <f>MATCH(export_calendar!AM222,light_colors!B:B,0)-1</f>
        <v>14</v>
      </c>
    </row>
    <row r="221" spans="1:8" x14ac:dyDescent="0.25">
      <c r="A221" s="1">
        <f>export_calendar!AI223</f>
        <v>2031</v>
      </c>
      <c r="B221" s="1">
        <f>export_calendar!AJ223</f>
        <v>12</v>
      </c>
      <c r="C221" s="1">
        <f>export_calendar!AK223</f>
        <v>25</v>
      </c>
      <c r="D221" t="str">
        <f>export_calendar!AP223</f>
        <v>Vrolijk Kerstfeest</v>
      </c>
      <c r="E221" s="1">
        <f>export_calendar!AO223</f>
        <v>95</v>
      </c>
      <c r="F221">
        <f>MATCH(export_calendar!AL223,theme_boxes!C:C,0)-1</f>
        <v>8</v>
      </c>
      <c r="G221">
        <f>MATCH(export_calendar!AN223,light_patterns!B:B,0)-1</f>
        <v>26</v>
      </c>
      <c r="H221">
        <f>MATCH(export_calendar!AM223,light_colors!B:B,0)-1</f>
        <v>30</v>
      </c>
    </row>
    <row r="222" spans="1:8" x14ac:dyDescent="0.25">
      <c r="A222" s="1">
        <f>export_calendar!AI224</f>
        <v>2031</v>
      </c>
      <c r="B222" s="1">
        <f>export_calendar!AJ224</f>
        <v>12</v>
      </c>
      <c r="C222" s="1">
        <f>export_calendar!AK224</f>
        <v>26</v>
      </c>
      <c r="D222" t="str">
        <f>export_calendar!AP224</f>
        <v>Tweede Kerstdag</v>
      </c>
      <c r="E222" s="1">
        <f>export_calendar!AO224</f>
        <v>108</v>
      </c>
      <c r="F222">
        <f>MATCH(export_calendar!AL224,theme_boxes!C:C,0)-1</f>
        <v>8</v>
      </c>
      <c r="G222">
        <f>MATCH(export_calendar!AN224,light_patterns!B:B,0)-1</f>
        <v>5</v>
      </c>
      <c r="H222">
        <f>MATCH(export_calendar!AM224,light_colors!B:B,0)-1</f>
        <v>20</v>
      </c>
    </row>
    <row r="223" spans="1:8" x14ac:dyDescent="0.25">
      <c r="A223" s="1">
        <f>export_calendar!AI225</f>
        <v>2031</v>
      </c>
      <c r="B223" s="1">
        <f>export_calendar!AJ225</f>
        <v>12</v>
      </c>
      <c r="C223" s="1">
        <f>export_calendar!AK225</f>
        <v>28</v>
      </c>
      <c r="D223" t="str">
        <f>export_calendar!AP225</f>
        <v>Onnozele Kinderen</v>
      </c>
      <c r="E223" s="1">
        <f>export_calendar!AO225</f>
        <v>77</v>
      </c>
      <c r="F223">
        <f>MATCH(export_calendar!AL225,theme_boxes!C:C,0)-1</f>
        <v>10</v>
      </c>
      <c r="G223">
        <f>MATCH(export_calendar!AN225,light_patterns!B:B,0)-1</f>
        <v>26</v>
      </c>
      <c r="H223">
        <f>MATCH(export_calendar!AM225,light_colors!B:B,0)-1</f>
        <v>35</v>
      </c>
    </row>
    <row r="224" spans="1:8" x14ac:dyDescent="0.25">
      <c r="A224" s="1">
        <f>export_calendar!AI226</f>
        <v>2032</v>
      </c>
      <c r="B224" s="1">
        <f>export_calendar!AJ226</f>
        <v>1</v>
      </c>
      <c r="C224" s="1">
        <f>export_calendar!AK226</f>
        <v>1</v>
      </c>
      <c r="D224" t="str">
        <f>export_calendar!AP226</f>
        <v>Gelukkig Nieuwjaar</v>
      </c>
      <c r="E224" s="1">
        <f>export_calendar!AO226</f>
        <v>77</v>
      </c>
      <c r="F224">
        <f>MATCH(export_calendar!AL226,theme_boxes!C:C,0)-1</f>
        <v>24</v>
      </c>
      <c r="G224">
        <f>MATCH(export_calendar!AN226,light_patterns!B:B,0)-1</f>
        <v>2</v>
      </c>
      <c r="H224">
        <f>MATCH(export_calendar!AM226,light_colors!B:B,0)-1</f>
        <v>40</v>
      </c>
    </row>
    <row r="225" spans="1:8" x14ac:dyDescent="0.25">
      <c r="A225" s="1">
        <f>export_calendar!AI227</f>
        <v>2032</v>
      </c>
      <c r="B225" s="1">
        <f>export_calendar!AJ227</f>
        <v>1</v>
      </c>
      <c r="C225" s="1">
        <f>export_calendar!AK227</f>
        <v>13</v>
      </c>
      <c r="D225" t="str">
        <f>export_calendar!AP227</f>
        <v>Suikerfeest</v>
      </c>
      <c r="E225" s="1">
        <f>export_calendar!AO227</f>
        <v>168</v>
      </c>
      <c r="F225">
        <f>MATCH(export_calendar!AL227,theme_boxes!C:C,0)-1</f>
        <v>10</v>
      </c>
      <c r="G225">
        <f>MATCH(export_calendar!AN227,light_patterns!B:B,0)-1</f>
        <v>7</v>
      </c>
      <c r="H225">
        <f>MATCH(export_calendar!AM227,light_colors!B:B,0)-1</f>
        <v>1</v>
      </c>
    </row>
    <row r="226" spans="1:8" x14ac:dyDescent="0.25">
      <c r="A226" s="1">
        <f>export_calendar!AI228</f>
        <v>2032</v>
      </c>
      <c r="B226" s="1">
        <f>export_calendar!AJ228</f>
        <v>2</v>
      </c>
      <c r="C226" s="1">
        <f>export_calendar!AK228</f>
        <v>1</v>
      </c>
      <c r="D226" t="str">
        <f>export_calendar!AP228</f>
        <v>Eerste van de maand februari</v>
      </c>
      <c r="E226" s="1">
        <f>export_calendar!AO228</f>
        <v>249</v>
      </c>
      <c r="F226">
        <f>MATCH(export_calendar!AL228,theme_boxes!C:C,0)-1</f>
        <v>23</v>
      </c>
      <c r="G226">
        <f>MATCH(export_calendar!AN228,light_patterns!B:B,0)-1</f>
        <v>4</v>
      </c>
      <c r="H226">
        <f>MATCH(export_calendar!AM228,light_colors!B:B,0)-1</f>
        <v>7</v>
      </c>
    </row>
    <row r="227" spans="1:8" x14ac:dyDescent="0.25">
      <c r="A227" s="1">
        <f>export_calendar!AI229</f>
        <v>2032</v>
      </c>
      <c r="B227" s="1">
        <f>export_calendar!AJ229</f>
        <v>2</v>
      </c>
      <c r="C227" s="1">
        <f>export_calendar!AK229</f>
        <v>8</v>
      </c>
      <c r="D227" t="str">
        <f>export_calendar!AP229</f>
        <v>Carnaval, Keiebijters!!</v>
      </c>
      <c r="E227" s="1">
        <f>export_calendar!AO229</f>
        <v>101</v>
      </c>
      <c r="F227">
        <f>MATCH(export_calendar!AL229,theme_boxes!C:C,0)-1</f>
        <v>24</v>
      </c>
      <c r="G227">
        <f>MATCH(export_calendar!AN229,light_patterns!B:B,0)-1</f>
        <v>3</v>
      </c>
      <c r="H227">
        <f>MATCH(export_calendar!AM229,light_colors!B:B,0)-1</f>
        <v>7</v>
      </c>
    </row>
    <row r="228" spans="1:8" x14ac:dyDescent="0.25">
      <c r="A228" s="1">
        <f>export_calendar!AI230</f>
        <v>2032</v>
      </c>
      <c r="B228" s="1">
        <f>export_calendar!AJ230</f>
        <v>2</v>
      </c>
      <c r="C228" s="1">
        <f>export_calendar!AK230</f>
        <v>8</v>
      </c>
      <c r="D228" t="str">
        <f>export_calendar!AP230</f>
        <v>Carnaval, En deh hittie naw gedonn umdettie Hellemonder is</v>
      </c>
      <c r="E228" s="1">
        <f>export_calendar!AO230</f>
        <v>114</v>
      </c>
      <c r="F228">
        <f>MATCH(export_calendar!AL230,theme_boxes!C:C,0)-1</f>
        <v>24</v>
      </c>
      <c r="G228">
        <f>MATCH(export_calendar!AN230,light_patterns!B:B,0)-1</f>
        <v>3</v>
      </c>
      <c r="H228">
        <f>MATCH(export_calendar!AM230,light_colors!B:B,0)-1</f>
        <v>7</v>
      </c>
    </row>
    <row r="229" spans="1:8" x14ac:dyDescent="0.25">
      <c r="A229" s="1">
        <f>export_calendar!AI231</f>
        <v>2032</v>
      </c>
      <c r="B229" s="1">
        <f>export_calendar!AJ231</f>
        <v>2</v>
      </c>
      <c r="C229" s="1">
        <f>export_calendar!AK231</f>
        <v>9</v>
      </c>
      <c r="D229" t="str">
        <f>export_calendar!AP231</f>
        <v>RosenMoontach, Alaaf!!</v>
      </c>
      <c r="E229" s="1">
        <f>export_calendar!AO231</f>
        <v>103</v>
      </c>
      <c r="F229">
        <f>MATCH(export_calendar!AL231,theme_boxes!C:C,0)-1</f>
        <v>24</v>
      </c>
      <c r="G229">
        <f>MATCH(export_calendar!AN231,light_patterns!B:B,0)-1</f>
        <v>3</v>
      </c>
      <c r="H229">
        <f>MATCH(export_calendar!AM231,light_colors!B:B,0)-1</f>
        <v>7</v>
      </c>
    </row>
    <row r="230" spans="1:8" x14ac:dyDescent="0.25">
      <c r="A230" s="1">
        <f>export_calendar!AI232</f>
        <v>2032</v>
      </c>
      <c r="B230" s="1">
        <f>export_calendar!AJ232</f>
        <v>2</v>
      </c>
      <c r="C230" s="1">
        <f>export_calendar!AK232</f>
        <v>11</v>
      </c>
      <c r="D230" t="str">
        <f>export_calendar!AP232</f>
        <v>Aswoensdag ,  - het is  uit met de carnavalspret</v>
      </c>
      <c r="E230" s="1">
        <f>export_calendar!AO232</f>
        <v>265</v>
      </c>
      <c r="F230">
        <f>MATCH(export_calendar!AL232,theme_boxes!C:C,0)-1</f>
        <v>21</v>
      </c>
      <c r="G230">
        <f>MATCH(export_calendar!AN232,light_patterns!B:B,0)-1</f>
        <v>5</v>
      </c>
      <c r="H230">
        <f>MATCH(export_calendar!AM232,light_colors!B:B,0)-1</f>
        <v>21</v>
      </c>
    </row>
    <row r="231" spans="1:8" x14ac:dyDescent="0.25">
      <c r="A231" s="1">
        <f>export_calendar!AI233</f>
        <v>2032</v>
      </c>
      <c r="B231" s="1">
        <f>export_calendar!AJ233</f>
        <v>2</v>
      </c>
      <c r="C231" s="1">
        <f>export_calendar!AK233</f>
        <v>14</v>
      </c>
      <c r="D231" t="str">
        <f>export_calendar!AP233</f>
        <v>Valentijns en verlovingsdag</v>
      </c>
      <c r="E231" s="1">
        <f>export_calendar!AO233</f>
        <v>70</v>
      </c>
      <c r="F231">
        <f>MATCH(export_calendar!AL233,theme_boxes!C:C,0)-1</f>
        <v>24</v>
      </c>
      <c r="G231">
        <f>MATCH(export_calendar!AN233,light_patterns!B:B,0)-1</f>
        <v>6</v>
      </c>
      <c r="H231">
        <f>MATCH(export_calendar!AM233,light_colors!B:B,0)-1</f>
        <v>42</v>
      </c>
    </row>
    <row r="232" spans="1:8" x14ac:dyDescent="0.25">
      <c r="A232" s="1">
        <f>export_calendar!AI234</f>
        <v>2032</v>
      </c>
      <c r="B232" s="1">
        <f>export_calendar!AJ234</f>
        <v>3</v>
      </c>
      <c r="C232" s="1">
        <f>export_calendar!AK234</f>
        <v>1</v>
      </c>
      <c r="D232" t="str">
        <f>export_calendar!AP234</f>
        <v>Eerste van de maand maart</v>
      </c>
      <c r="E232" s="1">
        <f>export_calendar!AO234</f>
        <v>287</v>
      </c>
      <c r="F232">
        <f>MATCH(export_calendar!AL234,theme_boxes!C:C,0)-1</f>
        <v>23</v>
      </c>
      <c r="G232">
        <f>MATCH(export_calendar!AN234,light_patterns!B:B,0)-1</f>
        <v>4</v>
      </c>
      <c r="H232">
        <f>MATCH(export_calendar!AM234,light_colors!B:B,0)-1</f>
        <v>7</v>
      </c>
    </row>
    <row r="233" spans="1:8" x14ac:dyDescent="0.25">
      <c r="A233" s="1">
        <f>export_calendar!AI235</f>
        <v>2032</v>
      </c>
      <c r="B233" s="1">
        <f>export_calendar!AJ235</f>
        <v>3</v>
      </c>
      <c r="C233" s="1">
        <f>export_calendar!AK235</f>
        <v>14</v>
      </c>
      <c r="D233" t="str">
        <f>export_calendar!AP235</f>
        <v>piedag - drie komma een vier enzovoorts !en nog meer decimalen</v>
      </c>
      <c r="E233" s="1">
        <f>export_calendar!AO235</f>
        <v>95</v>
      </c>
      <c r="F233">
        <f>MATCH(export_calendar!AL235,theme_boxes!C:C,0)-1</f>
        <v>9</v>
      </c>
      <c r="G233">
        <f>MATCH(export_calendar!AN235,light_patterns!B:B,0)-1</f>
        <v>28</v>
      </c>
      <c r="H233">
        <f>MATCH(export_calendar!AM235,light_colors!B:B,0)-1</f>
        <v>6</v>
      </c>
    </row>
    <row r="234" spans="1:8" x14ac:dyDescent="0.25">
      <c r="A234" s="1">
        <f>export_calendar!AI236</f>
        <v>2032</v>
      </c>
      <c r="B234" s="1">
        <f>export_calendar!AJ236</f>
        <v>3</v>
      </c>
      <c r="C234" s="1">
        <f>export_calendar!AK236</f>
        <v>21</v>
      </c>
      <c r="D234" t="str">
        <f>export_calendar!AP236</f>
        <v>Hartelijk gefeliciteerd,  Thomas</v>
      </c>
      <c r="E234" s="1">
        <f>export_calendar!AO236</f>
        <v>73</v>
      </c>
      <c r="F234">
        <f>MATCH(export_calendar!AL236,theme_boxes!C:C,0)-1</f>
        <v>15</v>
      </c>
      <c r="G234">
        <f>MATCH(export_calendar!AN236,light_patterns!B:B,0)-1</f>
        <v>3</v>
      </c>
      <c r="H234">
        <f>MATCH(export_calendar!AM236,light_colors!B:B,0)-1</f>
        <v>14</v>
      </c>
    </row>
    <row r="235" spans="1:8" x14ac:dyDescent="0.25">
      <c r="A235" s="1">
        <f>export_calendar!AI237</f>
        <v>2032</v>
      </c>
      <c r="B235" s="1">
        <f>export_calendar!AJ237</f>
        <v>3</v>
      </c>
      <c r="C235" s="1">
        <f>export_calendar!AK237</f>
        <v>26</v>
      </c>
      <c r="D235" t="str">
        <f>export_calendar!AP237</f>
        <v>Goede Vrijdag</v>
      </c>
      <c r="E235" s="1">
        <f>export_calendar!AO237</f>
        <v>258</v>
      </c>
      <c r="F235">
        <f>MATCH(export_calendar!AL237,theme_boxes!C:C,0)-1</f>
        <v>13</v>
      </c>
      <c r="G235">
        <f>MATCH(export_calendar!AN237,light_patterns!B:B,0)-1</f>
        <v>2</v>
      </c>
      <c r="H235">
        <f>MATCH(export_calendar!AM237,light_colors!B:B,0)-1</f>
        <v>13</v>
      </c>
    </row>
    <row r="236" spans="1:8" x14ac:dyDescent="0.25">
      <c r="A236" s="1">
        <f>export_calendar!AI238</f>
        <v>2032</v>
      </c>
      <c r="B236" s="1">
        <f>export_calendar!AJ238</f>
        <v>3</v>
      </c>
      <c r="C236" s="1">
        <f>export_calendar!AK238</f>
        <v>28</v>
      </c>
      <c r="D236" t="str">
        <f>export_calendar!AP238</f>
        <v>Vrolijk Pasen</v>
      </c>
      <c r="E236" s="1">
        <f>export_calendar!AO238</f>
        <v>86</v>
      </c>
      <c r="F236">
        <f>MATCH(export_calendar!AL238,theme_boxes!C:C,0)-1</f>
        <v>17</v>
      </c>
      <c r="G236">
        <f>MATCH(export_calendar!AN238,light_patterns!B:B,0)-1</f>
        <v>9</v>
      </c>
      <c r="H236">
        <f>MATCH(export_calendar!AM238,light_colors!B:B,0)-1</f>
        <v>5</v>
      </c>
    </row>
    <row r="237" spans="1:8" x14ac:dyDescent="0.25">
      <c r="A237" s="1">
        <f>export_calendar!AI239</f>
        <v>2032</v>
      </c>
      <c r="B237" s="1">
        <f>export_calendar!AJ239</f>
        <v>3</v>
      </c>
      <c r="C237" s="1">
        <f>export_calendar!AK239</f>
        <v>29</v>
      </c>
      <c r="D237" t="str">
        <f>export_calendar!AP239</f>
        <v>Tweede Paasdag</v>
      </c>
      <c r="E237" s="1">
        <f>export_calendar!AO239</f>
        <v>253</v>
      </c>
      <c r="F237">
        <f>MATCH(export_calendar!AL239,theme_boxes!C:C,0)-1</f>
        <v>17</v>
      </c>
      <c r="G237">
        <f>MATCH(export_calendar!AN239,light_patterns!B:B,0)-1</f>
        <v>13</v>
      </c>
      <c r="H237">
        <f>MATCH(export_calendar!AM239,light_colors!B:B,0)-1</f>
        <v>19</v>
      </c>
    </row>
    <row r="238" spans="1:8" x14ac:dyDescent="0.25">
      <c r="A238" s="1">
        <f>export_calendar!AI240</f>
        <v>2032</v>
      </c>
      <c r="B238" s="1">
        <f>export_calendar!AJ240</f>
        <v>4</v>
      </c>
      <c r="C238" s="1">
        <f>export_calendar!AK240</f>
        <v>1</v>
      </c>
      <c r="D238" t="str">
        <f>export_calendar!AP240</f>
        <v>Eerste van de maand april, een april, kikker in je bil!</v>
      </c>
      <c r="E238" s="1">
        <f>export_calendar!AO240</f>
        <v>265</v>
      </c>
      <c r="F238">
        <f>MATCH(export_calendar!AL240,theme_boxes!C:C,0)-1</f>
        <v>23</v>
      </c>
      <c r="G238">
        <f>MATCH(export_calendar!AN240,light_patterns!B:B,0)-1</f>
        <v>4</v>
      </c>
      <c r="H238">
        <f>MATCH(export_calendar!AM240,light_colors!B:B,0)-1</f>
        <v>7</v>
      </c>
    </row>
    <row r="239" spans="1:8" x14ac:dyDescent="0.25">
      <c r="A239" s="1">
        <f>export_calendar!AI241</f>
        <v>2032</v>
      </c>
      <c r="B239" s="1">
        <f>export_calendar!AJ241</f>
        <v>4</v>
      </c>
      <c r="C239" s="1">
        <f>export_calendar!AK241</f>
        <v>30</v>
      </c>
      <c r="D239" t="str">
        <f>export_calendar!AP241</f>
        <v>Hartelijk gefeliciteerd,  Paul</v>
      </c>
      <c r="E239" s="1">
        <f>export_calendar!AO241</f>
        <v>98</v>
      </c>
      <c r="F239">
        <f>MATCH(export_calendar!AL241,theme_boxes!C:C,0)-1</f>
        <v>15</v>
      </c>
      <c r="G239">
        <f>MATCH(export_calendar!AN241,light_patterns!B:B,0)-1</f>
        <v>3</v>
      </c>
      <c r="H239">
        <f>MATCH(export_calendar!AM241,light_colors!B:B,0)-1</f>
        <v>14</v>
      </c>
    </row>
    <row r="240" spans="1:8" x14ac:dyDescent="0.25">
      <c r="A240" s="1">
        <f>export_calendar!AI242</f>
        <v>2032</v>
      </c>
      <c r="B240" s="1">
        <f>export_calendar!AJ242</f>
        <v>5</v>
      </c>
      <c r="C240" s="1">
        <f>export_calendar!AK242</f>
        <v>1</v>
      </c>
      <c r="D240" t="str">
        <f>export_calendar!AP242</f>
        <v>Eerste van de maand mei- leggen alle vogeltjes een ei</v>
      </c>
      <c r="E240" s="1">
        <f>export_calendar!AO242</f>
        <v>202</v>
      </c>
      <c r="F240">
        <f>MATCH(export_calendar!AL242,theme_boxes!C:C,0)-1</f>
        <v>23</v>
      </c>
      <c r="G240">
        <f>MATCH(export_calendar!AN242,light_patterns!B:B,0)-1</f>
        <v>4</v>
      </c>
      <c r="H240">
        <f>MATCH(export_calendar!AM242,light_colors!B:B,0)-1</f>
        <v>7</v>
      </c>
    </row>
    <row r="241" spans="1:8" x14ac:dyDescent="0.25">
      <c r="A241" s="1">
        <f>export_calendar!AI243</f>
        <v>2032</v>
      </c>
      <c r="B241" s="1">
        <f>export_calendar!AJ243</f>
        <v>5</v>
      </c>
      <c r="C241" s="1">
        <f>export_calendar!AK243</f>
        <v>4</v>
      </c>
      <c r="D241" t="str">
        <f>export_calendar!AP243</f>
        <v>Dodenherdenking</v>
      </c>
      <c r="E241" s="1">
        <f>export_calendar!AO243</f>
        <v>102</v>
      </c>
      <c r="F241">
        <f>MATCH(export_calendar!AL243,theme_boxes!C:C,0)-1</f>
        <v>21</v>
      </c>
      <c r="G241">
        <f>MATCH(export_calendar!AN243,light_patterns!B:B,0)-1</f>
        <v>2</v>
      </c>
      <c r="H241">
        <f>MATCH(export_calendar!AM243,light_colors!B:B,0)-1</f>
        <v>31</v>
      </c>
    </row>
    <row r="242" spans="1:8" x14ac:dyDescent="0.25">
      <c r="A242" s="1">
        <f>export_calendar!AI244</f>
        <v>2032</v>
      </c>
      <c r="B242" s="1">
        <f>export_calendar!AJ244</f>
        <v>5</v>
      </c>
      <c r="C242" s="1">
        <f>export_calendar!AK244</f>
        <v>5</v>
      </c>
      <c r="D242" t="str">
        <f>export_calendar!AP244</f>
        <v>Bevrijdingsdag</v>
      </c>
      <c r="E242" s="1">
        <f>export_calendar!AO244</f>
        <v>64</v>
      </c>
      <c r="F242">
        <f>MATCH(export_calendar!AL244,theme_boxes!C:C,0)-1</f>
        <v>24</v>
      </c>
      <c r="G242">
        <f>MATCH(export_calendar!AN244,light_patterns!B:B,0)-1</f>
        <v>3</v>
      </c>
      <c r="H242">
        <f>MATCH(export_calendar!AM244,light_colors!B:B,0)-1</f>
        <v>3</v>
      </c>
    </row>
    <row r="243" spans="1:8" x14ac:dyDescent="0.25">
      <c r="A243" s="1">
        <f>export_calendar!AI245</f>
        <v>2032</v>
      </c>
      <c r="B243" s="1">
        <f>export_calendar!AJ245</f>
        <v>5</v>
      </c>
      <c r="C243" s="1">
        <f>export_calendar!AK245</f>
        <v>6</v>
      </c>
      <c r="D243" t="str">
        <f>export_calendar!AP245</f>
        <v>Hemelvaart</v>
      </c>
      <c r="E243" s="1">
        <f>export_calendar!AO245</f>
        <v>132</v>
      </c>
      <c r="F243">
        <f>MATCH(export_calendar!AL245,theme_boxes!C:C,0)-1</f>
        <v>11</v>
      </c>
      <c r="G243">
        <f>MATCH(export_calendar!AN245,light_patterns!B:B,0)-1</f>
        <v>2</v>
      </c>
      <c r="H243">
        <f>MATCH(export_calendar!AM245,light_colors!B:B,0)-1</f>
        <v>29</v>
      </c>
    </row>
    <row r="244" spans="1:8" x14ac:dyDescent="0.25">
      <c r="A244" s="1">
        <f>export_calendar!AI246</f>
        <v>2032</v>
      </c>
      <c r="B244" s="1">
        <f>export_calendar!AJ246</f>
        <v>5</v>
      </c>
      <c r="C244" s="1">
        <f>export_calendar!AK246</f>
        <v>10</v>
      </c>
      <c r="D244" t="str">
        <f>export_calendar!AP246</f>
        <v>Hartelijk gefeliciteerd,  Gaia</v>
      </c>
      <c r="E244" s="1">
        <f>export_calendar!AO246</f>
        <v>73</v>
      </c>
      <c r="F244">
        <f>MATCH(export_calendar!AL246,theme_boxes!C:C,0)-1</f>
        <v>15</v>
      </c>
      <c r="G244">
        <f>MATCH(export_calendar!AN246,light_patterns!B:B,0)-1</f>
        <v>3</v>
      </c>
      <c r="H244">
        <f>MATCH(export_calendar!AM246,light_colors!B:B,0)-1</f>
        <v>14</v>
      </c>
    </row>
    <row r="245" spans="1:8" x14ac:dyDescent="0.25">
      <c r="A245" s="1">
        <f>export_calendar!AI247</f>
        <v>2032</v>
      </c>
      <c r="B245" s="1">
        <f>export_calendar!AJ247</f>
        <v>5</v>
      </c>
      <c r="C245" s="1">
        <f>export_calendar!AK247</f>
        <v>16</v>
      </c>
      <c r="D245" t="str">
        <f>export_calendar!AP247</f>
        <v>Pinksteren,  - de Heilige Geest zien vliegen???</v>
      </c>
      <c r="E245" s="1">
        <f>export_calendar!AO247</f>
        <v>170</v>
      </c>
      <c r="F245">
        <f>MATCH(export_calendar!AL247,theme_boxes!C:C,0)-1</f>
        <v>4</v>
      </c>
      <c r="G245">
        <f>MATCH(export_calendar!AN247,light_patterns!B:B,0)-1</f>
        <v>4</v>
      </c>
      <c r="H245">
        <f>MATCH(export_calendar!AM247,light_colors!B:B,0)-1</f>
        <v>8</v>
      </c>
    </row>
    <row r="246" spans="1:8" x14ac:dyDescent="0.25">
      <c r="A246" s="1">
        <f>export_calendar!AI248</f>
        <v>2032</v>
      </c>
      <c r="B246" s="1">
        <f>export_calendar!AJ248</f>
        <v>5</v>
      </c>
      <c r="C246" s="1">
        <f>export_calendar!AK248</f>
        <v>17</v>
      </c>
      <c r="D246" t="str">
        <f>export_calendar!AP248</f>
        <v>Nog steeds Pinksteren,  - de Heilige Geest zien vliegen???</v>
      </c>
      <c r="E246" s="1">
        <f>export_calendar!AO248</f>
        <v>181</v>
      </c>
      <c r="F246">
        <f>MATCH(export_calendar!AL248,theme_boxes!C:C,0)-1</f>
        <v>4</v>
      </c>
      <c r="G246">
        <f>MATCH(export_calendar!AN248,light_patterns!B:B,0)-1</f>
        <v>4</v>
      </c>
      <c r="H246">
        <f>MATCH(export_calendar!AM248,light_colors!B:B,0)-1</f>
        <v>8</v>
      </c>
    </row>
    <row r="247" spans="1:8" x14ac:dyDescent="0.25">
      <c r="A247" s="1">
        <f>export_calendar!AI249</f>
        <v>2032</v>
      </c>
      <c r="B247" s="1">
        <f>export_calendar!AJ249</f>
        <v>6</v>
      </c>
      <c r="C247" s="1">
        <f>export_calendar!AK249</f>
        <v>1</v>
      </c>
      <c r="D247" t="str">
        <f>export_calendar!AP249</f>
        <v>Eerste van de maand juni</v>
      </c>
      <c r="E247" s="1">
        <f>export_calendar!AO249</f>
        <v>157</v>
      </c>
      <c r="F247">
        <f>MATCH(export_calendar!AL249,theme_boxes!C:C,0)-1</f>
        <v>23</v>
      </c>
      <c r="G247">
        <f>MATCH(export_calendar!AN249,light_patterns!B:B,0)-1</f>
        <v>4</v>
      </c>
      <c r="H247">
        <f>MATCH(export_calendar!AM249,light_colors!B:B,0)-1</f>
        <v>7</v>
      </c>
    </row>
    <row r="248" spans="1:8" x14ac:dyDescent="0.25">
      <c r="A248" s="1">
        <f>export_calendar!AI250</f>
        <v>2032</v>
      </c>
      <c r="B248" s="1">
        <f>export_calendar!AJ250</f>
        <v>6</v>
      </c>
      <c r="C248" s="1">
        <f>export_calendar!AK250</f>
        <v>24</v>
      </c>
      <c r="D248" t="str">
        <f>export_calendar!AP250</f>
        <v>SintJan</v>
      </c>
      <c r="E248" s="1">
        <f>export_calendar!AO250</f>
        <v>61</v>
      </c>
      <c r="F248">
        <f>MATCH(export_calendar!AL250,theme_boxes!C:C,0)-1</f>
        <v>24</v>
      </c>
      <c r="G248">
        <f>MATCH(export_calendar!AN250,light_patterns!B:B,0)-1</f>
        <v>27</v>
      </c>
      <c r="H248">
        <f>MATCH(export_calendar!AM250,light_colors!B:B,0)-1</f>
        <v>5</v>
      </c>
    </row>
    <row r="249" spans="1:8" x14ac:dyDescent="0.25">
      <c r="A249" s="1">
        <f>export_calendar!AI251</f>
        <v>2032</v>
      </c>
      <c r="B249" s="1">
        <f>export_calendar!AJ251</f>
        <v>7</v>
      </c>
      <c r="C249" s="1">
        <f>export_calendar!AK251</f>
        <v>1</v>
      </c>
      <c r="D249" t="str">
        <f>export_calendar!AP251</f>
        <v>Eerste van de maand juli</v>
      </c>
      <c r="E249" s="1">
        <f>export_calendar!AO251</f>
        <v>171</v>
      </c>
      <c r="F249">
        <f>MATCH(export_calendar!AL251,theme_boxes!C:C,0)-1</f>
        <v>23</v>
      </c>
      <c r="G249">
        <f>MATCH(export_calendar!AN251,light_patterns!B:B,0)-1</f>
        <v>4</v>
      </c>
      <c r="H249">
        <f>MATCH(export_calendar!AM251,light_colors!B:B,0)-1</f>
        <v>7</v>
      </c>
    </row>
    <row r="250" spans="1:8" x14ac:dyDescent="0.25">
      <c r="A250" s="1">
        <f>export_calendar!AI252</f>
        <v>2032</v>
      </c>
      <c r="B250" s="1">
        <f>export_calendar!AJ252</f>
        <v>8</v>
      </c>
      <c r="C250" s="1">
        <f>export_calendar!AK252</f>
        <v>1</v>
      </c>
      <c r="D250" t="str">
        <f>export_calendar!AP252</f>
        <v>Eerste van de maand augustus</v>
      </c>
      <c r="E250" s="1">
        <f>export_calendar!AO252</f>
        <v>231</v>
      </c>
      <c r="F250">
        <f>MATCH(export_calendar!AL252,theme_boxes!C:C,0)-1</f>
        <v>23</v>
      </c>
      <c r="G250">
        <f>MATCH(export_calendar!AN252,light_patterns!B:B,0)-1</f>
        <v>4</v>
      </c>
      <c r="H250">
        <f>MATCH(export_calendar!AM252,light_colors!B:B,0)-1</f>
        <v>7</v>
      </c>
    </row>
    <row r="251" spans="1:8" x14ac:dyDescent="0.25">
      <c r="A251" s="1">
        <f>export_calendar!AI253</f>
        <v>2032</v>
      </c>
      <c r="B251" s="1">
        <f>export_calendar!AJ253</f>
        <v>9</v>
      </c>
      <c r="C251" s="1">
        <f>export_calendar!AK253</f>
        <v>1</v>
      </c>
      <c r="D251" t="str">
        <f>export_calendar!AP253</f>
        <v>Eerste van de maand september</v>
      </c>
      <c r="E251" s="1">
        <f>export_calendar!AO253</f>
        <v>282</v>
      </c>
      <c r="F251">
        <f>MATCH(export_calendar!AL253,theme_boxes!C:C,0)-1</f>
        <v>23</v>
      </c>
      <c r="G251">
        <f>MATCH(export_calendar!AN253,light_patterns!B:B,0)-1</f>
        <v>4</v>
      </c>
      <c r="H251">
        <f>MATCH(export_calendar!AM253,light_colors!B:B,0)-1</f>
        <v>7</v>
      </c>
    </row>
    <row r="252" spans="1:8" x14ac:dyDescent="0.25">
      <c r="A252" s="1">
        <f>export_calendar!AI254</f>
        <v>2032</v>
      </c>
      <c r="B252" s="1">
        <f>export_calendar!AJ254</f>
        <v>10</v>
      </c>
      <c r="C252" s="1">
        <f>export_calendar!AK254</f>
        <v>1</v>
      </c>
      <c r="D252" t="str">
        <f>export_calendar!AP254</f>
        <v>Eerste van de maand oktober</v>
      </c>
      <c r="E252" s="1">
        <f>export_calendar!AO254</f>
        <v>277</v>
      </c>
      <c r="F252">
        <f>MATCH(export_calendar!AL254,theme_boxes!C:C,0)-1</f>
        <v>23</v>
      </c>
      <c r="G252">
        <f>MATCH(export_calendar!AN254,light_patterns!B:B,0)-1</f>
        <v>4</v>
      </c>
      <c r="H252">
        <f>MATCH(export_calendar!AM254,light_colors!B:B,0)-1</f>
        <v>7</v>
      </c>
    </row>
    <row r="253" spans="1:8" x14ac:dyDescent="0.25">
      <c r="A253" s="1">
        <f>export_calendar!AI255</f>
        <v>2032</v>
      </c>
      <c r="B253" s="1">
        <f>export_calendar!AJ255</f>
        <v>10</v>
      </c>
      <c r="C253" s="1">
        <f>export_calendar!AK255</f>
        <v>8</v>
      </c>
      <c r="D253" t="str">
        <f>export_calendar!AP255</f>
        <v>Hartelijk gefeliciteerd,  Jan</v>
      </c>
      <c r="E253" s="1">
        <f>export_calendar!AO255</f>
        <v>105</v>
      </c>
      <c r="F253">
        <f>MATCH(export_calendar!AL255,theme_boxes!C:C,0)-1</f>
        <v>15</v>
      </c>
      <c r="G253">
        <f>MATCH(export_calendar!AN255,light_patterns!B:B,0)-1</f>
        <v>3</v>
      </c>
      <c r="H253">
        <f>MATCH(export_calendar!AM255,light_colors!B:B,0)-1</f>
        <v>14</v>
      </c>
    </row>
    <row r="254" spans="1:8" x14ac:dyDescent="0.25">
      <c r="A254" s="1">
        <f>export_calendar!AI256</f>
        <v>2032</v>
      </c>
      <c r="B254" s="1">
        <f>export_calendar!AJ256</f>
        <v>11</v>
      </c>
      <c r="C254" s="1">
        <f>export_calendar!AK256</f>
        <v>1</v>
      </c>
      <c r="D254" t="str">
        <f>export_calendar!AP256</f>
        <v>Eerste van de maand november</v>
      </c>
      <c r="E254" s="1">
        <f>export_calendar!AO256</f>
        <v>221</v>
      </c>
      <c r="F254">
        <f>MATCH(export_calendar!AL256,theme_boxes!C:C,0)-1</f>
        <v>23</v>
      </c>
      <c r="G254">
        <f>MATCH(export_calendar!AN256,light_patterns!B:B,0)-1</f>
        <v>4</v>
      </c>
      <c r="H254">
        <f>MATCH(export_calendar!AM256,light_colors!B:B,0)-1</f>
        <v>7</v>
      </c>
    </row>
    <row r="255" spans="1:8" x14ac:dyDescent="0.25">
      <c r="A255" s="1">
        <f>export_calendar!AI257</f>
        <v>2032</v>
      </c>
      <c r="B255" s="1">
        <f>export_calendar!AJ257</f>
        <v>12</v>
      </c>
      <c r="C255" s="1">
        <f>export_calendar!AK257</f>
        <v>1</v>
      </c>
      <c r="D255" t="str">
        <f>export_calendar!AP257</f>
        <v>Eerste van de maand december</v>
      </c>
      <c r="E255" s="1">
        <f>export_calendar!AO257</f>
        <v>165</v>
      </c>
      <c r="F255">
        <f>MATCH(export_calendar!AL257,theme_boxes!C:C,0)-1</f>
        <v>23</v>
      </c>
      <c r="G255">
        <f>MATCH(export_calendar!AN257,light_patterns!B:B,0)-1</f>
        <v>4</v>
      </c>
      <c r="H255">
        <f>MATCH(export_calendar!AM257,light_colors!B:B,0)-1</f>
        <v>7</v>
      </c>
    </row>
    <row r="256" spans="1:8" x14ac:dyDescent="0.25">
      <c r="A256" s="1">
        <f>export_calendar!AI258</f>
        <v>2032</v>
      </c>
      <c r="B256" s="1">
        <f>export_calendar!AJ258</f>
        <v>12</v>
      </c>
      <c r="C256" s="1">
        <f>export_calendar!AK258</f>
        <v>5</v>
      </c>
      <c r="D256" t="str">
        <f>export_calendar!AP258</f>
        <v>Sinterklaas</v>
      </c>
      <c r="E256" s="1">
        <f>export_calendar!AO258</f>
        <v>113</v>
      </c>
      <c r="F256">
        <f>MATCH(export_calendar!AL258,theme_boxes!C:C,0)-1</f>
        <v>12</v>
      </c>
      <c r="G256">
        <f>MATCH(export_calendar!AN258,light_patterns!B:B,0)-1</f>
        <v>6</v>
      </c>
      <c r="H256">
        <f>MATCH(export_calendar!AM258,light_colors!B:B,0)-1</f>
        <v>28</v>
      </c>
    </row>
    <row r="257" spans="1:8" x14ac:dyDescent="0.25">
      <c r="A257" s="1">
        <f>export_calendar!AI259</f>
        <v>2032</v>
      </c>
      <c r="B257" s="1">
        <f>export_calendar!AJ259</f>
        <v>12</v>
      </c>
      <c r="C257" s="1">
        <f>export_calendar!AK259</f>
        <v>13</v>
      </c>
      <c r="D257" t="str">
        <f>export_calendar!AP259</f>
        <v>Hartelijk gefeliciteerd,  lieve Marit</v>
      </c>
      <c r="E257" s="1">
        <f>export_calendar!AO259</f>
        <v>114</v>
      </c>
      <c r="F257">
        <f>MATCH(export_calendar!AL259,theme_boxes!C:C,0)-1</f>
        <v>15</v>
      </c>
      <c r="G257">
        <f>MATCH(export_calendar!AN259,light_patterns!B:B,0)-1</f>
        <v>3</v>
      </c>
      <c r="H257">
        <f>MATCH(export_calendar!AM259,light_colors!B:B,0)-1</f>
        <v>14</v>
      </c>
    </row>
    <row r="258" spans="1:8" x14ac:dyDescent="0.25">
      <c r="A258" s="1">
        <f>export_calendar!AI260</f>
        <v>2032</v>
      </c>
      <c r="B258" s="1">
        <f>export_calendar!AJ260</f>
        <v>12</v>
      </c>
      <c r="C258" s="1">
        <f>export_calendar!AK260</f>
        <v>25</v>
      </c>
      <c r="D258" t="str">
        <f>export_calendar!AP260</f>
        <v>Vrolijk Kerstfeest</v>
      </c>
      <c r="E258" s="1">
        <f>export_calendar!AO260</f>
        <v>95</v>
      </c>
      <c r="F258">
        <f>MATCH(export_calendar!AL260,theme_boxes!C:C,0)-1</f>
        <v>8</v>
      </c>
      <c r="G258">
        <f>MATCH(export_calendar!AN260,light_patterns!B:B,0)-1</f>
        <v>26</v>
      </c>
      <c r="H258">
        <f>MATCH(export_calendar!AM260,light_colors!B:B,0)-1</f>
        <v>30</v>
      </c>
    </row>
    <row r="259" spans="1:8" x14ac:dyDescent="0.25">
      <c r="A259" s="1">
        <f>export_calendar!AI261</f>
        <v>2032</v>
      </c>
      <c r="B259" s="1">
        <f>export_calendar!AJ261</f>
        <v>12</v>
      </c>
      <c r="C259" s="1">
        <f>export_calendar!AK261</f>
        <v>26</v>
      </c>
      <c r="D259" t="str">
        <f>export_calendar!AP261</f>
        <v>Tweede Kerstdag</v>
      </c>
      <c r="E259" s="1">
        <f>export_calendar!AO261</f>
        <v>108</v>
      </c>
      <c r="F259">
        <f>MATCH(export_calendar!AL261,theme_boxes!C:C,0)-1</f>
        <v>8</v>
      </c>
      <c r="G259">
        <f>MATCH(export_calendar!AN261,light_patterns!B:B,0)-1</f>
        <v>5</v>
      </c>
      <c r="H259">
        <f>MATCH(export_calendar!AM261,light_colors!B:B,0)-1</f>
        <v>20</v>
      </c>
    </row>
    <row r="260" spans="1:8" x14ac:dyDescent="0.25">
      <c r="A260" s="1">
        <f>export_calendar!AI262</f>
        <v>2032</v>
      </c>
      <c r="B260" s="1">
        <f>export_calendar!AJ262</f>
        <v>12</v>
      </c>
      <c r="C260" s="1">
        <f>export_calendar!AK262</f>
        <v>28</v>
      </c>
      <c r="D260" t="str">
        <f>export_calendar!AP262</f>
        <v>Onnozele Kinderen</v>
      </c>
      <c r="E260" s="1">
        <f>export_calendar!AO262</f>
        <v>77</v>
      </c>
      <c r="F260">
        <f>MATCH(export_calendar!AL262,theme_boxes!C:C,0)-1</f>
        <v>10</v>
      </c>
      <c r="G260">
        <f>MATCH(export_calendar!AN262,light_patterns!B:B,0)-1</f>
        <v>26</v>
      </c>
      <c r="H260">
        <f>MATCH(export_calendar!AM262,light_colors!B:B,0)-1</f>
        <v>35</v>
      </c>
    </row>
    <row r="261" spans="1:8" x14ac:dyDescent="0.25">
      <c r="A261" s="1">
        <f>export_calendar!AI263</f>
        <v>2033</v>
      </c>
      <c r="B261" s="1">
        <f>export_calendar!AJ263</f>
        <v>1</v>
      </c>
      <c r="C261" s="1">
        <f>export_calendar!AK263</f>
        <v>1</v>
      </c>
      <c r="D261" t="str">
        <f>export_calendar!AP263</f>
        <v>Gelukkig Nieuwjaar</v>
      </c>
      <c r="E261" s="1">
        <f>export_calendar!AO263</f>
        <v>77</v>
      </c>
      <c r="F261">
        <f>MATCH(export_calendar!AL263,theme_boxes!C:C,0)-1</f>
        <v>24</v>
      </c>
      <c r="G261">
        <f>MATCH(export_calendar!AN263,light_patterns!B:B,0)-1</f>
        <v>2</v>
      </c>
      <c r="H261">
        <f>MATCH(export_calendar!AM263,light_colors!B:B,0)-1</f>
        <v>40</v>
      </c>
    </row>
    <row r="262" spans="1:8" x14ac:dyDescent="0.25">
      <c r="A262" s="1">
        <f>export_calendar!AI264</f>
        <v>2033</v>
      </c>
      <c r="B262" s="1">
        <f>export_calendar!AJ264</f>
        <v>2</v>
      </c>
      <c r="C262" s="1">
        <f>export_calendar!AK264</f>
        <v>1</v>
      </c>
      <c r="D262" t="str">
        <f>export_calendar!AP264</f>
        <v>Eerste van de maand februari</v>
      </c>
      <c r="E262" s="1">
        <f>export_calendar!AO264</f>
        <v>249</v>
      </c>
      <c r="F262">
        <f>MATCH(export_calendar!AL264,theme_boxes!C:C,0)-1</f>
        <v>23</v>
      </c>
      <c r="G262">
        <f>MATCH(export_calendar!AN264,light_patterns!B:B,0)-1</f>
        <v>4</v>
      </c>
      <c r="H262">
        <f>MATCH(export_calendar!AM264,light_colors!B:B,0)-1</f>
        <v>7</v>
      </c>
    </row>
    <row r="263" spans="1:8" x14ac:dyDescent="0.25">
      <c r="A263" s="1">
        <f>export_calendar!AI265</f>
        <v>2033</v>
      </c>
      <c r="B263" s="1">
        <f>export_calendar!AJ265</f>
        <v>2</v>
      </c>
      <c r="C263" s="1">
        <f>export_calendar!AK265</f>
        <v>14</v>
      </c>
      <c r="D263" t="str">
        <f>export_calendar!AP265</f>
        <v>Valentijns en verlovingsdag</v>
      </c>
      <c r="E263" s="1">
        <f>export_calendar!AO265</f>
        <v>70</v>
      </c>
      <c r="F263">
        <f>MATCH(export_calendar!AL265,theme_boxes!C:C,0)-1</f>
        <v>24</v>
      </c>
      <c r="G263">
        <f>MATCH(export_calendar!AN265,light_patterns!B:B,0)-1</f>
        <v>6</v>
      </c>
      <c r="H263">
        <f>MATCH(export_calendar!AM265,light_colors!B:B,0)-1</f>
        <v>42</v>
      </c>
    </row>
    <row r="264" spans="1:8" x14ac:dyDescent="0.25">
      <c r="A264" s="1">
        <f>export_calendar!AI266</f>
        <v>2033</v>
      </c>
      <c r="B264" s="1">
        <f>export_calendar!AJ266</f>
        <v>2</v>
      </c>
      <c r="C264" s="1">
        <f>export_calendar!AK266</f>
        <v>27</v>
      </c>
      <c r="D264" t="str">
        <f>export_calendar!AP266</f>
        <v>Carnaval, En deh hittie naw gedonn umdettie Hellemonder is</v>
      </c>
      <c r="E264" s="1">
        <f>export_calendar!AO266</f>
        <v>83</v>
      </c>
      <c r="F264">
        <f>MATCH(export_calendar!AL266,theme_boxes!C:C,0)-1</f>
        <v>24</v>
      </c>
      <c r="G264">
        <f>MATCH(export_calendar!AN266,light_patterns!B:B,0)-1</f>
        <v>3</v>
      </c>
      <c r="H264">
        <f>MATCH(export_calendar!AM266,light_colors!B:B,0)-1</f>
        <v>7</v>
      </c>
    </row>
    <row r="265" spans="1:8" x14ac:dyDescent="0.25">
      <c r="A265" s="1">
        <f>export_calendar!AI267</f>
        <v>2033</v>
      </c>
      <c r="B265" s="1">
        <f>export_calendar!AJ267</f>
        <v>2</v>
      </c>
      <c r="C265" s="1">
        <f>export_calendar!AK267</f>
        <v>27</v>
      </c>
      <c r="D265" t="str">
        <f>export_calendar!AP267</f>
        <v>Carnaval, Agge mar leut heht</v>
      </c>
      <c r="E265" s="1">
        <f>export_calendar!AO267</f>
        <v>117</v>
      </c>
      <c r="F265">
        <f>MATCH(export_calendar!AL267,theme_boxes!C:C,0)-1</f>
        <v>24</v>
      </c>
      <c r="G265">
        <f>MATCH(export_calendar!AN267,light_patterns!B:B,0)-1</f>
        <v>3</v>
      </c>
      <c r="H265">
        <f>MATCH(export_calendar!AM267,light_colors!B:B,0)-1</f>
        <v>7</v>
      </c>
    </row>
    <row r="266" spans="1:8" x14ac:dyDescent="0.25">
      <c r="A266" s="1">
        <f>export_calendar!AI268</f>
        <v>2033</v>
      </c>
      <c r="B266" s="1">
        <f>export_calendar!AJ268</f>
        <v>2</v>
      </c>
      <c r="C266" s="1">
        <f>export_calendar!AK268</f>
        <v>28</v>
      </c>
      <c r="D266" t="str">
        <f>export_calendar!AP268</f>
        <v>RosenMoontach, Keiebijters!!</v>
      </c>
      <c r="E266" s="1">
        <f>export_calendar!AO268</f>
        <v>89</v>
      </c>
      <c r="F266">
        <f>MATCH(export_calendar!AL268,theme_boxes!C:C,0)-1</f>
        <v>24</v>
      </c>
      <c r="G266">
        <f>MATCH(export_calendar!AN268,light_patterns!B:B,0)-1</f>
        <v>3</v>
      </c>
      <c r="H266">
        <f>MATCH(export_calendar!AM268,light_colors!B:B,0)-1</f>
        <v>7</v>
      </c>
    </row>
    <row r="267" spans="1:8" x14ac:dyDescent="0.25">
      <c r="A267" s="1">
        <f>export_calendar!AI269</f>
        <v>2033</v>
      </c>
      <c r="B267" s="1">
        <f>export_calendar!AJ269</f>
        <v>3</v>
      </c>
      <c r="C267" s="1">
        <f>export_calendar!AK269</f>
        <v>1</v>
      </c>
      <c r="D267" t="str">
        <f>export_calendar!AP269</f>
        <v>Eerste van de maand maart</v>
      </c>
      <c r="E267" s="1">
        <f>export_calendar!AO269</f>
        <v>287</v>
      </c>
      <c r="F267">
        <f>MATCH(export_calendar!AL269,theme_boxes!C:C,0)-1</f>
        <v>23</v>
      </c>
      <c r="G267">
        <f>MATCH(export_calendar!AN269,light_patterns!B:B,0)-1</f>
        <v>4</v>
      </c>
      <c r="H267">
        <f>MATCH(export_calendar!AM269,light_colors!B:B,0)-1</f>
        <v>7</v>
      </c>
    </row>
    <row r="268" spans="1:8" x14ac:dyDescent="0.25">
      <c r="A268" s="1">
        <f>export_calendar!AI270</f>
        <v>2033</v>
      </c>
      <c r="B268" s="1">
        <f>export_calendar!AJ270</f>
        <v>3</v>
      </c>
      <c r="C268" s="1">
        <f>export_calendar!AK270</f>
        <v>2</v>
      </c>
      <c r="D268" t="str">
        <f>export_calendar!AP270</f>
        <v>Aswoensdag ,  - en dan nu: vasten</v>
      </c>
      <c r="E268" s="1">
        <f>export_calendar!AO270</f>
        <v>239</v>
      </c>
      <c r="F268">
        <f>MATCH(export_calendar!AL270,theme_boxes!C:C,0)-1</f>
        <v>21</v>
      </c>
      <c r="G268">
        <f>MATCH(export_calendar!AN270,light_patterns!B:B,0)-1</f>
        <v>5</v>
      </c>
      <c r="H268">
        <f>MATCH(export_calendar!AM270,light_colors!B:B,0)-1</f>
        <v>21</v>
      </c>
    </row>
    <row r="269" spans="1:8" x14ac:dyDescent="0.25">
      <c r="A269" s="1">
        <f>export_calendar!AI271</f>
        <v>2033</v>
      </c>
      <c r="B269" s="1">
        <f>export_calendar!AJ271</f>
        <v>3</v>
      </c>
      <c r="C269" s="1">
        <f>export_calendar!AK271</f>
        <v>14</v>
      </c>
      <c r="D269" t="str">
        <f>export_calendar!AP271</f>
        <v>piedag - drie komma een vier enzovoorts !en nog meer decimalen</v>
      </c>
      <c r="E269" s="1">
        <f>export_calendar!AO271</f>
        <v>95</v>
      </c>
      <c r="F269">
        <f>MATCH(export_calendar!AL271,theme_boxes!C:C,0)-1</f>
        <v>9</v>
      </c>
      <c r="G269">
        <f>MATCH(export_calendar!AN271,light_patterns!B:B,0)-1</f>
        <v>28</v>
      </c>
      <c r="H269">
        <f>MATCH(export_calendar!AM271,light_colors!B:B,0)-1</f>
        <v>6</v>
      </c>
    </row>
    <row r="270" spans="1:8" x14ac:dyDescent="0.25">
      <c r="A270" s="1">
        <f>export_calendar!AI272</f>
        <v>2033</v>
      </c>
      <c r="B270" s="1">
        <f>export_calendar!AJ272</f>
        <v>3</v>
      </c>
      <c r="C270" s="1">
        <f>export_calendar!AK272</f>
        <v>21</v>
      </c>
      <c r="D270" t="str">
        <f>export_calendar!AP272</f>
        <v>Hartelijk gefeliciteerd,  Thomas</v>
      </c>
      <c r="E270" s="1">
        <f>export_calendar!AO272</f>
        <v>73</v>
      </c>
      <c r="F270">
        <f>MATCH(export_calendar!AL272,theme_boxes!C:C,0)-1</f>
        <v>15</v>
      </c>
      <c r="G270">
        <f>MATCH(export_calendar!AN272,light_patterns!B:B,0)-1</f>
        <v>3</v>
      </c>
      <c r="H270">
        <f>MATCH(export_calendar!AM272,light_colors!B:B,0)-1</f>
        <v>14</v>
      </c>
    </row>
    <row r="271" spans="1:8" x14ac:dyDescent="0.25">
      <c r="A271" s="1">
        <f>export_calendar!AI273</f>
        <v>2033</v>
      </c>
      <c r="B271" s="1">
        <f>export_calendar!AJ273</f>
        <v>4</v>
      </c>
      <c r="C271" s="1">
        <f>export_calendar!AK273</f>
        <v>1</v>
      </c>
      <c r="D271" t="str">
        <f>export_calendar!AP273</f>
        <v>Eerste van de maand april, een april, kikker in je bil!</v>
      </c>
      <c r="E271" s="1">
        <f>export_calendar!AO273</f>
        <v>265</v>
      </c>
      <c r="F271">
        <f>MATCH(export_calendar!AL273,theme_boxes!C:C,0)-1</f>
        <v>23</v>
      </c>
      <c r="G271">
        <f>MATCH(export_calendar!AN273,light_patterns!B:B,0)-1</f>
        <v>4</v>
      </c>
      <c r="H271">
        <f>MATCH(export_calendar!AM273,light_colors!B:B,0)-1</f>
        <v>7</v>
      </c>
    </row>
    <row r="272" spans="1:8" x14ac:dyDescent="0.25">
      <c r="A272" s="1">
        <f>export_calendar!AI274</f>
        <v>2033</v>
      </c>
      <c r="B272" s="1">
        <f>export_calendar!AJ274</f>
        <v>4</v>
      </c>
      <c r="C272" s="1">
        <f>export_calendar!AK274</f>
        <v>15</v>
      </c>
      <c r="D272" t="str">
        <f>export_calendar!AP274</f>
        <v>Goede Vrijdag, holadiejee</v>
      </c>
      <c r="E272" s="1">
        <f>export_calendar!AO274</f>
        <v>213</v>
      </c>
      <c r="F272">
        <f>MATCH(export_calendar!AL274,theme_boxes!C:C,0)-1</f>
        <v>13</v>
      </c>
      <c r="G272">
        <f>MATCH(export_calendar!AN274,light_patterns!B:B,0)-1</f>
        <v>2</v>
      </c>
      <c r="H272">
        <f>MATCH(export_calendar!AM274,light_colors!B:B,0)-1</f>
        <v>13</v>
      </c>
    </row>
    <row r="273" spans="1:8" x14ac:dyDescent="0.25">
      <c r="A273" s="1">
        <f>export_calendar!AI275</f>
        <v>2033</v>
      </c>
      <c r="B273" s="1">
        <f>export_calendar!AJ275</f>
        <v>4</v>
      </c>
      <c r="C273" s="1">
        <f>export_calendar!AK275</f>
        <v>17</v>
      </c>
      <c r="D273" t="str">
        <f>export_calendar!AP275</f>
        <v>Vrolijk Pasen</v>
      </c>
      <c r="E273" s="1">
        <f>export_calendar!AO275</f>
        <v>95</v>
      </c>
      <c r="F273">
        <f>MATCH(export_calendar!AL275,theme_boxes!C:C,0)-1</f>
        <v>17</v>
      </c>
      <c r="G273">
        <f>MATCH(export_calendar!AN275,light_patterns!B:B,0)-1</f>
        <v>9</v>
      </c>
      <c r="H273">
        <f>MATCH(export_calendar!AM275,light_colors!B:B,0)-1</f>
        <v>5</v>
      </c>
    </row>
    <row r="274" spans="1:8" x14ac:dyDescent="0.25">
      <c r="A274" s="1">
        <f>export_calendar!AI276</f>
        <v>2033</v>
      </c>
      <c r="B274" s="1">
        <f>export_calendar!AJ276</f>
        <v>4</v>
      </c>
      <c r="C274" s="1">
        <f>export_calendar!AK276</f>
        <v>18</v>
      </c>
      <c r="D274" t="str">
        <f>export_calendar!AP276</f>
        <v>Tweede Paasdag, waar is de paashaas??</v>
      </c>
      <c r="E274" s="1">
        <f>export_calendar!AO276</f>
        <v>260</v>
      </c>
      <c r="F274">
        <f>MATCH(export_calendar!AL276,theme_boxes!C:C,0)-1</f>
        <v>17</v>
      </c>
      <c r="G274">
        <f>MATCH(export_calendar!AN276,light_patterns!B:B,0)-1</f>
        <v>13</v>
      </c>
      <c r="H274">
        <f>MATCH(export_calendar!AM276,light_colors!B:B,0)-1</f>
        <v>19</v>
      </c>
    </row>
    <row r="275" spans="1:8" x14ac:dyDescent="0.25">
      <c r="A275" s="1">
        <f>export_calendar!AI277</f>
        <v>2033</v>
      </c>
      <c r="B275" s="1">
        <f>export_calendar!AJ277</f>
        <v>4</v>
      </c>
      <c r="C275" s="1">
        <f>export_calendar!AK277</f>
        <v>30</v>
      </c>
      <c r="D275" t="str">
        <f>export_calendar!AP277</f>
        <v>Hartelijk gefeliciteerd,  Paul</v>
      </c>
      <c r="E275" s="1">
        <f>export_calendar!AO277</f>
        <v>98</v>
      </c>
      <c r="F275">
        <f>MATCH(export_calendar!AL277,theme_boxes!C:C,0)-1</f>
        <v>15</v>
      </c>
      <c r="G275">
        <f>MATCH(export_calendar!AN277,light_patterns!B:B,0)-1</f>
        <v>3</v>
      </c>
      <c r="H275">
        <f>MATCH(export_calendar!AM277,light_colors!B:B,0)-1</f>
        <v>14</v>
      </c>
    </row>
    <row r="276" spans="1:8" x14ac:dyDescent="0.25">
      <c r="A276" s="1">
        <f>export_calendar!AI278</f>
        <v>2033</v>
      </c>
      <c r="B276" s="1">
        <f>export_calendar!AJ278</f>
        <v>5</v>
      </c>
      <c r="C276" s="1">
        <f>export_calendar!AK278</f>
        <v>1</v>
      </c>
      <c r="D276" t="str">
        <f>export_calendar!AP278</f>
        <v>Eerste van de maand mei- leggen alle vogeltjes een ei</v>
      </c>
      <c r="E276" s="1">
        <f>export_calendar!AO278</f>
        <v>202</v>
      </c>
      <c r="F276">
        <f>MATCH(export_calendar!AL278,theme_boxes!C:C,0)-1</f>
        <v>23</v>
      </c>
      <c r="G276">
        <f>MATCH(export_calendar!AN278,light_patterns!B:B,0)-1</f>
        <v>4</v>
      </c>
      <c r="H276">
        <f>MATCH(export_calendar!AM278,light_colors!B:B,0)-1</f>
        <v>7</v>
      </c>
    </row>
    <row r="277" spans="1:8" x14ac:dyDescent="0.25">
      <c r="A277" s="1">
        <f>export_calendar!AI279</f>
        <v>2033</v>
      </c>
      <c r="B277" s="1">
        <f>export_calendar!AJ279</f>
        <v>5</v>
      </c>
      <c r="C277" s="1">
        <f>export_calendar!AK279</f>
        <v>4</v>
      </c>
      <c r="D277" t="str">
        <f>export_calendar!AP279</f>
        <v>Dodenherdenking</v>
      </c>
      <c r="E277" s="1">
        <f>export_calendar!AO279</f>
        <v>102</v>
      </c>
      <c r="F277">
        <f>MATCH(export_calendar!AL279,theme_boxes!C:C,0)-1</f>
        <v>21</v>
      </c>
      <c r="G277">
        <f>MATCH(export_calendar!AN279,light_patterns!B:B,0)-1</f>
        <v>2</v>
      </c>
      <c r="H277">
        <f>MATCH(export_calendar!AM279,light_colors!B:B,0)-1</f>
        <v>31</v>
      </c>
    </row>
    <row r="278" spans="1:8" x14ac:dyDescent="0.25">
      <c r="A278" s="1">
        <f>export_calendar!AI280</f>
        <v>2033</v>
      </c>
      <c r="B278" s="1">
        <f>export_calendar!AJ280</f>
        <v>5</v>
      </c>
      <c r="C278" s="1">
        <f>export_calendar!AK280</f>
        <v>5</v>
      </c>
      <c r="D278" t="str">
        <f>export_calendar!AP280</f>
        <v>Bevrijdingsdag</v>
      </c>
      <c r="E278" s="1">
        <f>export_calendar!AO280</f>
        <v>64</v>
      </c>
      <c r="F278">
        <f>MATCH(export_calendar!AL280,theme_boxes!C:C,0)-1</f>
        <v>24</v>
      </c>
      <c r="G278">
        <f>MATCH(export_calendar!AN280,light_patterns!B:B,0)-1</f>
        <v>3</v>
      </c>
      <c r="H278">
        <f>MATCH(export_calendar!AM280,light_colors!B:B,0)-1</f>
        <v>3</v>
      </c>
    </row>
    <row r="279" spans="1:8" x14ac:dyDescent="0.25">
      <c r="A279" s="1">
        <f>export_calendar!AI281</f>
        <v>2033</v>
      </c>
      <c r="B279" s="1">
        <f>export_calendar!AJ281</f>
        <v>5</v>
      </c>
      <c r="C279" s="1">
        <f>export_calendar!AK281</f>
        <v>10</v>
      </c>
      <c r="D279" t="str">
        <f>export_calendar!AP281</f>
        <v>Hartelijk gefeliciteerd,  Gaia</v>
      </c>
      <c r="E279" s="1">
        <f>export_calendar!AO281</f>
        <v>73</v>
      </c>
      <c r="F279">
        <f>MATCH(export_calendar!AL281,theme_boxes!C:C,0)-1</f>
        <v>15</v>
      </c>
      <c r="G279">
        <f>MATCH(export_calendar!AN281,light_patterns!B:B,0)-1</f>
        <v>3</v>
      </c>
      <c r="H279">
        <f>MATCH(export_calendar!AM281,light_colors!B:B,0)-1</f>
        <v>14</v>
      </c>
    </row>
    <row r="280" spans="1:8" x14ac:dyDescent="0.25">
      <c r="A280" s="1">
        <f>export_calendar!AI282</f>
        <v>2033</v>
      </c>
      <c r="B280" s="1">
        <f>export_calendar!AJ282</f>
        <v>5</v>
      </c>
      <c r="C280" s="1">
        <f>export_calendar!AK282</f>
        <v>26</v>
      </c>
      <c r="D280" t="str">
        <f>export_calendar!AP282</f>
        <v>Hemelvaart</v>
      </c>
      <c r="E280" s="1">
        <f>export_calendar!AO282</f>
        <v>127</v>
      </c>
      <c r="F280">
        <f>MATCH(export_calendar!AL282,theme_boxes!C:C,0)-1</f>
        <v>11</v>
      </c>
      <c r="G280">
        <f>MATCH(export_calendar!AN282,light_patterns!B:B,0)-1</f>
        <v>2</v>
      </c>
      <c r="H280">
        <f>MATCH(export_calendar!AM282,light_colors!B:B,0)-1</f>
        <v>29</v>
      </c>
    </row>
    <row r="281" spans="1:8" x14ac:dyDescent="0.25">
      <c r="A281" s="1">
        <f>export_calendar!AI283</f>
        <v>2033</v>
      </c>
      <c r="B281" s="1">
        <f>export_calendar!AJ283</f>
        <v>6</v>
      </c>
      <c r="C281" s="1">
        <f>export_calendar!AK283</f>
        <v>1</v>
      </c>
      <c r="D281" t="str">
        <f>export_calendar!AP283</f>
        <v>Eerste van de maand juni</v>
      </c>
      <c r="E281" s="1">
        <f>export_calendar!AO283</f>
        <v>157</v>
      </c>
      <c r="F281">
        <f>MATCH(export_calendar!AL283,theme_boxes!C:C,0)-1</f>
        <v>23</v>
      </c>
      <c r="G281">
        <f>MATCH(export_calendar!AN283,light_patterns!B:B,0)-1</f>
        <v>4</v>
      </c>
      <c r="H281">
        <f>MATCH(export_calendar!AM283,light_colors!B:B,0)-1</f>
        <v>7</v>
      </c>
    </row>
    <row r="282" spans="1:8" x14ac:dyDescent="0.25">
      <c r="A282" s="1">
        <f>export_calendar!AI284</f>
        <v>2033</v>
      </c>
      <c r="B282" s="1">
        <f>export_calendar!AJ284</f>
        <v>6</v>
      </c>
      <c r="C282" s="1">
        <f>export_calendar!AK284</f>
        <v>5</v>
      </c>
      <c r="D282" t="str">
        <f>export_calendar!AP284</f>
        <v>Pinksteren</v>
      </c>
      <c r="E282" s="1">
        <f>export_calendar!AO284</f>
        <v>145</v>
      </c>
      <c r="F282">
        <f>MATCH(export_calendar!AL284,theme_boxes!C:C,0)-1</f>
        <v>4</v>
      </c>
      <c r="G282">
        <f>MATCH(export_calendar!AN284,light_patterns!B:B,0)-1</f>
        <v>4</v>
      </c>
      <c r="H282">
        <f>MATCH(export_calendar!AM284,light_colors!B:B,0)-1</f>
        <v>8</v>
      </c>
    </row>
    <row r="283" spans="1:8" x14ac:dyDescent="0.25">
      <c r="A283" s="1">
        <f>export_calendar!AI285</f>
        <v>2033</v>
      </c>
      <c r="B283" s="1">
        <f>export_calendar!AJ285</f>
        <v>6</v>
      </c>
      <c r="C283" s="1">
        <f>export_calendar!AK285</f>
        <v>6</v>
      </c>
      <c r="D283" t="str">
        <f>export_calendar!AP285</f>
        <v>Nog steeds Pinksteren</v>
      </c>
      <c r="E283" s="1">
        <f>export_calendar!AO285</f>
        <v>169</v>
      </c>
      <c r="F283">
        <f>MATCH(export_calendar!AL285,theme_boxes!C:C,0)-1</f>
        <v>4</v>
      </c>
      <c r="G283">
        <f>MATCH(export_calendar!AN285,light_patterns!B:B,0)-1</f>
        <v>4</v>
      </c>
      <c r="H283">
        <f>MATCH(export_calendar!AM285,light_colors!B:B,0)-1</f>
        <v>8</v>
      </c>
    </row>
    <row r="284" spans="1:8" x14ac:dyDescent="0.25">
      <c r="A284" s="1">
        <f>export_calendar!AI286</f>
        <v>2033</v>
      </c>
      <c r="B284" s="1">
        <f>export_calendar!AJ286</f>
        <v>6</v>
      </c>
      <c r="C284" s="1">
        <f>export_calendar!AK286</f>
        <v>24</v>
      </c>
      <c r="D284" t="str">
        <f>export_calendar!AP286</f>
        <v>SintJan</v>
      </c>
      <c r="E284" s="1">
        <f>export_calendar!AO286</f>
        <v>61</v>
      </c>
      <c r="F284">
        <f>MATCH(export_calendar!AL286,theme_boxes!C:C,0)-1</f>
        <v>24</v>
      </c>
      <c r="G284">
        <f>MATCH(export_calendar!AN286,light_patterns!B:B,0)-1</f>
        <v>27</v>
      </c>
      <c r="H284">
        <f>MATCH(export_calendar!AM286,light_colors!B:B,0)-1</f>
        <v>5</v>
      </c>
    </row>
    <row r="285" spans="1:8" x14ac:dyDescent="0.25">
      <c r="A285" s="1">
        <f>export_calendar!AI287</f>
        <v>2033</v>
      </c>
      <c r="B285" s="1">
        <f>export_calendar!AJ287</f>
        <v>7</v>
      </c>
      <c r="C285" s="1">
        <f>export_calendar!AK287</f>
        <v>1</v>
      </c>
      <c r="D285" t="str">
        <f>export_calendar!AP287</f>
        <v>Eerste van de maand juli</v>
      </c>
      <c r="E285" s="1">
        <f>export_calendar!AO287</f>
        <v>171</v>
      </c>
      <c r="F285">
        <f>MATCH(export_calendar!AL287,theme_boxes!C:C,0)-1</f>
        <v>23</v>
      </c>
      <c r="G285">
        <f>MATCH(export_calendar!AN287,light_patterns!B:B,0)-1</f>
        <v>4</v>
      </c>
      <c r="H285">
        <f>MATCH(export_calendar!AM287,light_colors!B:B,0)-1</f>
        <v>7</v>
      </c>
    </row>
    <row r="286" spans="1:8" x14ac:dyDescent="0.25">
      <c r="A286" s="1">
        <f>export_calendar!AI288</f>
        <v>2033</v>
      </c>
      <c r="B286" s="1">
        <f>export_calendar!AJ288</f>
        <v>8</v>
      </c>
      <c r="C286" s="1">
        <f>export_calendar!AK288</f>
        <v>1</v>
      </c>
      <c r="D286" t="str">
        <f>export_calendar!AP288</f>
        <v>Eerste van de maand augustus</v>
      </c>
      <c r="E286" s="1">
        <f>export_calendar!AO288</f>
        <v>231</v>
      </c>
      <c r="F286">
        <f>MATCH(export_calendar!AL288,theme_boxes!C:C,0)-1</f>
        <v>23</v>
      </c>
      <c r="G286">
        <f>MATCH(export_calendar!AN288,light_patterns!B:B,0)-1</f>
        <v>4</v>
      </c>
      <c r="H286">
        <f>MATCH(export_calendar!AM288,light_colors!B:B,0)-1</f>
        <v>7</v>
      </c>
    </row>
    <row r="287" spans="1:8" x14ac:dyDescent="0.25">
      <c r="A287" s="1">
        <f>export_calendar!AI289</f>
        <v>2033</v>
      </c>
      <c r="B287" s="1">
        <f>export_calendar!AJ289</f>
        <v>9</v>
      </c>
      <c r="C287" s="1">
        <f>export_calendar!AK289</f>
        <v>1</v>
      </c>
      <c r="D287" t="str">
        <f>export_calendar!AP289</f>
        <v>Eerste van de maand september</v>
      </c>
      <c r="E287" s="1">
        <f>export_calendar!AO289</f>
        <v>282</v>
      </c>
      <c r="F287">
        <f>MATCH(export_calendar!AL289,theme_boxes!C:C,0)-1</f>
        <v>23</v>
      </c>
      <c r="G287">
        <f>MATCH(export_calendar!AN289,light_patterns!B:B,0)-1</f>
        <v>4</v>
      </c>
      <c r="H287">
        <f>MATCH(export_calendar!AM289,light_colors!B:B,0)-1</f>
        <v>7</v>
      </c>
    </row>
    <row r="288" spans="1:8" x14ac:dyDescent="0.25">
      <c r="A288" s="1">
        <f>export_calendar!AI290</f>
        <v>2033</v>
      </c>
      <c r="B288" s="1">
        <f>export_calendar!AJ290</f>
        <v>10</v>
      </c>
      <c r="C288" s="1">
        <f>export_calendar!AK290</f>
        <v>1</v>
      </c>
      <c r="D288" t="str">
        <f>export_calendar!AP290</f>
        <v>Eerste van de maand oktober</v>
      </c>
      <c r="E288" s="1">
        <f>export_calendar!AO290</f>
        <v>277</v>
      </c>
      <c r="F288">
        <f>MATCH(export_calendar!AL290,theme_boxes!C:C,0)-1</f>
        <v>23</v>
      </c>
      <c r="G288">
        <f>MATCH(export_calendar!AN290,light_patterns!B:B,0)-1</f>
        <v>4</v>
      </c>
      <c r="H288">
        <f>MATCH(export_calendar!AM290,light_colors!B:B,0)-1</f>
        <v>7</v>
      </c>
    </row>
    <row r="289" spans="1:8" x14ac:dyDescent="0.25">
      <c r="A289" s="1">
        <f>export_calendar!AI291</f>
        <v>2033</v>
      </c>
      <c r="B289" s="1">
        <f>export_calendar!AJ291</f>
        <v>10</v>
      </c>
      <c r="C289" s="1">
        <f>export_calendar!AK291</f>
        <v>8</v>
      </c>
      <c r="D289" t="str">
        <f>export_calendar!AP291</f>
        <v>Hartelijk gefeliciteerd,  Jan</v>
      </c>
      <c r="E289" s="1">
        <f>export_calendar!AO291</f>
        <v>105</v>
      </c>
      <c r="F289">
        <f>MATCH(export_calendar!AL291,theme_boxes!C:C,0)-1</f>
        <v>15</v>
      </c>
      <c r="G289">
        <f>MATCH(export_calendar!AN291,light_patterns!B:B,0)-1</f>
        <v>3</v>
      </c>
      <c r="H289">
        <f>MATCH(export_calendar!AM291,light_colors!B:B,0)-1</f>
        <v>14</v>
      </c>
    </row>
    <row r="290" spans="1:8" x14ac:dyDescent="0.25">
      <c r="A290" s="1">
        <f>export_calendar!AI292</f>
        <v>2033</v>
      </c>
      <c r="B290" s="1">
        <f>export_calendar!AJ292</f>
        <v>11</v>
      </c>
      <c r="C290" s="1">
        <f>export_calendar!AK292</f>
        <v>1</v>
      </c>
      <c r="D290" t="str">
        <f>export_calendar!AP292</f>
        <v>Eerste van de maand november</v>
      </c>
      <c r="E290" s="1">
        <f>export_calendar!AO292</f>
        <v>221</v>
      </c>
      <c r="F290">
        <f>MATCH(export_calendar!AL292,theme_boxes!C:C,0)-1</f>
        <v>23</v>
      </c>
      <c r="G290">
        <f>MATCH(export_calendar!AN292,light_patterns!B:B,0)-1</f>
        <v>4</v>
      </c>
      <c r="H290">
        <f>MATCH(export_calendar!AM292,light_colors!B:B,0)-1</f>
        <v>7</v>
      </c>
    </row>
    <row r="291" spans="1:8" x14ac:dyDescent="0.25">
      <c r="A291" s="1">
        <f>export_calendar!AI293</f>
        <v>2033</v>
      </c>
      <c r="B291" s="1">
        <f>export_calendar!AJ293</f>
        <v>12</v>
      </c>
      <c r="C291" s="1">
        <f>export_calendar!AK293</f>
        <v>1</v>
      </c>
      <c r="D291" t="str">
        <f>export_calendar!AP293</f>
        <v>Eerste van de maand december</v>
      </c>
      <c r="E291" s="1">
        <f>export_calendar!AO293</f>
        <v>165</v>
      </c>
      <c r="F291">
        <f>MATCH(export_calendar!AL293,theme_boxes!C:C,0)-1</f>
        <v>23</v>
      </c>
      <c r="G291">
        <f>MATCH(export_calendar!AN293,light_patterns!B:B,0)-1</f>
        <v>4</v>
      </c>
      <c r="H291">
        <f>MATCH(export_calendar!AM293,light_colors!B:B,0)-1</f>
        <v>7</v>
      </c>
    </row>
    <row r="292" spans="1:8" x14ac:dyDescent="0.25">
      <c r="A292" s="1">
        <f>export_calendar!AI294</f>
        <v>2033</v>
      </c>
      <c r="B292" s="1">
        <f>export_calendar!AJ294</f>
        <v>12</v>
      </c>
      <c r="C292" s="1">
        <f>export_calendar!AK294</f>
        <v>5</v>
      </c>
      <c r="D292" t="str">
        <f>export_calendar!AP294</f>
        <v>Sinterklaas</v>
      </c>
      <c r="E292" s="1">
        <f>export_calendar!AO294</f>
        <v>113</v>
      </c>
      <c r="F292">
        <f>MATCH(export_calendar!AL294,theme_boxes!C:C,0)-1</f>
        <v>12</v>
      </c>
      <c r="G292">
        <f>MATCH(export_calendar!AN294,light_patterns!B:B,0)-1</f>
        <v>6</v>
      </c>
      <c r="H292">
        <f>MATCH(export_calendar!AM294,light_colors!B:B,0)-1</f>
        <v>28</v>
      </c>
    </row>
    <row r="293" spans="1:8" x14ac:dyDescent="0.25">
      <c r="A293" s="1">
        <f>export_calendar!AI295</f>
        <v>2033</v>
      </c>
      <c r="B293" s="1">
        <f>export_calendar!AJ295</f>
        <v>12</v>
      </c>
      <c r="C293" s="1">
        <f>export_calendar!AK295</f>
        <v>13</v>
      </c>
      <c r="D293" t="str">
        <f>export_calendar!AP295</f>
        <v>Hartelijk gefeliciteerd,  lieve Marit</v>
      </c>
      <c r="E293" s="1">
        <f>export_calendar!AO295</f>
        <v>114</v>
      </c>
      <c r="F293">
        <f>MATCH(export_calendar!AL295,theme_boxes!C:C,0)-1</f>
        <v>15</v>
      </c>
      <c r="G293">
        <f>MATCH(export_calendar!AN295,light_patterns!B:B,0)-1</f>
        <v>3</v>
      </c>
      <c r="H293">
        <f>MATCH(export_calendar!AM295,light_colors!B:B,0)-1</f>
        <v>14</v>
      </c>
    </row>
    <row r="294" spans="1:8" x14ac:dyDescent="0.25">
      <c r="A294" s="1">
        <f>export_calendar!AI296</f>
        <v>2033</v>
      </c>
      <c r="B294" s="1">
        <f>export_calendar!AJ296</f>
        <v>12</v>
      </c>
      <c r="C294" s="1">
        <f>export_calendar!AK296</f>
        <v>25</v>
      </c>
      <c r="D294" t="str">
        <f>export_calendar!AP296</f>
        <v>Vrolijk Kerstfeest</v>
      </c>
      <c r="E294" s="1">
        <f>export_calendar!AO296</f>
        <v>95</v>
      </c>
      <c r="F294">
        <f>MATCH(export_calendar!AL296,theme_boxes!C:C,0)-1</f>
        <v>8</v>
      </c>
      <c r="G294">
        <f>MATCH(export_calendar!AN296,light_patterns!B:B,0)-1</f>
        <v>26</v>
      </c>
      <c r="H294">
        <f>MATCH(export_calendar!AM296,light_colors!B:B,0)-1</f>
        <v>30</v>
      </c>
    </row>
    <row r="295" spans="1:8" x14ac:dyDescent="0.25">
      <c r="A295" s="1">
        <f>export_calendar!AI297</f>
        <v>2033</v>
      </c>
      <c r="B295" s="1">
        <f>export_calendar!AJ297</f>
        <v>12</v>
      </c>
      <c r="C295" s="1">
        <f>export_calendar!AK297</f>
        <v>26</v>
      </c>
      <c r="D295" t="str">
        <f>export_calendar!AP297</f>
        <v>Tweede Kerstdag</v>
      </c>
      <c r="E295" s="1">
        <f>export_calendar!AO297</f>
        <v>108</v>
      </c>
      <c r="F295">
        <f>MATCH(export_calendar!AL297,theme_boxes!C:C,0)-1</f>
        <v>8</v>
      </c>
      <c r="G295">
        <f>MATCH(export_calendar!AN297,light_patterns!B:B,0)-1</f>
        <v>5</v>
      </c>
      <c r="H295">
        <f>MATCH(export_calendar!AM297,light_colors!B:B,0)-1</f>
        <v>20</v>
      </c>
    </row>
    <row r="296" spans="1:8" x14ac:dyDescent="0.25">
      <c r="A296" s="1">
        <f>export_calendar!AI298</f>
        <v>2033</v>
      </c>
      <c r="B296" s="1">
        <f>export_calendar!AJ298</f>
        <v>12</v>
      </c>
      <c r="C296" s="1">
        <f>export_calendar!AK298</f>
        <v>28</v>
      </c>
      <c r="D296" t="str">
        <f>export_calendar!AP298</f>
        <v>Onnozele Kinderen</v>
      </c>
      <c r="E296" s="1">
        <f>export_calendar!AO298</f>
        <v>77</v>
      </c>
      <c r="F296">
        <f>MATCH(export_calendar!AL298,theme_boxes!C:C,0)-1</f>
        <v>10</v>
      </c>
      <c r="G296">
        <f>MATCH(export_calendar!AN298,light_patterns!B:B,0)-1</f>
        <v>26</v>
      </c>
      <c r="H296">
        <f>MATCH(export_calendar!AM298,light_colors!B:B,0)-1</f>
        <v>35</v>
      </c>
    </row>
    <row r="297" spans="1:8" x14ac:dyDescent="0.25">
      <c r="A297" s="1">
        <f>export_calendar!AI299</f>
        <v>2034</v>
      </c>
      <c r="B297" s="1">
        <f>export_calendar!AJ299</f>
        <v>1</v>
      </c>
      <c r="C297" s="1">
        <f>export_calendar!AK299</f>
        <v>1</v>
      </c>
      <c r="D297" t="str">
        <f>export_calendar!AP299</f>
        <v>Gelukkig Nieuwjaar</v>
      </c>
      <c r="E297" s="1">
        <f>export_calendar!AO299</f>
        <v>77</v>
      </c>
      <c r="F297">
        <f>MATCH(export_calendar!AL299,theme_boxes!C:C,0)-1</f>
        <v>24</v>
      </c>
      <c r="G297">
        <f>MATCH(export_calendar!AN299,light_patterns!B:B,0)-1</f>
        <v>2</v>
      </c>
      <c r="H297">
        <f>MATCH(export_calendar!AM299,light_colors!B:B,0)-1</f>
        <v>40</v>
      </c>
    </row>
    <row r="298" spans="1:8" x14ac:dyDescent="0.25">
      <c r="A298" s="1">
        <f>export_calendar!AI300</f>
        <v>2034</v>
      </c>
      <c r="B298" s="1">
        <f>export_calendar!AJ300</f>
        <v>2</v>
      </c>
      <c r="C298" s="1">
        <f>export_calendar!AK300</f>
        <v>1</v>
      </c>
      <c r="D298" t="str">
        <f>export_calendar!AP300</f>
        <v>Eerste van de maand februari</v>
      </c>
      <c r="E298" s="1">
        <f>export_calendar!AO300</f>
        <v>249</v>
      </c>
      <c r="F298">
        <f>MATCH(export_calendar!AL300,theme_boxes!C:C,0)-1</f>
        <v>23</v>
      </c>
      <c r="G298">
        <f>MATCH(export_calendar!AN300,light_patterns!B:B,0)-1</f>
        <v>4</v>
      </c>
      <c r="H298">
        <f>MATCH(export_calendar!AM300,light_colors!B:B,0)-1</f>
        <v>7</v>
      </c>
    </row>
    <row r="299" spans="1:8" x14ac:dyDescent="0.25">
      <c r="A299" s="1">
        <f>export_calendar!AI301</f>
        <v>2034</v>
      </c>
      <c r="B299" s="1">
        <f>export_calendar!AJ301</f>
        <v>2</v>
      </c>
      <c r="C299" s="1">
        <f>export_calendar!AK301</f>
        <v>14</v>
      </c>
      <c r="D299" t="str">
        <f>export_calendar!AP301</f>
        <v>Valentijns en verlovingsdag</v>
      </c>
      <c r="E299" s="1">
        <f>export_calendar!AO301</f>
        <v>70</v>
      </c>
      <c r="F299">
        <f>MATCH(export_calendar!AL301,theme_boxes!C:C,0)-1</f>
        <v>24</v>
      </c>
      <c r="G299">
        <f>MATCH(export_calendar!AN301,light_patterns!B:B,0)-1</f>
        <v>6</v>
      </c>
      <c r="H299">
        <f>MATCH(export_calendar!AM301,light_colors!B:B,0)-1</f>
        <v>42</v>
      </c>
    </row>
    <row r="300" spans="1:8" x14ac:dyDescent="0.25">
      <c r="A300" s="1">
        <f>export_calendar!AI302</f>
        <v>2034</v>
      </c>
      <c r="B300" s="1">
        <f>export_calendar!AJ302</f>
        <v>2</v>
      </c>
      <c r="C300" s="1">
        <f>export_calendar!AK302</f>
        <v>19</v>
      </c>
      <c r="D300" t="str">
        <f>export_calendar!AP302</f>
        <v>Carnaval, Alaaf!!</v>
      </c>
      <c r="E300" s="1">
        <f>export_calendar!AO302</f>
        <v>104</v>
      </c>
      <c r="F300">
        <f>MATCH(export_calendar!AL302,theme_boxes!C:C,0)-1</f>
        <v>24</v>
      </c>
      <c r="G300">
        <f>MATCH(export_calendar!AN302,light_patterns!B:B,0)-1</f>
        <v>3</v>
      </c>
      <c r="H300">
        <f>MATCH(export_calendar!AM302,light_colors!B:B,0)-1</f>
        <v>7</v>
      </c>
    </row>
    <row r="301" spans="1:8" x14ac:dyDescent="0.25">
      <c r="A301" s="1">
        <f>export_calendar!AI303</f>
        <v>2034</v>
      </c>
      <c r="B301" s="1">
        <f>export_calendar!AJ303</f>
        <v>2</v>
      </c>
      <c r="C301" s="1">
        <f>export_calendar!AK303</f>
        <v>19</v>
      </c>
      <c r="D301" t="str">
        <f>export_calendar!AP303</f>
        <v>Carnaval, Agge mar leut heht</v>
      </c>
      <c r="E301" s="1">
        <f>export_calendar!AO303</f>
        <v>80</v>
      </c>
      <c r="F301">
        <f>MATCH(export_calendar!AL303,theme_boxes!C:C,0)-1</f>
        <v>24</v>
      </c>
      <c r="G301">
        <f>MATCH(export_calendar!AN303,light_patterns!B:B,0)-1</f>
        <v>3</v>
      </c>
      <c r="H301">
        <f>MATCH(export_calendar!AM303,light_colors!B:B,0)-1</f>
        <v>7</v>
      </c>
    </row>
    <row r="302" spans="1:8" x14ac:dyDescent="0.25">
      <c r="A302" s="1">
        <f>export_calendar!AI304</f>
        <v>2034</v>
      </c>
      <c r="B302" s="1">
        <f>export_calendar!AJ304</f>
        <v>2</v>
      </c>
      <c r="C302" s="1">
        <f>export_calendar!AK304</f>
        <v>20</v>
      </c>
      <c r="D302" t="str">
        <f>export_calendar!AP304</f>
        <v>RosenMoontach, En deh hittie naw gedonn umdettie Hellemonder is</v>
      </c>
      <c r="E302" s="1">
        <f>export_calendar!AO304</f>
        <v>94</v>
      </c>
      <c r="F302">
        <f>MATCH(export_calendar!AL304,theme_boxes!C:C,0)-1</f>
        <v>24</v>
      </c>
      <c r="G302">
        <f>MATCH(export_calendar!AN304,light_patterns!B:B,0)-1</f>
        <v>3</v>
      </c>
      <c r="H302">
        <f>MATCH(export_calendar!AM304,light_colors!B:B,0)-1</f>
        <v>7</v>
      </c>
    </row>
    <row r="303" spans="1:8" x14ac:dyDescent="0.25">
      <c r="A303" s="1">
        <f>export_calendar!AI305</f>
        <v>2034</v>
      </c>
      <c r="B303" s="1">
        <f>export_calendar!AJ305</f>
        <v>2</v>
      </c>
      <c r="C303" s="1">
        <f>export_calendar!AK305</f>
        <v>22</v>
      </c>
      <c r="D303" t="str">
        <f>export_calendar!AP305</f>
        <v>Aswoensdag ,  - en nu begint de katholieke ramadan</v>
      </c>
      <c r="E303" s="1">
        <f>export_calendar!AO305</f>
        <v>197</v>
      </c>
      <c r="F303">
        <f>MATCH(export_calendar!AL305,theme_boxes!C:C,0)-1</f>
        <v>21</v>
      </c>
      <c r="G303">
        <f>MATCH(export_calendar!AN305,light_patterns!B:B,0)-1</f>
        <v>5</v>
      </c>
      <c r="H303">
        <f>MATCH(export_calendar!AM305,light_colors!B:B,0)-1</f>
        <v>21</v>
      </c>
    </row>
    <row r="304" spans="1:8" x14ac:dyDescent="0.25">
      <c r="A304" s="1">
        <f>export_calendar!AI306</f>
        <v>2034</v>
      </c>
      <c r="B304" s="1">
        <f>export_calendar!AJ306</f>
        <v>3</v>
      </c>
      <c r="C304" s="1">
        <f>export_calendar!AK306</f>
        <v>1</v>
      </c>
      <c r="D304" t="str">
        <f>export_calendar!AP306</f>
        <v>Eerste van de maand maart</v>
      </c>
      <c r="E304" s="1">
        <f>export_calendar!AO306</f>
        <v>287</v>
      </c>
      <c r="F304">
        <f>MATCH(export_calendar!AL306,theme_boxes!C:C,0)-1</f>
        <v>23</v>
      </c>
      <c r="G304">
        <f>MATCH(export_calendar!AN306,light_patterns!B:B,0)-1</f>
        <v>4</v>
      </c>
      <c r="H304">
        <f>MATCH(export_calendar!AM306,light_colors!B:B,0)-1</f>
        <v>7</v>
      </c>
    </row>
    <row r="305" spans="1:8" x14ac:dyDescent="0.25">
      <c r="A305" s="1">
        <f>export_calendar!AI307</f>
        <v>2034</v>
      </c>
      <c r="B305" s="1">
        <f>export_calendar!AJ307</f>
        <v>3</v>
      </c>
      <c r="C305" s="1">
        <f>export_calendar!AK307</f>
        <v>14</v>
      </c>
      <c r="D305" t="str">
        <f>export_calendar!AP307</f>
        <v>piedag - drie komma een vier enzovoorts !en nog meer decimalen</v>
      </c>
      <c r="E305" s="1">
        <f>export_calendar!AO307</f>
        <v>95</v>
      </c>
      <c r="F305">
        <f>MATCH(export_calendar!AL307,theme_boxes!C:C,0)-1</f>
        <v>9</v>
      </c>
      <c r="G305">
        <f>MATCH(export_calendar!AN307,light_patterns!B:B,0)-1</f>
        <v>28</v>
      </c>
      <c r="H305">
        <f>MATCH(export_calendar!AM307,light_colors!B:B,0)-1</f>
        <v>6</v>
      </c>
    </row>
    <row r="306" spans="1:8" x14ac:dyDescent="0.25">
      <c r="A306" s="1">
        <f>export_calendar!AI308</f>
        <v>2034</v>
      </c>
      <c r="B306" s="1">
        <f>export_calendar!AJ308</f>
        <v>3</v>
      </c>
      <c r="C306" s="1">
        <f>export_calendar!AK308</f>
        <v>21</v>
      </c>
      <c r="D306" t="str">
        <f>export_calendar!AP308</f>
        <v>Hartelijk gefeliciteerd,  Thomas</v>
      </c>
      <c r="E306" s="1">
        <f>export_calendar!AO308</f>
        <v>73</v>
      </c>
      <c r="F306">
        <f>MATCH(export_calendar!AL308,theme_boxes!C:C,0)-1</f>
        <v>15</v>
      </c>
      <c r="G306">
        <f>MATCH(export_calendar!AN308,light_patterns!B:B,0)-1</f>
        <v>3</v>
      </c>
      <c r="H306">
        <f>MATCH(export_calendar!AM308,light_colors!B:B,0)-1</f>
        <v>14</v>
      </c>
    </row>
    <row r="307" spans="1:8" x14ac:dyDescent="0.25">
      <c r="A307" s="1">
        <f>export_calendar!AI309</f>
        <v>2034</v>
      </c>
      <c r="B307" s="1">
        <f>export_calendar!AJ309</f>
        <v>4</v>
      </c>
      <c r="C307" s="1">
        <f>export_calendar!AK309</f>
        <v>1</v>
      </c>
      <c r="D307" t="str">
        <f>export_calendar!AP309</f>
        <v>Eerste van de maand april, een april, kikker in je bil!</v>
      </c>
      <c r="E307" s="1">
        <f>export_calendar!AO309</f>
        <v>265</v>
      </c>
      <c r="F307">
        <f>MATCH(export_calendar!AL309,theme_boxes!C:C,0)-1</f>
        <v>23</v>
      </c>
      <c r="G307">
        <f>MATCH(export_calendar!AN309,light_patterns!B:B,0)-1</f>
        <v>4</v>
      </c>
      <c r="H307">
        <f>MATCH(export_calendar!AM309,light_colors!B:B,0)-1</f>
        <v>7</v>
      </c>
    </row>
    <row r="308" spans="1:8" x14ac:dyDescent="0.25">
      <c r="A308" s="1">
        <f>export_calendar!AI310</f>
        <v>2034</v>
      </c>
      <c r="B308" s="1">
        <f>export_calendar!AJ310</f>
        <v>4</v>
      </c>
      <c r="C308" s="1">
        <f>export_calendar!AK310</f>
        <v>7</v>
      </c>
      <c r="D308" t="str">
        <f>export_calendar!AP310</f>
        <v>Goede Vrijdag</v>
      </c>
      <c r="E308" s="1">
        <f>export_calendar!AO310</f>
        <v>187</v>
      </c>
      <c r="F308">
        <f>MATCH(export_calendar!AL310,theme_boxes!C:C,0)-1</f>
        <v>13</v>
      </c>
      <c r="G308">
        <f>MATCH(export_calendar!AN310,light_patterns!B:B,0)-1</f>
        <v>2</v>
      </c>
      <c r="H308">
        <f>MATCH(export_calendar!AM310,light_colors!B:B,0)-1</f>
        <v>13</v>
      </c>
    </row>
    <row r="309" spans="1:8" x14ac:dyDescent="0.25">
      <c r="A309" s="1">
        <f>export_calendar!AI311</f>
        <v>2034</v>
      </c>
      <c r="B309" s="1">
        <f>export_calendar!AJ311</f>
        <v>4</v>
      </c>
      <c r="C309" s="1">
        <f>export_calendar!AK311</f>
        <v>9</v>
      </c>
      <c r="D309" t="str">
        <f>export_calendar!AP311</f>
        <v>Vrolijk Pasen</v>
      </c>
      <c r="E309" s="1">
        <f>export_calendar!AO311</f>
        <v>90</v>
      </c>
      <c r="F309">
        <f>MATCH(export_calendar!AL311,theme_boxes!C:C,0)-1</f>
        <v>17</v>
      </c>
      <c r="G309">
        <f>MATCH(export_calendar!AN311,light_patterns!B:B,0)-1</f>
        <v>9</v>
      </c>
      <c r="H309">
        <f>MATCH(export_calendar!AM311,light_colors!B:B,0)-1</f>
        <v>5</v>
      </c>
    </row>
    <row r="310" spans="1:8" x14ac:dyDescent="0.25">
      <c r="A310" s="1">
        <f>export_calendar!AI312</f>
        <v>2034</v>
      </c>
      <c r="B310" s="1">
        <f>export_calendar!AJ312</f>
        <v>4</v>
      </c>
      <c r="C310" s="1">
        <f>export_calendar!AK312</f>
        <v>10</v>
      </c>
      <c r="D310" t="str">
        <f>export_calendar!AP312</f>
        <v>Tweede Paasdag</v>
      </c>
      <c r="E310" s="1">
        <f>export_calendar!AO312</f>
        <v>314</v>
      </c>
      <c r="F310">
        <f>MATCH(export_calendar!AL312,theme_boxes!C:C,0)-1</f>
        <v>17</v>
      </c>
      <c r="G310">
        <f>MATCH(export_calendar!AN312,light_patterns!B:B,0)-1</f>
        <v>13</v>
      </c>
      <c r="H310">
        <f>MATCH(export_calendar!AM312,light_colors!B:B,0)-1</f>
        <v>19</v>
      </c>
    </row>
    <row r="311" spans="1:8" x14ac:dyDescent="0.25">
      <c r="A311" s="1">
        <f>export_calendar!AI313</f>
        <v>2034</v>
      </c>
      <c r="B311" s="1">
        <f>export_calendar!AJ313</f>
        <v>4</v>
      </c>
      <c r="C311" s="1">
        <f>export_calendar!AK313</f>
        <v>30</v>
      </c>
      <c r="D311" t="str">
        <f>export_calendar!AP313</f>
        <v>Hartelijk gefeliciteerd,  Paul</v>
      </c>
      <c r="E311" s="1">
        <f>export_calendar!AO313</f>
        <v>98</v>
      </c>
      <c r="F311">
        <f>MATCH(export_calendar!AL313,theme_boxes!C:C,0)-1</f>
        <v>15</v>
      </c>
      <c r="G311">
        <f>MATCH(export_calendar!AN313,light_patterns!B:B,0)-1</f>
        <v>3</v>
      </c>
      <c r="H311">
        <f>MATCH(export_calendar!AM313,light_colors!B:B,0)-1</f>
        <v>14</v>
      </c>
    </row>
    <row r="312" spans="1:8" x14ac:dyDescent="0.25">
      <c r="A312" s="1">
        <f>export_calendar!AI314</f>
        <v>2034</v>
      </c>
      <c r="B312" s="1">
        <f>export_calendar!AJ314</f>
        <v>5</v>
      </c>
      <c r="C312" s="1">
        <f>export_calendar!AK314</f>
        <v>1</v>
      </c>
      <c r="D312" t="str">
        <f>export_calendar!AP314</f>
        <v>Eerste van de maand mei- leggen alle vogeltjes een ei</v>
      </c>
      <c r="E312" s="1">
        <f>export_calendar!AO314</f>
        <v>202</v>
      </c>
      <c r="F312">
        <f>MATCH(export_calendar!AL314,theme_boxes!C:C,0)-1</f>
        <v>23</v>
      </c>
      <c r="G312">
        <f>MATCH(export_calendar!AN314,light_patterns!B:B,0)-1</f>
        <v>4</v>
      </c>
      <c r="H312">
        <f>MATCH(export_calendar!AM314,light_colors!B:B,0)-1</f>
        <v>7</v>
      </c>
    </row>
    <row r="313" spans="1:8" x14ac:dyDescent="0.25">
      <c r="A313" s="1">
        <f>export_calendar!AI315</f>
        <v>2034</v>
      </c>
      <c r="B313" s="1">
        <f>export_calendar!AJ315</f>
        <v>5</v>
      </c>
      <c r="C313" s="1">
        <f>export_calendar!AK315</f>
        <v>4</v>
      </c>
      <c r="D313" t="str">
        <f>export_calendar!AP315</f>
        <v>Dodenherdenking</v>
      </c>
      <c r="E313" s="1">
        <f>export_calendar!AO315</f>
        <v>102</v>
      </c>
      <c r="F313">
        <f>MATCH(export_calendar!AL315,theme_boxes!C:C,0)-1</f>
        <v>21</v>
      </c>
      <c r="G313">
        <f>MATCH(export_calendar!AN315,light_patterns!B:B,0)-1</f>
        <v>2</v>
      </c>
      <c r="H313">
        <f>MATCH(export_calendar!AM315,light_colors!B:B,0)-1</f>
        <v>31</v>
      </c>
    </row>
    <row r="314" spans="1:8" x14ac:dyDescent="0.25">
      <c r="A314" s="1">
        <f>export_calendar!AI316</f>
        <v>2034</v>
      </c>
      <c r="B314" s="1">
        <f>export_calendar!AJ316</f>
        <v>5</v>
      </c>
      <c r="C314" s="1">
        <f>export_calendar!AK316</f>
        <v>5</v>
      </c>
      <c r="D314" t="str">
        <f>export_calendar!AP316</f>
        <v>Bevrijdingsdag</v>
      </c>
      <c r="E314" s="1">
        <f>export_calendar!AO316</f>
        <v>64</v>
      </c>
      <c r="F314">
        <f>MATCH(export_calendar!AL316,theme_boxes!C:C,0)-1</f>
        <v>24</v>
      </c>
      <c r="G314">
        <f>MATCH(export_calendar!AN316,light_patterns!B:B,0)-1</f>
        <v>3</v>
      </c>
      <c r="H314">
        <f>MATCH(export_calendar!AM316,light_colors!B:B,0)-1</f>
        <v>3</v>
      </c>
    </row>
    <row r="315" spans="1:8" x14ac:dyDescent="0.25">
      <c r="A315" s="1">
        <f>export_calendar!AI317</f>
        <v>2034</v>
      </c>
      <c r="B315" s="1">
        <f>export_calendar!AJ317</f>
        <v>5</v>
      </c>
      <c r="C315" s="1">
        <f>export_calendar!AK317</f>
        <v>10</v>
      </c>
      <c r="D315" t="str">
        <f>export_calendar!AP317</f>
        <v>Hartelijk gefeliciteerd,  Gaia</v>
      </c>
      <c r="E315" s="1">
        <f>export_calendar!AO317</f>
        <v>73</v>
      </c>
      <c r="F315">
        <f>MATCH(export_calendar!AL317,theme_boxes!C:C,0)-1</f>
        <v>15</v>
      </c>
      <c r="G315">
        <f>MATCH(export_calendar!AN317,light_patterns!B:B,0)-1</f>
        <v>3</v>
      </c>
      <c r="H315">
        <f>MATCH(export_calendar!AM317,light_colors!B:B,0)-1</f>
        <v>14</v>
      </c>
    </row>
    <row r="316" spans="1:8" x14ac:dyDescent="0.25">
      <c r="A316" s="1">
        <f>export_calendar!AI318</f>
        <v>2034</v>
      </c>
      <c r="B316" s="1">
        <f>export_calendar!AJ318</f>
        <v>5</v>
      </c>
      <c r="C316" s="1">
        <f>export_calendar!AK318</f>
        <v>18</v>
      </c>
      <c r="D316" t="str">
        <f>export_calendar!AP318</f>
        <v>Hemelvaart</v>
      </c>
      <c r="E316" s="1">
        <f>export_calendar!AO318</f>
        <v>107</v>
      </c>
      <c r="F316">
        <f>MATCH(export_calendar!AL318,theme_boxes!C:C,0)-1</f>
        <v>11</v>
      </c>
      <c r="G316">
        <f>MATCH(export_calendar!AN318,light_patterns!B:B,0)-1</f>
        <v>2</v>
      </c>
      <c r="H316">
        <f>MATCH(export_calendar!AM318,light_colors!B:B,0)-1</f>
        <v>29</v>
      </c>
    </row>
    <row r="317" spans="1:8" x14ac:dyDescent="0.25">
      <c r="A317" s="1">
        <f>export_calendar!AI319</f>
        <v>2034</v>
      </c>
      <c r="B317" s="1">
        <f>export_calendar!AJ319</f>
        <v>5</v>
      </c>
      <c r="C317" s="1">
        <f>export_calendar!AK319</f>
        <v>28</v>
      </c>
      <c r="D317" t="str">
        <f>export_calendar!AP319</f>
        <v>Pinksteren,  - wat is dat ook weer??</v>
      </c>
      <c r="E317" s="1">
        <f>export_calendar!AO319</f>
        <v>121</v>
      </c>
      <c r="F317">
        <f>MATCH(export_calendar!AL319,theme_boxes!C:C,0)-1</f>
        <v>4</v>
      </c>
      <c r="G317">
        <f>MATCH(export_calendar!AN319,light_patterns!B:B,0)-1</f>
        <v>4</v>
      </c>
      <c r="H317">
        <f>MATCH(export_calendar!AM319,light_colors!B:B,0)-1</f>
        <v>8</v>
      </c>
    </row>
    <row r="318" spans="1:8" x14ac:dyDescent="0.25">
      <c r="A318" s="1">
        <f>export_calendar!AI320</f>
        <v>2034</v>
      </c>
      <c r="B318" s="1">
        <f>export_calendar!AJ320</f>
        <v>5</v>
      </c>
      <c r="C318" s="1">
        <f>export_calendar!AK320</f>
        <v>29</v>
      </c>
      <c r="D318" t="str">
        <f>export_calendar!AP320</f>
        <v>Nog steeds Pinksteren,  - wat is dat ook weer??</v>
      </c>
      <c r="E318" s="1">
        <f>export_calendar!AO320</f>
        <v>195</v>
      </c>
      <c r="F318">
        <f>MATCH(export_calendar!AL320,theme_boxes!C:C,0)-1</f>
        <v>4</v>
      </c>
      <c r="G318">
        <f>MATCH(export_calendar!AN320,light_patterns!B:B,0)-1</f>
        <v>4</v>
      </c>
      <c r="H318">
        <f>MATCH(export_calendar!AM320,light_colors!B:B,0)-1</f>
        <v>8</v>
      </c>
    </row>
    <row r="319" spans="1:8" x14ac:dyDescent="0.25">
      <c r="A319" s="1">
        <f>export_calendar!AI321</f>
        <v>2034</v>
      </c>
      <c r="B319" s="1">
        <f>export_calendar!AJ321</f>
        <v>6</v>
      </c>
      <c r="C319" s="1">
        <f>export_calendar!AK321</f>
        <v>1</v>
      </c>
      <c r="D319" t="str">
        <f>export_calendar!AP321</f>
        <v>Eerste van de maand juni</v>
      </c>
      <c r="E319" s="1">
        <f>export_calendar!AO321</f>
        <v>157</v>
      </c>
      <c r="F319">
        <f>MATCH(export_calendar!AL321,theme_boxes!C:C,0)-1</f>
        <v>23</v>
      </c>
      <c r="G319">
        <f>MATCH(export_calendar!AN321,light_patterns!B:B,0)-1</f>
        <v>4</v>
      </c>
      <c r="H319">
        <f>MATCH(export_calendar!AM321,light_colors!B:B,0)-1</f>
        <v>7</v>
      </c>
    </row>
    <row r="320" spans="1:8" x14ac:dyDescent="0.25">
      <c r="A320" s="1">
        <f>export_calendar!AI322</f>
        <v>2034</v>
      </c>
      <c r="B320" s="1">
        <f>export_calendar!AJ322</f>
        <v>6</v>
      </c>
      <c r="C320" s="1">
        <f>export_calendar!AK322</f>
        <v>24</v>
      </c>
      <c r="D320" t="str">
        <f>export_calendar!AP322</f>
        <v>SintJan</v>
      </c>
      <c r="E320" s="1">
        <f>export_calendar!AO322</f>
        <v>61</v>
      </c>
      <c r="F320">
        <f>MATCH(export_calendar!AL322,theme_boxes!C:C,0)-1</f>
        <v>24</v>
      </c>
      <c r="G320">
        <f>MATCH(export_calendar!AN322,light_patterns!B:B,0)-1</f>
        <v>27</v>
      </c>
      <c r="H320">
        <f>MATCH(export_calendar!AM322,light_colors!B:B,0)-1</f>
        <v>5</v>
      </c>
    </row>
    <row r="321" spans="1:8" x14ac:dyDescent="0.25">
      <c r="A321" s="1">
        <f>export_calendar!AI323</f>
        <v>2034</v>
      </c>
      <c r="B321" s="1">
        <f>export_calendar!AJ323</f>
        <v>7</v>
      </c>
      <c r="C321" s="1">
        <f>export_calendar!AK323</f>
        <v>1</v>
      </c>
      <c r="D321" t="str">
        <f>export_calendar!AP323</f>
        <v>Eerste van de maand juli</v>
      </c>
      <c r="E321" s="1">
        <f>export_calendar!AO323</f>
        <v>171</v>
      </c>
      <c r="F321">
        <f>MATCH(export_calendar!AL323,theme_boxes!C:C,0)-1</f>
        <v>23</v>
      </c>
      <c r="G321">
        <f>MATCH(export_calendar!AN323,light_patterns!B:B,0)-1</f>
        <v>4</v>
      </c>
      <c r="H321">
        <f>MATCH(export_calendar!AM323,light_colors!B:B,0)-1</f>
        <v>7</v>
      </c>
    </row>
    <row r="322" spans="1:8" x14ac:dyDescent="0.25">
      <c r="A322" s="1">
        <f>export_calendar!AI324</f>
        <v>2034</v>
      </c>
      <c r="B322" s="1">
        <f>export_calendar!AJ324</f>
        <v>8</v>
      </c>
      <c r="C322" s="1">
        <f>export_calendar!AK324</f>
        <v>1</v>
      </c>
      <c r="D322" t="str">
        <f>export_calendar!AP324</f>
        <v>Eerste van de maand augustus</v>
      </c>
      <c r="E322" s="1">
        <f>export_calendar!AO324</f>
        <v>231</v>
      </c>
      <c r="F322">
        <f>MATCH(export_calendar!AL324,theme_boxes!C:C,0)-1</f>
        <v>23</v>
      </c>
      <c r="G322">
        <f>MATCH(export_calendar!AN324,light_patterns!B:B,0)-1</f>
        <v>4</v>
      </c>
      <c r="H322">
        <f>MATCH(export_calendar!AM324,light_colors!B:B,0)-1</f>
        <v>7</v>
      </c>
    </row>
    <row r="323" spans="1:8" x14ac:dyDescent="0.25">
      <c r="A323" s="1">
        <f>export_calendar!AI325</f>
        <v>2034</v>
      </c>
      <c r="B323" s="1">
        <f>export_calendar!AJ325</f>
        <v>9</v>
      </c>
      <c r="C323" s="1">
        <f>export_calendar!AK325</f>
        <v>1</v>
      </c>
      <c r="D323" t="str">
        <f>export_calendar!AP325</f>
        <v>Eerste van de maand september</v>
      </c>
      <c r="E323" s="1">
        <f>export_calendar!AO325</f>
        <v>282</v>
      </c>
      <c r="F323">
        <f>MATCH(export_calendar!AL325,theme_boxes!C:C,0)-1</f>
        <v>23</v>
      </c>
      <c r="G323">
        <f>MATCH(export_calendar!AN325,light_patterns!B:B,0)-1</f>
        <v>4</v>
      </c>
      <c r="H323">
        <f>MATCH(export_calendar!AM325,light_colors!B:B,0)-1</f>
        <v>7</v>
      </c>
    </row>
    <row r="324" spans="1:8" x14ac:dyDescent="0.25">
      <c r="A324" s="1">
        <f>export_calendar!AI326</f>
        <v>2034</v>
      </c>
      <c r="B324" s="1">
        <f>export_calendar!AJ326</f>
        <v>10</v>
      </c>
      <c r="C324" s="1">
        <f>export_calendar!AK326</f>
        <v>1</v>
      </c>
      <c r="D324" t="str">
        <f>export_calendar!AP326</f>
        <v>Eerste van de maand oktober</v>
      </c>
      <c r="E324" s="1">
        <f>export_calendar!AO326</f>
        <v>277</v>
      </c>
      <c r="F324">
        <f>MATCH(export_calendar!AL326,theme_boxes!C:C,0)-1</f>
        <v>23</v>
      </c>
      <c r="G324">
        <f>MATCH(export_calendar!AN326,light_patterns!B:B,0)-1</f>
        <v>4</v>
      </c>
      <c r="H324">
        <f>MATCH(export_calendar!AM326,light_colors!B:B,0)-1</f>
        <v>7</v>
      </c>
    </row>
    <row r="325" spans="1:8" x14ac:dyDescent="0.25">
      <c r="A325" s="1">
        <f>export_calendar!AI327</f>
        <v>2034</v>
      </c>
      <c r="B325" s="1">
        <f>export_calendar!AJ327</f>
        <v>10</v>
      </c>
      <c r="C325" s="1">
        <f>export_calendar!AK327</f>
        <v>8</v>
      </c>
      <c r="D325" t="str">
        <f>export_calendar!AP327</f>
        <v>Hartelijk gefeliciteerd,  Jan</v>
      </c>
      <c r="E325" s="1">
        <f>export_calendar!AO327</f>
        <v>105</v>
      </c>
      <c r="F325">
        <f>MATCH(export_calendar!AL327,theme_boxes!C:C,0)-1</f>
        <v>15</v>
      </c>
      <c r="G325">
        <f>MATCH(export_calendar!AN327,light_patterns!B:B,0)-1</f>
        <v>3</v>
      </c>
      <c r="H325">
        <f>MATCH(export_calendar!AM327,light_colors!B:B,0)-1</f>
        <v>14</v>
      </c>
    </row>
    <row r="326" spans="1:8" x14ac:dyDescent="0.25">
      <c r="A326" s="1">
        <f>export_calendar!AI328</f>
        <v>2034</v>
      </c>
      <c r="B326" s="1">
        <f>export_calendar!AJ328</f>
        <v>11</v>
      </c>
      <c r="C326" s="1">
        <f>export_calendar!AK328</f>
        <v>1</v>
      </c>
      <c r="D326" t="str">
        <f>export_calendar!AP328</f>
        <v>Eerste van de maand november</v>
      </c>
      <c r="E326" s="1">
        <f>export_calendar!AO328</f>
        <v>221</v>
      </c>
      <c r="F326">
        <f>MATCH(export_calendar!AL328,theme_boxes!C:C,0)-1</f>
        <v>23</v>
      </c>
      <c r="G326">
        <f>MATCH(export_calendar!AN328,light_patterns!B:B,0)-1</f>
        <v>4</v>
      </c>
      <c r="H326">
        <f>MATCH(export_calendar!AM328,light_colors!B:B,0)-1</f>
        <v>7</v>
      </c>
    </row>
    <row r="327" spans="1:8" x14ac:dyDescent="0.25">
      <c r="A327" s="1">
        <f>export_calendar!AI329</f>
        <v>2034</v>
      </c>
      <c r="B327" s="1">
        <f>export_calendar!AJ329</f>
        <v>12</v>
      </c>
      <c r="C327" s="1">
        <f>export_calendar!AK329</f>
        <v>1</v>
      </c>
      <c r="D327" t="str">
        <f>export_calendar!AP329</f>
        <v>Eerste van de maand december</v>
      </c>
      <c r="E327" s="1">
        <f>export_calendar!AO329</f>
        <v>165</v>
      </c>
      <c r="F327">
        <f>MATCH(export_calendar!AL329,theme_boxes!C:C,0)-1</f>
        <v>23</v>
      </c>
      <c r="G327">
        <f>MATCH(export_calendar!AN329,light_patterns!B:B,0)-1</f>
        <v>4</v>
      </c>
      <c r="H327">
        <f>MATCH(export_calendar!AM329,light_colors!B:B,0)-1</f>
        <v>7</v>
      </c>
    </row>
    <row r="328" spans="1:8" x14ac:dyDescent="0.25">
      <c r="A328" s="1">
        <f>export_calendar!AI330</f>
        <v>2034</v>
      </c>
      <c r="B328" s="1">
        <f>export_calendar!AJ330</f>
        <v>12</v>
      </c>
      <c r="C328" s="1">
        <f>export_calendar!AK330</f>
        <v>5</v>
      </c>
      <c r="D328" t="str">
        <f>export_calendar!AP330</f>
        <v>Sinterklaas</v>
      </c>
      <c r="E328" s="1">
        <f>export_calendar!AO330</f>
        <v>113</v>
      </c>
      <c r="F328">
        <f>MATCH(export_calendar!AL330,theme_boxes!C:C,0)-1</f>
        <v>12</v>
      </c>
      <c r="G328">
        <f>MATCH(export_calendar!AN330,light_patterns!B:B,0)-1</f>
        <v>6</v>
      </c>
      <c r="H328">
        <f>MATCH(export_calendar!AM330,light_colors!B:B,0)-1</f>
        <v>28</v>
      </c>
    </row>
    <row r="329" spans="1:8" x14ac:dyDescent="0.25">
      <c r="A329" s="1">
        <f>export_calendar!AI331</f>
        <v>2034</v>
      </c>
      <c r="B329" s="1">
        <f>export_calendar!AJ331</f>
        <v>12</v>
      </c>
      <c r="C329" s="1">
        <f>export_calendar!AK331</f>
        <v>13</v>
      </c>
      <c r="D329" t="str">
        <f>export_calendar!AP331</f>
        <v>Hartelijk gefeliciteerd,  lieve Marit</v>
      </c>
      <c r="E329" s="1">
        <f>export_calendar!AO331</f>
        <v>114</v>
      </c>
      <c r="F329">
        <f>MATCH(export_calendar!AL331,theme_boxes!C:C,0)-1</f>
        <v>15</v>
      </c>
      <c r="G329">
        <f>MATCH(export_calendar!AN331,light_patterns!B:B,0)-1</f>
        <v>3</v>
      </c>
      <c r="H329">
        <f>MATCH(export_calendar!AM331,light_colors!B:B,0)-1</f>
        <v>14</v>
      </c>
    </row>
    <row r="330" spans="1:8" x14ac:dyDescent="0.25">
      <c r="A330" s="1">
        <f>export_calendar!AI332</f>
        <v>2034</v>
      </c>
      <c r="B330" s="1">
        <f>export_calendar!AJ332</f>
        <v>12</v>
      </c>
      <c r="C330" s="1">
        <f>export_calendar!AK332</f>
        <v>25</v>
      </c>
      <c r="D330" t="str">
        <f>export_calendar!AP332</f>
        <v>Vrolijk Kerstfeest</v>
      </c>
      <c r="E330" s="1">
        <f>export_calendar!AO332</f>
        <v>95</v>
      </c>
      <c r="F330">
        <f>MATCH(export_calendar!AL332,theme_boxes!C:C,0)-1</f>
        <v>8</v>
      </c>
      <c r="G330">
        <f>MATCH(export_calendar!AN332,light_patterns!B:B,0)-1</f>
        <v>26</v>
      </c>
      <c r="H330">
        <f>MATCH(export_calendar!AM332,light_colors!B:B,0)-1</f>
        <v>30</v>
      </c>
    </row>
    <row r="331" spans="1:8" x14ac:dyDescent="0.25">
      <c r="A331" s="1">
        <f>export_calendar!AI333</f>
        <v>2034</v>
      </c>
      <c r="B331" s="1">
        <f>export_calendar!AJ333</f>
        <v>12</v>
      </c>
      <c r="C331" s="1">
        <f>export_calendar!AK333</f>
        <v>26</v>
      </c>
      <c r="D331" t="str">
        <f>export_calendar!AP333</f>
        <v>Tweede Kerstdag</v>
      </c>
      <c r="E331" s="1">
        <f>export_calendar!AO333</f>
        <v>108</v>
      </c>
      <c r="F331">
        <f>MATCH(export_calendar!AL333,theme_boxes!C:C,0)-1</f>
        <v>8</v>
      </c>
      <c r="G331">
        <f>MATCH(export_calendar!AN333,light_patterns!B:B,0)-1</f>
        <v>5</v>
      </c>
      <c r="H331">
        <f>MATCH(export_calendar!AM333,light_colors!B:B,0)-1</f>
        <v>20</v>
      </c>
    </row>
    <row r="332" spans="1:8" x14ac:dyDescent="0.25">
      <c r="A332" s="1">
        <f>export_calendar!AI334</f>
        <v>2034</v>
      </c>
      <c r="B332" s="1">
        <f>export_calendar!AJ334</f>
        <v>12</v>
      </c>
      <c r="C332" s="1">
        <f>export_calendar!AK334</f>
        <v>28</v>
      </c>
      <c r="D332" t="str">
        <f>export_calendar!AP334</f>
        <v>Onnozele Kinderen</v>
      </c>
      <c r="E332" s="1">
        <f>export_calendar!AO334</f>
        <v>77</v>
      </c>
      <c r="F332">
        <f>MATCH(export_calendar!AL334,theme_boxes!C:C,0)-1</f>
        <v>10</v>
      </c>
      <c r="G332">
        <f>MATCH(export_calendar!AN334,light_patterns!B:B,0)-1</f>
        <v>26</v>
      </c>
      <c r="H332">
        <f>MATCH(export_calendar!AM334,light_colors!B:B,0)-1</f>
        <v>35</v>
      </c>
    </row>
    <row r="333" spans="1:8" x14ac:dyDescent="0.25">
      <c r="A333" s="1">
        <f>export_calendar!AI335</f>
        <v>2035</v>
      </c>
      <c r="B333" s="1">
        <f>export_calendar!AJ335</f>
        <v>1</v>
      </c>
      <c r="C333" s="1">
        <f>export_calendar!AK335</f>
        <v>1</v>
      </c>
      <c r="D333" t="str">
        <f>export_calendar!AP335</f>
        <v>Gelukkig Nieuwjaar</v>
      </c>
      <c r="E333" s="1">
        <f>export_calendar!AO335</f>
        <v>77</v>
      </c>
      <c r="F333">
        <f>MATCH(export_calendar!AL335,theme_boxes!C:C,0)-1</f>
        <v>24</v>
      </c>
      <c r="G333">
        <f>MATCH(export_calendar!AN335,light_patterns!B:B,0)-1</f>
        <v>2</v>
      </c>
      <c r="H333">
        <f>MATCH(export_calendar!AM335,light_colors!B:B,0)-1</f>
        <v>40</v>
      </c>
    </row>
    <row r="334" spans="1:8" x14ac:dyDescent="0.25">
      <c r="A334" s="1">
        <f>export_calendar!AI336</f>
        <v>2035</v>
      </c>
      <c r="B334" s="1">
        <f>export_calendar!AJ336</f>
        <v>2</v>
      </c>
      <c r="C334" s="1">
        <f>export_calendar!AK336</f>
        <v>1</v>
      </c>
      <c r="D334" t="str">
        <f>export_calendar!AP336</f>
        <v>Eerste van de maand februari</v>
      </c>
      <c r="E334" s="1">
        <f>export_calendar!AO336</f>
        <v>249</v>
      </c>
      <c r="F334">
        <f>MATCH(export_calendar!AL336,theme_boxes!C:C,0)-1</f>
        <v>23</v>
      </c>
      <c r="G334">
        <f>MATCH(export_calendar!AN336,light_patterns!B:B,0)-1</f>
        <v>4</v>
      </c>
      <c r="H334">
        <f>MATCH(export_calendar!AM336,light_colors!B:B,0)-1</f>
        <v>7</v>
      </c>
    </row>
    <row r="335" spans="1:8" x14ac:dyDescent="0.25">
      <c r="A335" s="1">
        <f>export_calendar!AI337</f>
        <v>2035</v>
      </c>
      <c r="B335" s="1">
        <f>export_calendar!AJ337</f>
        <v>2</v>
      </c>
      <c r="C335" s="1">
        <f>export_calendar!AK337</f>
        <v>4</v>
      </c>
      <c r="D335" t="str">
        <f>export_calendar!AP337</f>
        <v>Carnaval, Keiebijters!!</v>
      </c>
      <c r="E335" s="1">
        <f>export_calendar!AO337</f>
        <v>85</v>
      </c>
      <c r="F335">
        <f>MATCH(export_calendar!AL337,theme_boxes!C:C,0)-1</f>
        <v>24</v>
      </c>
      <c r="G335">
        <f>MATCH(export_calendar!AN337,light_patterns!B:B,0)-1</f>
        <v>3</v>
      </c>
      <c r="H335">
        <f>MATCH(export_calendar!AM337,light_colors!B:B,0)-1</f>
        <v>7</v>
      </c>
    </row>
    <row r="336" spans="1:8" x14ac:dyDescent="0.25">
      <c r="A336" s="1">
        <f>export_calendar!AI338</f>
        <v>2035</v>
      </c>
      <c r="B336" s="1">
        <f>export_calendar!AJ338</f>
        <v>2</v>
      </c>
      <c r="C336" s="1">
        <f>export_calendar!AK338</f>
        <v>4</v>
      </c>
      <c r="D336" t="str">
        <f>export_calendar!AP338</f>
        <v>Carnaval, Alaaf!!</v>
      </c>
      <c r="E336" s="1">
        <f>export_calendar!AO338</f>
        <v>94</v>
      </c>
      <c r="F336">
        <f>MATCH(export_calendar!AL338,theme_boxes!C:C,0)-1</f>
        <v>24</v>
      </c>
      <c r="G336">
        <f>MATCH(export_calendar!AN338,light_patterns!B:B,0)-1</f>
        <v>3</v>
      </c>
      <c r="H336">
        <f>MATCH(export_calendar!AM338,light_colors!B:B,0)-1</f>
        <v>7</v>
      </c>
    </row>
    <row r="337" spans="1:8" x14ac:dyDescent="0.25">
      <c r="A337" s="1">
        <f>export_calendar!AI339</f>
        <v>2035</v>
      </c>
      <c r="B337" s="1">
        <f>export_calendar!AJ339</f>
        <v>2</v>
      </c>
      <c r="C337" s="1">
        <f>export_calendar!AK339</f>
        <v>5</v>
      </c>
      <c r="D337" t="str">
        <f>export_calendar!AP339</f>
        <v>RosenMoontach, Agge mar leut heht</v>
      </c>
      <c r="E337" s="1">
        <f>export_calendar!AO339</f>
        <v>115</v>
      </c>
      <c r="F337">
        <f>MATCH(export_calendar!AL339,theme_boxes!C:C,0)-1</f>
        <v>24</v>
      </c>
      <c r="G337">
        <f>MATCH(export_calendar!AN339,light_patterns!B:B,0)-1</f>
        <v>3</v>
      </c>
      <c r="H337">
        <f>MATCH(export_calendar!AM339,light_colors!B:B,0)-1</f>
        <v>7</v>
      </c>
    </row>
    <row r="338" spans="1:8" x14ac:dyDescent="0.25">
      <c r="A338" s="1">
        <f>export_calendar!AI340</f>
        <v>2035</v>
      </c>
      <c r="B338" s="1">
        <f>export_calendar!AJ340</f>
        <v>2</v>
      </c>
      <c r="C338" s="1">
        <f>export_calendar!AK340</f>
        <v>7</v>
      </c>
      <c r="D338" t="str">
        <f>export_calendar!AP340</f>
        <v>Aswoensdag ,  - het is  uit met de carnavalspret</v>
      </c>
      <c r="E338" s="1">
        <f>export_calendar!AO340</f>
        <v>177</v>
      </c>
      <c r="F338">
        <f>MATCH(export_calendar!AL340,theme_boxes!C:C,0)-1</f>
        <v>21</v>
      </c>
      <c r="G338">
        <f>MATCH(export_calendar!AN340,light_patterns!B:B,0)-1</f>
        <v>5</v>
      </c>
      <c r="H338">
        <f>MATCH(export_calendar!AM340,light_colors!B:B,0)-1</f>
        <v>21</v>
      </c>
    </row>
    <row r="339" spans="1:8" x14ac:dyDescent="0.25">
      <c r="A339" s="1">
        <f>export_calendar!AI341</f>
        <v>2035</v>
      </c>
      <c r="B339" s="1">
        <f>export_calendar!AJ341</f>
        <v>2</v>
      </c>
      <c r="C339" s="1">
        <f>export_calendar!AK341</f>
        <v>14</v>
      </c>
      <c r="D339" t="str">
        <f>export_calendar!AP341</f>
        <v>Valentijns en verlovingsdag</v>
      </c>
      <c r="E339" s="1">
        <f>export_calendar!AO341</f>
        <v>70</v>
      </c>
      <c r="F339">
        <f>MATCH(export_calendar!AL341,theme_boxes!C:C,0)-1</f>
        <v>24</v>
      </c>
      <c r="G339">
        <f>MATCH(export_calendar!AN341,light_patterns!B:B,0)-1</f>
        <v>6</v>
      </c>
      <c r="H339">
        <f>MATCH(export_calendar!AM341,light_colors!B:B,0)-1</f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13B-B608-4A6B-A7BC-00E12649E538}">
  <sheetPr codeName="Sheet4"/>
  <dimension ref="A1:A1588"/>
  <sheetViews>
    <sheetView topLeftCell="A109" workbookViewId="0">
      <selection sqref="A1:A1591"/>
    </sheetView>
  </sheetViews>
  <sheetFormatPr defaultRowHeight="15" x14ac:dyDescent="0.25"/>
  <sheetData>
    <row r="1" spans="1:1" x14ac:dyDescent="0.25">
      <c r="A1" t="s">
        <v>266</v>
      </c>
    </row>
    <row r="2" spans="1:1" x14ac:dyDescent="0.25">
      <c r="A2" t="s">
        <v>267</v>
      </c>
    </row>
    <row r="3" spans="1:1" x14ac:dyDescent="0.25">
      <c r="A3" t="s">
        <v>268</v>
      </c>
    </row>
    <row r="4" spans="1:1" x14ac:dyDescent="0.25">
      <c r="A4" t="s">
        <v>269</v>
      </c>
    </row>
    <row r="5" spans="1:1" x14ac:dyDescent="0.25">
      <c r="A5" t="s">
        <v>270</v>
      </c>
    </row>
    <row r="6" spans="1:1" x14ac:dyDescent="0.25">
      <c r="A6" t="s">
        <v>269</v>
      </c>
    </row>
    <row r="7" spans="1:1" x14ac:dyDescent="0.25">
      <c r="A7" t="s">
        <v>271</v>
      </c>
    </row>
    <row r="8" spans="1:1" x14ac:dyDescent="0.25">
      <c r="A8" t="s">
        <v>272</v>
      </c>
    </row>
    <row r="9" spans="1:1" x14ac:dyDescent="0.25">
      <c r="A9" t="s">
        <v>269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269</v>
      </c>
    </row>
    <row r="15" spans="1:1" x14ac:dyDescent="0.25">
      <c r="A15" t="s">
        <v>277</v>
      </c>
    </row>
    <row r="16" spans="1:1" x14ac:dyDescent="0.25">
      <c r="A16" t="s">
        <v>278</v>
      </c>
    </row>
    <row r="17" spans="1:1" x14ac:dyDescent="0.25">
      <c r="A17" t="s">
        <v>269</v>
      </c>
    </row>
    <row r="18" spans="1:1" x14ac:dyDescent="0.25">
      <c r="A18" t="s">
        <v>279</v>
      </c>
    </row>
    <row r="19" spans="1:1" x14ac:dyDescent="0.25">
      <c r="A19" t="s">
        <v>269</v>
      </c>
    </row>
    <row r="20" spans="1:1" x14ac:dyDescent="0.25">
      <c r="A20" t="s">
        <v>280</v>
      </c>
    </row>
    <row r="21" spans="1:1" x14ac:dyDescent="0.25">
      <c r="A21" t="s">
        <v>281</v>
      </c>
    </row>
    <row r="22" spans="1:1" x14ac:dyDescent="0.25">
      <c r="A22" t="s">
        <v>269</v>
      </c>
    </row>
    <row r="23" spans="1:1" x14ac:dyDescent="0.25">
      <c r="A23" t="s">
        <v>282</v>
      </c>
    </row>
    <row r="24" spans="1:1" x14ac:dyDescent="0.25">
      <c r="A24" t="s">
        <v>283</v>
      </c>
    </row>
    <row r="25" spans="1:1" x14ac:dyDescent="0.25">
      <c r="A25" t="s">
        <v>284</v>
      </c>
    </row>
    <row r="26" spans="1:1" x14ac:dyDescent="0.25">
      <c r="A26" t="s">
        <v>285</v>
      </c>
    </row>
    <row r="27" spans="1:1" x14ac:dyDescent="0.25">
      <c r="A27" t="s">
        <v>286</v>
      </c>
    </row>
    <row r="28" spans="1:1" x14ac:dyDescent="0.25">
      <c r="A28" t="s">
        <v>287</v>
      </c>
    </row>
    <row r="29" spans="1:1" x14ac:dyDescent="0.25">
      <c r="A29" t="s">
        <v>288</v>
      </c>
    </row>
    <row r="30" spans="1:1" x14ac:dyDescent="0.25">
      <c r="A30" t="s">
        <v>289</v>
      </c>
    </row>
    <row r="31" spans="1:1" x14ac:dyDescent="0.25">
      <c r="A31" t="s">
        <v>290</v>
      </c>
    </row>
    <row r="32" spans="1:1" x14ac:dyDescent="0.25">
      <c r="A32" t="s">
        <v>291</v>
      </c>
    </row>
    <row r="33" spans="1:1" x14ac:dyDescent="0.25">
      <c r="A33" t="s">
        <v>269</v>
      </c>
    </row>
    <row r="34" spans="1:1" x14ac:dyDescent="0.25">
      <c r="A34" t="s">
        <v>292</v>
      </c>
    </row>
    <row r="35" spans="1:1" x14ac:dyDescent="0.25">
      <c r="A35" t="s">
        <v>293</v>
      </c>
    </row>
    <row r="36" spans="1:1" x14ac:dyDescent="0.25">
      <c r="A36" t="s">
        <v>294</v>
      </c>
    </row>
    <row r="37" spans="1:1" x14ac:dyDescent="0.25">
      <c r="A37" t="s">
        <v>295</v>
      </c>
    </row>
    <row r="38" spans="1:1" x14ac:dyDescent="0.25">
      <c r="A38" t="s">
        <v>296</v>
      </c>
    </row>
    <row r="39" spans="1:1" x14ac:dyDescent="0.25">
      <c r="A39" t="s">
        <v>297</v>
      </c>
    </row>
    <row r="40" spans="1:1" x14ac:dyDescent="0.25">
      <c r="A40" t="s">
        <v>298</v>
      </c>
    </row>
    <row r="41" spans="1:1" x14ac:dyDescent="0.25">
      <c r="A41" t="s">
        <v>299</v>
      </c>
    </row>
    <row r="42" spans="1:1" x14ac:dyDescent="0.25">
      <c r="A42" t="s">
        <v>300</v>
      </c>
    </row>
    <row r="43" spans="1:1" x14ac:dyDescent="0.25">
      <c r="A43" t="s">
        <v>301</v>
      </c>
    </row>
    <row r="44" spans="1:1" x14ac:dyDescent="0.25">
      <c r="A44" t="s">
        <v>302</v>
      </c>
    </row>
    <row r="45" spans="1:1" x14ac:dyDescent="0.25">
      <c r="A45" t="s">
        <v>303</v>
      </c>
    </row>
    <row r="47" spans="1:1" x14ac:dyDescent="0.25">
      <c r="A47" t="s">
        <v>304</v>
      </c>
    </row>
    <row r="48" spans="1:1" x14ac:dyDescent="0.25">
      <c r="A48" t="s">
        <v>305</v>
      </c>
    </row>
    <row r="50" spans="1:1" x14ac:dyDescent="0.25">
      <c r="A50" t="s">
        <v>306</v>
      </c>
    </row>
    <row r="52" spans="1:1" x14ac:dyDescent="0.25">
      <c r="A52" t="s">
        <v>307</v>
      </c>
    </row>
    <row r="53" spans="1:1" x14ac:dyDescent="0.25">
      <c r="A53" t="s">
        <v>308</v>
      </c>
    </row>
    <row r="54" spans="1:1" x14ac:dyDescent="0.25">
      <c r="A54" t="s">
        <v>309</v>
      </c>
    </row>
    <row r="55" spans="1:1" x14ac:dyDescent="0.25">
      <c r="A55" t="s">
        <v>310</v>
      </c>
    </row>
    <row r="56" spans="1:1" x14ac:dyDescent="0.25">
      <c r="A56" t="s">
        <v>311</v>
      </c>
    </row>
    <row r="57" spans="1:1" x14ac:dyDescent="0.25">
      <c r="A57" t="s">
        <v>312</v>
      </c>
    </row>
    <row r="58" spans="1:1" x14ac:dyDescent="0.25">
      <c r="A58" t="s">
        <v>313</v>
      </c>
    </row>
    <row r="59" spans="1:1" x14ac:dyDescent="0.25">
      <c r="A59" t="s">
        <v>314</v>
      </c>
    </row>
    <row r="60" spans="1:1" x14ac:dyDescent="0.25">
      <c r="A60" t="s">
        <v>311</v>
      </c>
    </row>
    <row r="62" spans="1:1" x14ac:dyDescent="0.25">
      <c r="A62" t="s">
        <v>315</v>
      </c>
    </row>
    <row r="64" spans="1:1" x14ac:dyDescent="0.25">
      <c r="A64" t="s">
        <v>316</v>
      </c>
    </row>
    <row r="65" spans="1:1" x14ac:dyDescent="0.25">
      <c r="A65" t="s">
        <v>317</v>
      </c>
    </row>
    <row r="66" spans="1:1" x14ac:dyDescent="0.25">
      <c r="A66" t="s">
        <v>318</v>
      </c>
    </row>
    <row r="67" spans="1:1" x14ac:dyDescent="0.25">
      <c r="A67" t="s">
        <v>319</v>
      </c>
    </row>
    <row r="68" spans="1:1" x14ac:dyDescent="0.25">
      <c r="A68" t="s">
        <v>320</v>
      </c>
    </row>
    <row r="69" spans="1:1" x14ac:dyDescent="0.25">
      <c r="A69" t="s">
        <v>321</v>
      </c>
    </row>
    <row r="70" spans="1:1" x14ac:dyDescent="0.25">
      <c r="A70" t="s">
        <v>322</v>
      </c>
    </row>
    <row r="71" spans="1:1" x14ac:dyDescent="0.25">
      <c r="A71" t="s">
        <v>323</v>
      </c>
    </row>
    <row r="72" spans="1:1" x14ac:dyDescent="0.25">
      <c r="A72" t="s">
        <v>320</v>
      </c>
    </row>
    <row r="74" spans="1:1" x14ac:dyDescent="0.25">
      <c r="A74" t="s">
        <v>324</v>
      </c>
    </row>
    <row r="76" spans="1:1" x14ac:dyDescent="0.25">
      <c r="A76" t="s">
        <v>325</v>
      </c>
    </row>
    <row r="78" spans="1:1" x14ac:dyDescent="0.25">
      <c r="A78" t="s">
        <v>326</v>
      </c>
    </row>
    <row r="79" spans="1:1" x14ac:dyDescent="0.25">
      <c r="A79" t="s">
        <v>327</v>
      </c>
    </row>
    <row r="80" spans="1:1" x14ac:dyDescent="0.25">
      <c r="A80" t="s">
        <v>328</v>
      </c>
    </row>
    <row r="81" spans="1:1" x14ac:dyDescent="0.25">
      <c r="A81" t="s">
        <v>329</v>
      </c>
    </row>
    <row r="82" spans="1:1" x14ac:dyDescent="0.25">
      <c r="A82" t="s">
        <v>330</v>
      </c>
    </row>
    <row r="83" spans="1:1" x14ac:dyDescent="0.25">
      <c r="A83" t="s">
        <v>331</v>
      </c>
    </row>
    <row r="84" spans="1:1" x14ac:dyDescent="0.25">
      <c r="A84" t="s">
        <v>332</v>
      </c>
    </row>
    <row r="85" spans="1:1" x14ac:dyDescent="0.25">
      <c r="A85" t="s">
        <v>333</v>
      </c>
    </row>
    <row r="86" spans="1:1" x14ac:dyDescent="0.25">
      <c r="A86" t="s">
        <v>334</v>
      </c>
    </row>
    <row r="88" spans="1:1" x14ac:dyDescent="0.25">
      <c r="A88" t="s">
        <v>315</v>
      </c>
    </row>
    <row r="90" spans="1:1" x14ac:dyDescent="0.25">
      <c r="A90" t="s">
        <v>335</v>
      </c>
    </row>
    <row r="91" spans="1:1" x14ac:dyDescent="0.25">
      <c r="A91" t="s">
        <v>330</v>
      </c>
    </row>
    <row r="92" spans="1:1" x14ac:dyDescent="0.25">
      <c r="A92" t="s">
        <v>336</v>
      </c>
    </row>
    <row r="93" spans="1:1" x14ac:dyDescent="0.25">
      <c r="A93" t="s">
        <v>332</v>
      </c>
    </row>
    <row r="94" spans="1:1" x14ac:dyDescent="0.25">
      <c r="A94" t="s">
        <v>337</v>
      </c>
    </row>
    <row r="95" spans="1:1" x14ac:dyDescent="0.25">
      <c r="A95" t="s">
        <v>334</v>
      </c>
    </row>
    <row r="97" spans="1:1" x14ac:dyDescent="0.25">
      <c r="A97" t="s">
        <v>324</v>
      </c>
    </row>
    <row r="99" spans="1:1" x14ac:dyDescent="0.25">
      <c r="A99" t="s">
        <v>305</v>
      </c>
    </row>
    <row r="101" spans="1:1" x14ac:dyDescent="0.25">
      <c r="A101" t="s">
        <v>306</v>
      </c>
    </row>
    <row r="102" spans="1:1" x14ac:dyDescent="0.25">
      <c r="A102" t="s">
        <v>338</v>
      </c>
    </row>
    <row r="103" spans="1:1" x14ac:dyDescent="0.25">
      <c r="A103" t="s">
        <v>339</v>
      </c>
    </row>
    <row r="104" spans="1:1" x14ac:dyDescent="0.25">
      <c r="A104" t="s">
        <v>340</v>
      </c>
    </row>
    <row r="105" spans="1:1" x14ac:dyDescent="0.25">
      <c r="A105" t="s">
        <v>341</v>
      </c>
    </row>
    <row r="107" spans="1:1" x14ac:dyDescent="0.25">
      <c r="A107" t="s">
        <v>315</v>
      </c>
    </row>
    <row r="109" spans="1:1" x14ac:dyDescent="0.25">
      <c r="A109" t="s">
        <v>338</v>
      </c>
    </row>
    <row r="110" spans="1:1" x14ac:dyDescent="0.25">
      <c r="A110" t="s">
        <v>339</v>
      </c>
    </row>
    <row r="111" spans="1:1" x14ac:dyDescent="0.25">
      <c r="A111" t="s">
        <v>342</v>
      </c>
    </row>
    <row r="112" spans="1:1" x14ac:dyDescent="0.25">
      <c r="A112" t="s">
        <v>341</v>
      </c>
    </row>
    <row r="114" spans="1:1" x14ac:dyDescent="0.25">
      <c r="A114" t="s">
        <v>324</v>
      </c>
    </row>
    <row r="116" spans="1:1" x14ac:dyDescent="0.25">
      <c r="A116" t="s">
        <v>315</v>
      </c>
    </row>
    <row r="118" spans="1:1" x14ac:dyDescent="0.25">
      <c r="A118" t="s">
        <v>343</v>
      </c>
    </row>
    <row r="119" spans="1:1" x14ac:dyDescent="0.25">
      <c r="A119" t="s">
        <v>344</v>
      </c>
    </row>
    <row r="120" spans="1:1" x14ac:dyDescent="0.25">
      <c r="A120" t="s">
        <v>345</v>
      </c>
    </row>
    <row r="121" spans="1:1" x14ac:dyDescent="0.25">
      <c r="A121" t="s">
        <v>346</v>
      </c>
    </row>
    <row r="122" spans="1:1" x14ac:dyDescent="0.25">
      <c r="A122" t="s">
        <v>347</v>
      </c>
    </row>
    <row r="123" spans="1:1" x14ac:dyDescent="0.25">
      <c r="A123" t="s">
        <v>348</v>
      </c>
    </row>
    <row r="124" spans="1:1" x14ac:dyDescent="0.25">
      <c r="A124" t="s">
        <v>349</v>
      </c>
    </row>
    <row r="125" spans="1:1" x14ac:dyDescent="0.25">
      <c r="A125" t="s">
        <v>350</v>
      </c>
    </row>
    <row r="126" spans="1:1" x14ac:dyDescent="0.25">
      <c r="A126" t="s">
        <v>351</v>
      </c>
    </row>
    <row r="127" spans="1:1" x14ac:dyDescent="0.25">
      <c r="A127" t="s">
        <v>341</v>
      </c>
    </row>
    <row r="129" spans="1:1" x14ac:dyDescent="0.25">
      <c r="A129" t="s">
        <v>352</v>
      </c>
    </row>
    <row r="130" spans="1:1" x14ac:dyDescent="0.25">
      <c r="A130" t="s">
        <v>353</v>
      </c>
    </row>
    <row r="131" spans="1:1" x14ac:dyDescent="0.25">
      <c r="A131" t="s">
        <v>354</v>
      </c>
    </row>
    <row r="132" spans="1:1" x14ac:dyDescent="0.25">
      <c r="A132" t="s">
        <v>355</v>
      </c>
    </row>
    <row r="133" spans="1:1" x14ac:dyDescent="0.25">
      <c r="A133" t="s">
        <v>356</v>
      </c>
    </row>
    <row r="134" spans="1:1" x14ac:dyDescent="0.25">
      <c r="A134" t="s">
        <v>357</v>
      </c>
    </row>
    <row r="135" spans="1:1" x14ac:dyDescent="0.25">
      <c r="A135" t="s">
        <v>358</v>
      </c>
    </row>
    <row r="136" spans="1:1" x14ac:dyDescent="0.25">
      <c r="A136" t="s">
        <v>359</v>
      </c>
    </row>
    <row r="137" spans="1:1" x14ac:dyDescent="0.25">
      <c r="A137" t="s">
        <v>341</v>
      </c>
    </row>
    <row r="139" spans="1:1" x14ac:dyDescent="0.25">
      <c r="A139" t="s">
        <v>324</v>
      </c>
    </row>
    <row r="140" spans="1:1" x14ac:dyDescent="0.25">
      <c r="A140" t="s">
        <v>360</v>
      </c>
    </row>
    <row r="142" spans="1:1" x14ac:dyDescent="0.25">
      <c r="A142" t="s">
        <v>361</v>
      </c>
    </row>
    <row r="143" spans="1:1" x14ac:dyDescent="0.25">
      <c r="A143" t="s">
        <v>362</v>
      </c>
    </row>
    <row r="144" spans="1:1" x14ac:dyDescent="0.25">
      <c r="A144" t="s">
        <v>363</v>
      </c>
    </row>
    <row r="145" spans="1:1" x14ac:dyDescent="0.25">
      <c r="A145" t="s">
        <v>364</v>
      </c>
    </row>
    <row r="146" spans="1:1" x14ac:dyDescent="0.25">
      <c r="A146" t="s">
        <v>365</v>
      </c>
    </row>
    <row r="147" spans="1:1" x14ac:dyDescent="0.25">
      <c r="A147" t="s">
        <v>366</v>
      </c>
    </row>
    <row r="148" spans="1:1" x14ac:dyDescent="0.25">
      <c r="A148" t="s">
        <v>367</v>
      </c>
    </row>
    <row r="149" spans="1:1" x14ac:dyDescent="0.25">
      <c r="A149" t="s">
        <v>368</v>
      </c>
    </row>
    <row r="151" spans="1:1" x14ac:dyDescent="0.25">
      <c r="A151" t="s">
        <v>369</v>
      </c>
    </row>
    <row r="152" spans="1:1" x14ac:dyDescent="0.25">
      <c r="A152" t="s">
        <v>370</v>
      </c>
    </row>
    <row r="154" spans="1:1" x14ac:dyDescent="0.25">
      <c r="A154" t="s">
        <v>371</v>
      </c>
    </row>
    <row r="155" spans="1:1" x14ac:dyDescent="0.25">
      <c r="A155" t="s">
        <v>372</v>
      </c>
    </row>
    <row r="156" spans="1:1" x14ac:dyDescent="0.25">
      <c r="A156" t="s">
        <v>341</v>
      </c>
    </row>
    <row r="157" spans="1:1" x14ac:dyDescent="0.25">
      <c r="A157" t="s">
        <v>373</v>
      </c>
    </row>
    <row r="159" spans="1:1" x14ac:dyDescent="0.25">
      <c r="A159" t="s">
        <v>374</v>
      </c>
    </row>
    <row r="160" spans="1:1" x14ac:dyDescent="0.25">
      <c r="A160" t="s">
        <v>375</v>
      </c>
    </row>
    <row r="161" spans="1:1" x14ac:dyDescent="0.25">
      <c r="A161" t="s">
        <v>374</v>
      </c>
    </row>
    <row r="163" spans="1:1" x14ac:dyDescent="0.25">
      <c r="A163" t="s">
        <v>266</v>
      </c>
    </row>
    <row r="164" spans="1:1" x14ac:dyDescent="0.25">
      <c r="A164" t="s">
        <v>376</v>
      </c>
    </row>
    <row r="165" spans="1:1" x14ac:dyDescent="0.25">
      <c r="A165" t="s">
        <v>269</v>
      </c>
    </row>
    <row r="166" spans="1:1" x14ac:dyDescent="0.25">
      <c r="A166" t="s">
        <v>377</v>
      </c>
    </row>
    <row r="167" spans="1:1" x14ac:dyDescent="0.25">
      <c r="A167" t="s">
        <v>378</v>
      </c>
    </row>
    <row r="168" spans="1:1" x14ac:dyDescent="0.25">
      <c r="A168" t="s">
        <v>379</v>
      </c>
    </row>
    <row r="169" spans="1:1" x14ac:dyDescent="0.25">
      <c r="A169" t="s">
        <v>380</v>
      </c>
    </row>
    <row r="170" spans="1:1" x14ac:dyDescent="0.25">
      <c r="A170" t="s">
        <v>266</v>
      </c>
    </row>
    <row r="171" spans="1:1" x14ac:dyDescent="0.25">
      <c r="A171" t="s">
        <v>381</v>
      </c>
    </row>
    <row r="172" spans="1:1" x14ac:dyDescent="0.25">
      <c r="A172" t="s">
        <v>382</v>
      </c>
    </row>
    <row r="173" spans="1:1" x14ac:dyDescent="0.25">
      <c r="A173" t="s">
        <v>383</v>
      </c>
    </row>
    <row r="175" spans="1:1" x14ac:dyDescent="0.25">
      <c r="A175" t="s">
        <v>384</v>
      </c>
    </row>
    <row r="176" spans="1:1" x14ac:dyDescent="0.25">
      <c r="A176" t="s">
        <v>385</v>
      </c>
    </row>
    <row r="178" spans="1:1" x14ac:dyDescent="0.25">
      <c r="A178" t="s">
        <v>386</v>
      </c>
    </row>
    <row r="179" spans="1:1" x14ac:dyDescent="0.25">
      <c r="A179" t="s">
        <v>387</v>
      </c>
    </row>
    <row r="180" spans="1:1" x14ac:dyDescent="0.25">
      <c r="A180" t="s">
        <v>388</v>
      </c>
    </row>
    <row r="181" spans="1:1" x14ac:dyDescent="0.25">
      <c r="A181" t="s">
        <v>389</v>
      </c>
    </row>
    <row r="182" spans="1:1" x14ac:dyDescent="0.25">
      <c r="A182" t="s">
        <v>390</v>
      </c>
    </row>
    <row r="183" spans="1:1" x14ac:dyDescent="0.25">
      <c r="A183" t="s">
        <v>391</v>
      </c>
    </row>
    <row r="184" spans="1:1" x14ac:dyDescent="0.25">
      <c r="A184" t="s">
        <v>392</v>
      </c>
    </row>
    <row r="185" spans="1:1" x14ac:dyDescent="0.25">
      <c r="A185" t="s">
        <v>393</v>
      </c>
    </row>
    <row r="186" spans="1:1" x14ac:dyDescent="0.25">
      <c r="A186" t="s">
        <v>394</v>
      </c>
    </row>
    <row r="187" spans="1:1" x14ac:dyDescent="0.25">
      <c r="A187" t="s">
        <v>395</v>
      </c>
    </row>
    <row r="188" spans="1:1" x14ac:dyDescent="0.25">
      <c r="A188" t="s">
        <v>396</v>
      </c>
    </row>
    <row r="190" spans="1:1" x14ac:dyDescent="0.25">
      <c r="A190" t="s">
        <v>266</v>
      </c>
    </row>
    <row r="191" spans="1:1" x14ac:dyDescent="0.25">
      <c r="A191" t="s">
        <v>397</v>
      </c>
    </row>
    <row r="192" spans="1:1" x14ac:dyDescent="0.25">
      <c r="A192" t="s">
        <v>269</v>
      </c>
    </row>
    <row r="193" spans="1:1" x14ac:dyDescent="0.25">
      <c r="A193" t="s">
        <v>398</v>
      </c>
    </row>
    <row r="194" spans="1:1" x14ac:dyDescent="0.25">
      <c r="A194" t="s">
        <v>399</v>
      </c>
    </row>
    <row r="195" spans="1:1" x14ac:dyDescent="0.25">
      <c r="A195" t="s">
        <v>400</v>
      </c>
    </row>
    <row r="196" spans="1:1" x14ac:dyDescent="0.25">
      <c r="A196" t="s">
        <v>401</v>
      </c>
    </row>
    <row r="197" spans="1:1" x14ac:dyDescent="0.25">
      <c r="A197" t="s">
        <v>266</v>
      </c>
    </row>
    <row r="198" spans="1:1" x14ac:dyDescent="0.25">
      <c r="A198" t="s">
        <v>402</v>
      </c>
    </row>
    <row r="199" spans="1:1" x14ac:dyDescent="0.25">
      <c r="A199" t="s">
        <v>403</v>
      </c>
    </row>
    <row r="200" spans="1:1" x14ac:dyDescent="0.25">
      <c r="A200" t="s">
        <v>404</v>
      </c>
    </row>
    <row r="201" spans="1:1" x14ac:dyDescent="0.25">
      <c r="A201" t="s">
        <v>405</v>
      </c>
    </row>
    <row r="202" spans="1:1" x14ac:dyDescent="0.25">
      <c r="A202" t="s">
        <v>382</v>
      </c>
    </row>
    <row r="203" spans="1:1" x14ac:dyDescent="0.25">
      <c r="A203" t="s">
        <v>406</v>
      </c>
    </row>
    <row r="204" spans="1:1" x14ac:dyDescent="0.25">
      <c r="A204" t="s">
        <v>407</v>
      </c>
    </row>
    <row r="205" spans="1:1" x14ac:dyDescent="0.25">
      <c r="A205" t="s">
        <v>408</v>
      </c>
    </row>
    <row r="206" spans="1:1" x14ac:dyDescent="0.25">
      <c r="A206" t="s">
        <v>409</v>
      </c>
    </row>
    <row r="207" spans="1:1" x14ac:dyDescent="0.25">
      <c r="A207" t="s">
        <v>410</v>
      </c>
    </row>
    <row r="208" spans="1:1" x14ac:dyDescent="0.25">
      <c r="A208" t="s">
        <v>411</v>
      </c>
    </row>
    <row r="209" spans="1:1" x14ac:dyDescent="0.25">
      <c r="A209" t="s">
        <v>412</v>
      </c>
    </row>
    <row r="210" spans="1:1" x14ac:dyDescent="0.25">
      <c r="A210" t="s">
        <v>413</v>
      </c>
    </row>
    <row r="211" spans="1:1" x14ac:dyDescent="0.25">
      <c r="A211" t="s">
        <v>414</v>
      </c>
    </row>
    <row r="212" spans="1:1" x14ac:dyDescent="0.25">
      <c r="A212" t="s">
        <v>415</v>
      </c>
    </row>
    <row r="213" spans="1:1" x14ac:dyDescent="0.25">
      <c r="A213" t="s">
        <v>416</v>
      </c>
    </row>
    <row r="214" spans="1:1" x14ac:dyDescent="0.25">
      <c r="A214" t="s">
        <v>417</v>
      </c>
    </row>
    <row r="215" spans="1:1" x14ac:dyDescent="0.25">
      <c r="A215" t="s">
        <v>418</v>
      </c>
    </row>
    <row r="216" spans="1:1" x14ac:dyDescent="0.25">
      <c r="A216" t="s">
        <v>419</v>
      </c>
    </row>
    <row r="217" spans="1:1" x14ac:dyDescent="0.25">
      <c r="A217" t="s">
        <v>420</v>
      </c>
    </row>
    <row r="219" spans="1:1" x14ac:dyDescent="0.25">
      <c r="A219" t="s">
        <v>421</v>
      </c>
    </row>
    <row r="220" spans="1:1" x14ac:dyDescent="0.25">
      <c r="A220" t="s">
        <v>422</v>
      </c>
    </row>
    <row r="221" spans="1:1" x14ac:dyDescent="0.25">
      <c r="A221" t="s">
        <v>423</v>
      </c>
    </row>
    <row r="222" spans="1:1" x14ac:dyDescent="0.25">
      <c r="A222" t="s">
        <v>424</v>
      </c>
    </row>
    <row r="223" spans="1:1" x14ac:dyDescent="0.25">
      <c r="A223" t="s">
        <v>425</v>
      </c>
    </row>
    <row r="224" spans="1:1" x14ac:dyDescent="0.25">
      <c r="A224" t="s">
        <v>426</v>
      </c>
    </row>
    <row r="225" spans="1:1" x14ac:dyDescent="0.25">
      <c r="A225" t="s">
        <v>427</v>
      </c>
    </row>
    <row r="227" spans="1:1" x14ac:dyDescent="0.25">
      <c r="A227" t="s">
        <v>428</v>
      </c>
    </row>
    <row r="228" spans="1:1" x14ac:dyDescent="0.25">
      <c r="A228" t="s">
        <v>429</v>
      </c>
    </row>
    <row r="229" spans="1:1" x14ac:dyDescent="0.25">
      <c r="A229" t="s">
        <v>430</v>
      </c>
    </row>
    <row r="230" spans="1:1" x14ac:dyDescent="0.25">
      <c r="A230" t="s">
        <v>431</v>
      </c>
    </row>
    <row r="231" spans="1:1" x14ac:dyDescent="0.25">
      <c r="A231" t="s">
        <v>432</v>
      </c>
    </row>
    <row r="232" spans="1:1" x14ac:dyDescent="0.25">
      <c r="A232" t="s">
        <v>433</v>
      </c>
    </row>
    <row r="234" spans="1:1" x14ac:dyDescent="0.25">
      <c r="A234" t="s">
        <v>434</v>
      </c>
    </row>
    <row r="235" spans="1:1" x14ac:dyDescent="0.25">
      <c r="A235" t="s">
        <v>435</v>
      </c>
    </row>
    <row r="236" spans="1:1" x14ac:dyDescent="0.25">
      <c r="A236" t="s">
        <v>436</v>
      </c>
    </row>
    <row r="237" spans="1:1" x14ac:dyDescent="0.25">
      <c r="A237" t="s">
        <v>437</v>
      </c>
    </row>
    <row r="238" spans="1:1" x14ac:dyDescent="0.25">
      <c r="A238" t="s">
        <v>438</v>
      </c>
    </row>
    <row r="239" spans="1:1" x14ac:dyDescent="0.25">
      <c r="A239" t="s">
        <v>439</v>
      </c>
    </row>
    <row r="240" spans="1:1" x14ac:dyDescent="0.25">
      <c r="A240" t="s">
        <v>440</v>
      </c>
    </row>
    <row r="241" spans="1:1" x14ac:dyDescent="0.25">
      <c r="A241" t="s">
        <v>441</v>
      </c>
    </row>
    <row r="242" spans="1:1" x14ac:dyDescent="0.25">
      <c r="A242" t="s">
        <v>442</v>
      </c>
    </row>
    <row r="243" spans="1:1" x14ac:dyDescent="0.25">
      <c r="A243" t="s">
        <v>443</v>
      </c>
    </row>
    <row r="244" spans="1:1" x14ac:dyDescent="0.25">
      <c r="A244" t="s">
        <v>444</v>
      </c>
    </row>
    <row r="245" spans="1:1" x14ac:dyDescent="0.25">
      <c r="A245" t="s">
        <v>439</v>
      </c>
    </row>
    <row r="246" spans="1:1" x14ac:dyDescent="0.25">
      <c r="A246" t="s">
        <v>445</v>
      </c>
    </row>
    <row r="247" spans="1:1" x14ac:dyDescent="0.25">
      <c r="A247" t="s">
        <v>441</v>
      </c>
    </row>
    <row r="248" spans="1:1" x14ac:dyDescent="0.25">
      <c r="A248" t="s">
        <v>446</v>
      </c>
    </row>
    <row r="249" spans="1:1" x14ac:dyDescent="0.25">
      <c r="A249" t="s">
        <v>447</v>
      </c>
    </row>
    <row r="250" spans="1:1" x14ac:dyDescent="0.25">
      <c r="A250" t="s">
        <v>448</v>
      </c>
    </row>
    <row r="251" spans="1:1" x14ac:dyDescent="0.25">
      <c r="A251" t="s">
        <v>449</v>
      </c>
    </row>
    <row r="252" spans="1:1" x14ac:dyDescent="0.25">
      <c r="A252" t="s">
        <v>450</v>
      </c>
    </row>
    <row r="253" spans="1:1" x14ac:dyDescent="0.25">
      <c r="A253" t="s">
        <v>451</v>
      </c>
    </row>
    <row r="254" spans="1:1" x14ac:dyDescent="0.25">
      <c r="A254" t="s">
        <v>452</v>
      </c>
    </row>
    <row r="255" spans="1:1" x14ac:dyDescent="0.25">
      <c r="A255" t="s">
        <v>453</v>
      </c>
    </row>
    <row r="256" spans="1:1" x14ac:dyDescent="0.25">
      <c r="A256" t="s">
        <v>454</v>
      </c>
    </row>
    <row r="257" spans="1:1" x14ac:dyDescent="0.25">
      <c r="A257" t="s">
        <v>441</v>
      </c>
    </row>
    <row r="259" spans="1:1" x14ac:dyDescent="0.25">
      <c r="A259" t="s">
        <v>455</v>
      </c>
    </row>
    <row r="260" spans="1:1" x14ac:dyDescent="0.25">
      <c r="A260" t="s">
        <v>456</v>
      </c>
    </row>
    <row r="262" spans="1:1" x14ac:dyDescent="0.25">
      <c r="A262" t="s">
        <v>457</v>
      </c>
    </row>
    <row r="264" spans="1:1" x14ac:dyDescent="0.25">
      <c r="A264" t="s">
        <v>458</v>
      </c>
    </row>
    <row r="265" spans="1:1" x14ac:dyDescent="0.25">
      <c r="A265" t="s">
        <v>459</v>
      </c>
    </row>
    <row r="266" spans="1:1" x14ac:dyDescent="0.25">
      <c r="A266" t="s">
        <v>460</v>
      </c>
    </row>
    <row r="267" spans="1:1" x14ac:dyDescent="0.25">
      <c r="A267" t="s">
        <v>461</v>
      </c>
    </row>
    <row r="269" spans="1:1" x14ac:dyDescent="0.25">
      <c r="A269" t="s">
        <v>462</v>
      </c>
    </row>
    <row r="270" spans="1:1" x14ac:dyDescent="0.25">
      <c r="A270" t="s">
        <v>463</v>
      </c>
    </row>
    <row r="271" spans="1:1" x14ac:dyDescent="0.25">
      <c r="A271" t="s">
        <v>464</v>
      </c>
    </row>
    <row r="272" spans="1:1" x14ac:dyDescent="0.25">
      <c r="A272" t="s">
        <v>465</v>
      </c>
    </row>
    <row r="273" spans="1:1" x14ac:dyDescent="0.25">
      <c r="A273" t="s">
        <v>466</v>
      </c>
    </row>
    <row r="274" spans="1:1" x14ac:dyDescent="0.25">
      <c r="A274" t="s">
        <v>467</v>
      </c>
    </row>
    <row r="275" spans="1:1" x14ac:dyDescent="0.25">
      <c r="A275" t="s">
        <v>468</v>
      </c>
    </row>
    <row r="276" spans="1:1" x14ac:dyDescent="0.25">
      <c r="A276" t="s">
        <v>469</v>
      </c>
    </row>
    <row r="278" spans="1:1" x14ac:dyDescent="0.25">
      <c r="A278" t="s">
        <v>470</v>
      </c>
    </row>
    <row r="279" spans="1:1" x14ac:dyDescent="0.25">
      <c r="A279" t="s">
        <v>471</v>
      </c>
    </row>
    <row r="280" spans="1:1" x14ac:dyDescent="0.25">
      <c r="A280" t="s">
        <v>472</v>
      </c>
    </row>
    <row r="281" spans="1:1" x14ac:dyDescent="0.25">
      <c r="A281" t="s">
        <v>473</v>
      </c>
    </row>
    <row r="282" spans="1:1" x14ac:dyDescent="0.25">
      <c r="A282" t="s">
        <v>474</v>
      </c>
    </row>
    <row r="283" spans="1:1" x14ac:dyDescent="0.25">
      <c r="A283" t="s">
        <v>475</v>
      </c>
    </row>
    <row r="285" spans="1:1" x14ac:dyDescent="0.25">
      <c r="A285" t="s">
        <v>476</v>
      </c>
    </row>
    <row r="286" spans="1:1" x14ac:dyDescent="0.25">
      <c r="A286" t="s">
        <v>477</v>
      </c>
    </row>
    <row r="287" spans="1:1" x14ac:dyDescent="0.25">
      <c r="A287" t="s">
        <v>478</v>
      </c>
    </row>
    <row r="288" spans="1:1" x14ac:dyDescent="0.25">
      <c r="A288" t="s">
        <v>479</v>
      </c>
    </row>
    <row r="289" spans="1:1" x14ac:dyDescent="0.25">
      <c r="A289" t="s">
        <v>480</v>
      </c>
    </row>
    <row r="290" spans="1:1" x14ac:dyDescent="0.25">
      <c r="A290" t="s">
        <v>481</v>
      </c>
    </row>
    <row r="292" spans="1:1" x14ac:dyDescent="0.25">
      <c r="A292" t="s">
        <v>482</v>
      </c>
    </row>
    <row r="294" spans="1:1" x14ac:dyDescent="0.25">
      <c r="A294" t="s">
        <v>483</v>
      </c>
    </row>
    <row r="295" spans="1:1" x14ac:dyDescent="0.25">
      <c r="A295" t="s">
        <v>484</v>
      </c>
    </row>
    <row r="296" spans="1:1" x14ac:dyDescent="0.25">
      <c r="A296" t="s">
        <v>485</v>
      </c>
    </row>
    <row r="297" spans="1:1" x14ac:dyDescent="0.25">
      <c r="A297" t="s">
        <v>486</v>
      </c>
    </row>
    <row r="298" spans="1:1" x14ac:dyDescent="0.25">
      <c r="A298" t="s">
        <v>487</v>
      </c>
    </row>
    <row r="299" spans="1:1" x14ac:dyDescent="0.25">
      <c r="A299" t="s">
        <v>488</v>
      </c>
    </row>
    <row r="300" spans="1:1" x14ac:dyDescent="0.25">
      <c r="A300" t="s">
        <v>481</v>
      </c>
    </row>
    <row r="302" spans="1:1" x14ac:dyDescent="0.25">
      <c r="A302" t="s">
        <v>489</v>
      </c>
    </row>
    <row r="303" spans="1:1" x14ac:dyDescent="0.25">
      <c r="A303" t="s">
        <v>490</v>
      </c>
    </row>
    <row r="304" spans="1:1" x14ac:dyDescent="0.25">
      <c r="A304" t="s">
        <v>481</v>
      </c>
    </row>
    <row r="306" spans="1:1" x14ac:dyDescent="0.25">
      <c r="A306" t="s">
        <v>491</v>
      </c>
    </row>
    <row r="307" spans="1:1" x14ac:dyDescent="0.25">
      <c r="A307" t="s">
        <v>492</v>
      </c>
    </row>
    <row r="309" spans="1:1" x14ac:dyDescent="0.25">
      <c r="A309" t="s">
        <v>472</v>
      </c>
    </row>
    <row r="310" spans="1:1" x14ac:dyDescent="0.25">
      <c r="A310" t="s">
        <v>473</v>
      </c>
    </row>
    <row r="311" spans="1:1" x14ac:dyDescent="0.25">
      <c r="A311" t="s">
        <v>474</v>
      </c>
    </row>
    <row r="313" spans="1:1" x14ac:dyDescent="0.25">
      <c r="A313" t="s">
        <v>493</v>
      </c>
    </row>
    <row r="314" spans="1:1" x14ac:dyDescent="0.25">
      <c r="A314" t="s">
        <v>494</v>
      </c>
    </row>
    <row r="315" spans="1:1" x14ac:dyDescent="0.25">
      <c r="A315" t="s">
        <v>466</v>
      </c>
    </row>
    <row r="316" spans="1:1" x14ac:dyDescent="0.25">
      <c r="A316" t="s">
        <v>495</v>
      </c>
    </row>
    <row r="317" spans="1:1" x14ac:dyDescent="0.25">
      <c r="A317" t="s">
        <v>496</v>
      </c>
    </row>
    <row r="319" spans="1:1" x14ac:dyDescent="0.25">
      <c r="A319" t="s">
        <v>497</v>
      </c>
    </row>
    <row r="320" spans="1:1" x14ac:dyDescent="0.25">
      <c r="A320" t="s">
        <v>498</v>
      </c>
    </row>
    <row r="321" spans="1:1" x14ac:dyDescent="0.25">
      <c r="A321" t="s">
        <v>499</v>
      </c>
    </row>
    <row r="322" spans="1:1" x14ac:dyDescent="0.25">
      <c r="A322" t="s">
        <v>500</v>
      </c>
    </row>
    <row r="323" spans="1:1" x14ac:dyDescent="0.25">
      <c r="A323" t="s">
        <v>501</v>
      </c>
    </row>
    <row r="324" spans="1:1" x14ac:dyDescent="0.25">
      <c r="A324" t="s">
        <v>481</v>
      </c>
    </row>
    <row r="325" spans="1:1" x14ac:dyDescent="0.25">
      <c r="A325" t="s">
        <v>474</v>
      </c>
    </row>
    <row r="327" spans="1:1" x14ac:dyDescent="0.25">
      <c r="A327" t="s">
        <v>472</v>
      </c>
    </row>
    <row r="328" spans="1:1" x14ac:dyDescent="0.25">
      <c r="A328" t="s">
        <v>502</v>
      </c>
    </row>
    <row r="329" spans="1:1" x14ac:dyDescent="0.25">
      <c r="A329" t="s">
        <v>474</v>
      </c>
    </row>
    <row r="331" spans="1:1" x14ac:dyDescent="0.25">
      <c r="A331" t="s">
        <v>503</v>
      </c>
    </row>
    <row r="332" spans="1:1" x14ac:dyDescent="0.25">
      <c r="A332" t="s">
        <v>469</v>
      </c>
    </row>
    <row r="333" spans="1:1" x14ac:dyDescent="0.25">
      <c r="A333" t="s">
        <v>504</v>
      </c>
    </row>
    <row r="334" spans="1:1" x14ac:dyDescent="0.25">
      <c r="A334" t="s">
        <v>441</v>
      </c>
    </row>
    <row r="336" spans="1:1" x14ac:dyDescent="0.25">
      <c r="A336" t="s">
        <v>505</v>
      </c>
    </row>
    <row r="338" spans="1:1" x14ac:dyDescent="0.25">
      <c r="A338" t="s">
        <v>447</v>
      </c>
    </row>
    <row r="339" spans="1:1" x14ac:dyDescent="0.25">
      <c r="A339" t="s">
        <v>506</v>
      </c>
    </row>
    <row r="341" spans="1:1" x14ac:dyDescent="0.25">
      <c r="A341" t="s">
        <v>448</v>
      </c>
    </row>
    <row r="342" spans="1:1" x14ac:dyDescent="0.25">
      <c r="A342" t="s">
        <v>507</v>
      </c>
    </row>
    <row r="343" spans="1:1" x14ac:dyDescent="0.25">
      <c r="A343" t="s">
        <v>451</v>
      </c>
    </row>
    <row r="344" spans="1:1" x14ac:dyDescent="0.25">
      <c r="A344" t="s">
        <v>508</v>
      </c>
    </row>
    <row r="345" spans="1:1" x14ac:dyDescent="0.25">
      <c r="A345" t="s">
        <v>454</v>
      </c>
    </row>
    <row r="346" spans="1:1" x14ac:dyDescent="0.25">
      <c r="A346" t="s">
        <v>441</v>
      </c>
    </row>
    <row r="348" spans="1:1" x14ac:dyDescent="0.25">
      <c r="A348" t="s">
        <v>509</v>
      </c>
    </row>
    <row r="350" spans="1:1" x14ac:dyDescent="0.25">
      <c r="A350" t="s">
        <v>510</v>
      </c>
    </row>
    <row r="352" spans="1:1" x14ac:dyDescent="0.25">
      <c r="A352" t="s">
        <v>511</v>
      </c>
    </row>
    <row r="353" spans="1:1" x14ac:dyDescent="0.25">
      <c r="A353" t="s">
        <v>512</v>
      </c>
    </row>
    <row r="354" spans="1:1" x14ac:dyDescent="0.25">
      <c r="A354" t="s">
        <v>447</v>
      </c>
    </row>
    <row r="355" spans="1:1" x14ac:dyDescent="0.25">
      <c r="A355" t="s">
        <v>448</v>
      </c>
    </row>
    <row r="356" spans="1:1" x14ac:dyDescent="0.25">
      <c r="A356" t="s">
        <v>449</v>
      </c>
    </row>
    <row r="357" spans="1:1" x14ac:dyDescent="0.25">
      <c r="A357" t="s">
        <v>451</v>
      </c>
    </row>
    <row r="358" spans="1:1" x14ac:dyDescent="0.25">
      <c r="A358" t="s">
        <v>452</v>
      </c>
    </row>
    <row r="359" spans="1:1" x14ac:dyDescent="0.25">
      <c r="A359" t="s">
        <v>454</v>
      </c>
    </row>
    <row r="360" spans="1:1" x14ac:dyDescent="0.25">
      <c r="A360" t="s">
        <v>441</v>
      </c>
    </row>
    <row r="362" spans="1:1" x14ac:dyDescent="0.25">
      <c r="A362" t="s">
        <v>513</v>
      </c>
    </row>
    <row r="363" spans="1:1" x14ac:dyDescent="0.25">
      <c r="A363" t="s">
        <v>514</v>
      </c>
    </row>
    <row r="364" spans="1:1" x14ac:dyDescent="0.25">
      <c r="A364" t="s">
        <v>515</v>
      </c>
    </row>
    <row r="365" spans="1:1" x14ac:dyDescent="0.25">
      <c r="A365" t="s">
        <v>516</v>
      </c>
    </row>
    <row r="366" spans="1:1" x14ac:dyDescent="0.25">
      <c r="A366" t="s">
        <v>517</v>
      </c>
    </row>
    <row r="367" spans="1:1" x14ac:dyDescent="0.25">
      <c r="A367" t="s">
        <v>518</v>
      </c>
    </row>
    <row r="368" spans="1:1" x14ac:dyDescent="0.25">
      <c r="A368" t="s">
        <v>519</v>
      </c>
    </row>
    <row r="369" spans="1:1" x14ac:dyDescent="0.25">
      <c r="A369" t="s">
        <v>520</v>
      </c>
    </row>
    <row r="370" spans="1:1" x14ac:dyDescent="0.25">
      <c r="A370" t="s">
        <v>466</v>
      </c>
    </row>
    <row r="371" spans="1:1" x14ac:dyDescent="0.25">
      <c r="A371" t="s">
        <v>521</v>
      </c>
    </row>
    <row r="372" spans="1:1" x14ac:dyDescent="0.25">
      <c r="A372" t="s">
        <v>469</v>
      </c>
    </row>
    <row r="374" spans="1:1" x14ac:dyDescent="0.25">
      <c r="A374" t="s">
        <v>522</v>
      </c>
    </row>
    <row r="375" spans="1:1" x14ac:dyDescent="0.25">
      <c r="A375" t="s">
        <v>523</v>
      </c>
    </row>
    <row r="376" spans="1:1" x14ac:dyDescent="0.25">
      <c r="A376" t="s">
        <v>524</v>
      </c>
    </row>
    <row r="377" spans="1:1" x14ac:dyDescent="0.25">
      <c r="A377" t="s">
        <v>525</v>
      </c>
    </row>
    <row r="378" spans="1:1" x14ac:dyDescent="0.25">
      <c r="A378" t="s">
        <v>526</v>
      </c>
    </row>
    <row r="379" spans="1:1" x14ac:dyDescent="0.25">
      <c r="A379" t="s">
        <v>474</v>
      </c>
    </row>
    <row r="381" spans="1:1" x14ac:dyDescent="0.25">
      <c r="A381" t="s">
        <v>472</v>
      </c>
    </row>
    <row r="382" spans="1:1" x14ac:dyDescent="0.25">
      <c r="A382" t="s">
        <v>527</v>
      </c>
    </row>
    <row r="383" spans="1:1" x14ac:dyDescent="0.25">
      <c r="A383" t="s">
        <v>525</v>
      </c>
    </row>
    <row r="384" spans="1:1" x14ac:dyDescent="0.25">
      <c r="A384" t="s">
        <v>528</v>
      </c>
    </row>
    <row r="385" spans="1:1" x14ac:dyDescent="0.25">
      <c r="A385" t="s">
        <v>474</v>
      </c>
    </row>
    <row r="387" spans="1:1" x14ac:dyDescent="0.25">
      <c r="A387" t="s">
        <v>503</v>
      </c>
    </row>
    <row r="388" spans="1:1" x14ac:dyDescent="0.25">
      <c r="A388" t="s">
        <v>469</v>
      </c>
    </row>
    <row r="389" spans="1:1" x14ac:dyDescent="0.25">
      <c r="A389" t="s">
        <v>529</v>
      </c>
    </row>
    <row r="391" spans="1:1" x14ac:dyDescent="0.25">
      <c r="A391" t="s">
        <v>530</v>
      </c>
    </row>
    <row r="392" spans="1:1" x14ac:dyDescent="0.25">
      <c r="A392" t="s">
        <v>531</v>
      </c>
    </row>
    <row r="394" spans="1:1" x14ac:dyDescent="0.25">
      <c r="A394" t="s">
        <v>532</v>
      </c>
    </row>
    <row r="395" spans="1:1" x14ac:dyDescent="0.25">
      <c r="A395" t="s">
        <v>533</v>
      </c>
    </row>
    <row r="396" spans="1:1" x14ac:dyDescent="0.25">
      <c r="A396" t="s">
        <v>466</v>
      </c>
    </row>
    <row r="397" spans="1:1" x14ac:dyDescent="0.25">
      <c r="A397" t="s">
        <v>534</v>
      </c>
    </row>
    <row r="398" spans="1:1" x14ac:dyDescent="0.25">
      <c r="A398" t="s">
        <v>469</v>
      </c>
    </row>
    <row r="399" spans="1:1" x14ac:dyDescent="0.25">
      <c r="A399" t="s">
        <v>454</v>
      </c>
    </row>
    <row r="401" spans="1:1" x14ac:dyDescent="0.25">
      <c r="A401" t="s">
        <v>535</v>
      </c>
    </row>
    <row r="403" spans="1:1" x14ac:dyDescent="0.25">
      <c r="A403" t="s">
        <v>536</v>
      </c>
    </row>
    <row r="404" spans="1:1" x14ac:dyDescent="0.25">
      <c r="A404" t="s">
        <v>537</v>
      </c>
    </row>
    <row r="405" spans="1:1" x14ac:dyDescent="0.25">
      <c r="A405" t="s">
        <v>538</v>
      </c>
    </row>
    <row r="406" spans="1:1" x14ac:dyDescent="0.25">
      <c r="A406" t="s">
        <v>539</v>
      </c>
    </row>
    <row r="407" spans="1:1" x14ac:dyDescent="0.25">
      <c r="A407" t="s">
        <v>464</v>
      </c>
    </row>
    <row r="408" spans="1:1" x14ac:dyDescent="0.25">
      <c r="A408" t="s">
        <v>465</v>
      </c>
    </row>
    <row r="409" spans="1:1" x14ac:dyDescent="0.25">
      <c r="A409" t="s">
        <v>466</v>
      </c>
    </row>
    <row r="410" spans="1:1" x14ac:dyDescent="0.25">
      <c r="A410" t="s">
        <v>468</v>
      </c>
    </row>
    <row r="411" spans="1:1" x14ac:dyDescent="0.25">
      <c r="A411" t="s">
        <v>469</v>
      </c>
    </row>
    <row r="413" spans="1:1" x14ac:dyDescent="0.25">
      <c r="A413" t="s">
        <v>540</v>
      </c>
    </row>
    <row r="415" spans="1:1" x14ac:dyDescent="0.25">
      <c r="A415" t="s">
        <v>541</v>
      </c>
    </row>
    <row r="416" spans="1:1" x14ac:dyDescent="0.25">
      <c r="A416" t="s">
        <v>519</v>
      </c>
    </row>
    <row r="417" spans="1:1" x14ac:dyDescent="0.25">
      <c r="A417" t="s">
        <v>542</v>
      </c>
    </row>
    <row r="418" spans="1:1" x14ac:dyDescent="0.25">
      <c r="A418" t="s">
        <v>543</v>
      </c>
    </row>
    <row r="419" spans="1:1" x14ac:dyDescent="0.25">
      <c r="A419" t="s">
        <v>544</v>
      </c>
    </row>
    <row r="420" spans="1:1" x14ac:dyDescent="0.25">
      <c r="A420" t="s">
        <v>474</v>
      </c>
    </row>
    <row r="421" spans="1:1" x14ac:dyDescent="0.25">
      <c r="A421" t="s">
        <v>469</v>
      </c>
    </row>
    <row r="423" spans="1:1" x14ac:dyDescent="0.25">
      <c r="A423" t="s">
        <v>545</v>
      </c>
    </row>
    <row r="424" spans="1:1" x14ac:dyDescent="0.25">
      <c r="A424" t="s">
        <v>546</v>
      </c>
    </row>
    <row r="425" spans="1:1" x14ac:dyDescent="0.25">
      <c r="A425" t="s">
        <v>469</v>
      </c>
    </row>
    <row r="427" spans="1:1" x14ac:dyDescent="0.25">
      <c r="A427" t="s">
        <v>547</v>
      </c>
    </row>
    <row r="428" spans="1:1" x14ac:dyDescent="0.25">
      <c r="A428" t="s">
        <v>548</v>
      </c>
    </row>
    <row r="430" spans="1:1" x14ac:dyDescent="0.25">
      <c r="A430" t="s">
        <v>530</v>
      </c>
    </row>
    <row r="431" spans="1:1" x14ac:dyDescent="0.25">
      <c r="A431" t="s">
        <v>531</v>
      </c>
    </row>
    <row r="433" spans="1:1" x14ac:dyDescent="0.25">
      <c r="A433" t="s">
        <v>532</v>
      </c>
    </row>
    <row r="434" spans="1:1" x14ac:dyDescent="0.25">
      <c r="A434" t="s">
        <v>533</v>
      </c>
    </row>
    <row r="435" spans="1:1" x14ac:dyDescent="0.25">
      <c r="A435" t="s">
        <v>466</v>
      </c>
    </row>
    <row r="436" spans="1:1" x14ac:dyDescent="0.25">
      <c r="A436" t="s">
        <v>534</v>
      </c>
    </row>
    <row r="437" spans="1:1" x14ac:dyDescent="0.25">
      <c r="A437" t="s">
        <v>469</v>
      </c>
    </row>
    <row r="438" spans="1:1" x14ac:dyDescent="0.25">
      <c r="A438" t="s">
        <v>454</v>
      </c>
    </row>
    <row r="440" spans="1:1" x14ac:dyDescent="0.25">
      <c r="A440" t="s">
        <v>549</v>
      </c>
    </row>
    <row r="441" spans="1:1" x14ac:dyDescent="0.25">
      <c r="A441" t="s">
        <v>441</v>
      </c>
    </row>
    <row r="443" spans="1:1" x14ac:dyDescent="0.25">
      <c r="A443" t="s">
        <v>510</v>
      </c>
    </row>
    <row r="444" spans="1:1" x14ac:dyDescent="0.25">
      <c r="A444" t="s">
        <v>550</v>
      </c>
    </row>
    <row r="445" spans="1:1" x14ac:dyDescent="0.25">
      <c r="A445" t="s">
        <v>551</v>
      </c>
    </row>
    <row r="446" spans="1:1" x14ac:dyDescent="0.25">
      <c r="A446" t="s">
        <v>552</v>
      </c>
    </row>
    <row r="447" spans="1:1" x14ac:dyDescent="0.25">
      <c r="A447" t="s">
        <v>392</v>
      </c>
    </row>
    <row r="448" spans="1:1" x14ac:dyDescent="0.25">
      <c r="A448" t="s">
        <v>553</v>
      </c>
    </row>
    <row r="449" spans="1:1" x14ac:dyDescent="0.25">
      <c r="A449" t="s">
        <v>554</v>
      </c>
    </row>
    <row r="450" spans="1:1" x14ac:dyDescent="0.25">
      <c r="A450" t="s">
        <v>457</v>
      </c>
    </row>
    <row r="451" spans="1:1" x14ac:dyDescent="0.25">
      <c r="A451" t="s">
        <v>555</v>
      </c>
    </row>
    <row r="452" spans="1:1" x14ac:dyDescent="0.25">
      <c r="A452" t="s">
        <v>505</v>
      </c>
    </row>
    <row r="453" spans="1:1" x14ac:dyDescent="0.25">
      <c r="A453" t="s">
        <v>395</v>
      </c>
    </row>
    <row r="454" spans="1:1" x14ac:dyDescent="0.25">
      <c r="A454" t="s">
        <v>396</v>
      </c>
    </row>
    <row r="456" spans="1:1" x14ac:dyDescent="0.25">
      <c r="A456" t="s">
        <v>374</v>
      </c>
    </row>
    <row r="457" spans="1:1" x14ac:dyDescent="0.25">
      <c r="A457" t="s">
        <v>556</v>
      </c>
    </row>
    <row r="458" spans="1:1" x14ac:dyDescent="0.25">
      <c r="A458" t="s">
        <v>374</v>
      </c>
    </row>
    <row r="460" spans="1:1" x14ac:dyDescent="0.25">
      <c r="A460" t="s">
        <v>557</v>
      </c>
    </row>
    <row r="461" spans="1:1" x14ac:dyDescent="0.25">
      <c r="A461" t="s">
        <v>558</v>
      </c>
    </row>
    <row r="462" spans="1:1" x14ac:dyDescent="0.25">
      <c r="A462" t="s">
        <v>559</v>
      </c>
    </row>
    <row r="464" spans="1:1" x14ac:dyDescent="0.25">
      <c r="A464" t="s">
        <v>560</v>
      </c>
    </row>
    <row r="465" spans="1:1" x14ac:dyDescent="0.25">
      <c r="A465" t="s">
        <v>561</v>
      </c>
    </row>
    <row r="466" spans="1:1" x14ac:dyDescent="0.25">
      <c r="A466" t="s">
        <v>562</v>
      </c>
    </row>
    <row r="467" spans="1:1" x14ac:dyDescent="0.25">
      <c r="A467" t="s">
        <v>563</v>
      </c>
    </row>
    <row r="468" spans="1:1" x14ac:dyDescent="0.25">
      <c r="A468" t="s">
        <v>564</v>
      </c>
    </row>
    <row r="469" spans="1:1" x14ac:dyDescent="0.25">
      <c r="A469" t="s">
        <v>565</v>
      </c>
    </row>
    <row r="471" spans="1:1" x14ac:dyDescent="0.25">
      <c r="A471" t="s">
        <v>566</v>
      </c>
    </row>
    <row r="472" spans="1:1" x14ac:dyDescent="0.25">
      <c r="A472" t="s">
        <v>567</v>
      </c>
    </row>
    <row r="473" spans="1:1" x14ac:dyDescent="0.25">
      <c r="A473" t="s">
        <v>568</v>
      </c>
    </row>
    <row r="474" spans="1:1" x14ac:dyDescent="0.25">
      <c r="A474" t="s">
        <v>569</v>
      </c>
    </row>
    <row r="475" spans="1:1" x14ac:dyDescent="0.25">
      <c r="A475" t="s">
        <v>570</v>
      </c>
    </row>
    <row r="476" spans="1:1" x14ac:dyDescent="0.25">
      <c r="A476" t="s">
        <v>571</v>
      </c>
    </row>
    <row r="477" spans="1:1" x14ac:dyDescent="0.25">
      <c r="A477" t="s">
        <v>569</v>
      </c>
    </row>
    <row r="478" spans="1:1" x14ac:dyDescent="0.25">
      <c r="A478" t="s">
        <v>572</v>
      </c>
    </row>
    <row r="479" spans="1:1" x14ac:dyDescent="0.25">
      <c r="A479" t="s">
        <v>454</v>
      </c>
    </row>
    <row r="481" spans="1:1" x14ac:dyDescent="0.25">
      <c r="A481" t="s">
        <v>573</v>
      </c>
    </row>
    <row r="482" spans="1:1" x14ac:dyDescent="0.25">
      <c r="A482" t="s">
        <v>574</v>
      </c>
    </row>
    <row r="483" spans="1:1" x14ac:dyDescent="0.25">
      <c r="A483" t="s">
        <v>575</v>
      </c>
    </row>
    <row r="484" spans="1:1" x14ac:dyDescent="0.25">
      <c r="A484" t="s">
        <v>576</v>
      </c>
    </row>
    <row r="485" spans="1:1" x14ac:dyDescent="0.25">
      <c r="A485" t="s">
        <v>451</v>
      </c>
    </row>
    <row r="486" spans="1:1" x14ac:dyDescent="0.25">
      <c r="A486" t="s">
        <v>577</v>
      </c>
    </row>
    <row r="487" spans="1:1" x14ac:dyDescent="0.25">
      <c r="A487" t="s">
        <v>454</v>
      </c>
    </row>
    <row r="488" spans="1:1" x14ac:dyDescent="0.25">
      <c r="A488" t="s">
        <v>578</v>
      </c>
    </row>
    <row r="489" spans="1:1" x14ac:dyDescent="0.25">
      <c r="A489" t="s">
        <v>579</v>
      </c>
    </row>
    <row r="490" spans="1:1" x14ac:dyDescent="0.25">
      <c r="A490" t="s">
        <v>396</v>
      </c>
    </row>
    <row r="492" spans="1:1" x14ac:dyDescent="0.25">
      <c r="A492" t="s">
        <v>580</v>
      </c>
    </row>
    <row r="493" spans="1:1" x14ac:dyDescent="0.25">
      <c r="A493" t="s">
        <v>581</v>
      </c>
    </row>
    <row r="495" spans="1:1" x14ac:dyDescent="0.25">
      <c r="A495" t="s">
        <v>561</v>
      </c>
    </row>
    <row r="496" spans="1:1" x14ac:dyDescent="0.25">
      <c r="A496" t="s">
        <v>582</v>
      </c>
    </row>
    <row r="497" spans="1:1" x14ac:dyDescent="0.25">
      <c r="A497" t="s">
        <v>583</v>
      </c>
    </row>
    <row r="498" spans="1:1" x14ac:dyDescent="0.25">
      <c r="A498" t="s">
        <v>564</v>
      </c>
    </row>
    <row r="499" spans="1:1" x14ac:dyDescent="0.25">
      <c r="A499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584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569</v>
      </c>
    </row>
    <row r="508" spans="1:1" x14ac:dyDescent="0.25">
      <c r="A508" t="s">
        <v>572</v>
      </c>
    </row>
    <row r="509" spans="1:1" x14ac:dyDescent="0.25">
      <c r="A509" t="s">
        <v>454</v>
      </c>
    </row>
    <row r="511" spans="1:1" x14ac:dyDescent="0.25">
      <c r="A511" t="s">
        <v>585</v>
      </c>
    </row>
    <row r="512" spans="1:1" x14ac:dyDescent="0.25">
      <c r="A512" t="s">
        <v>578</v>
      </c>
    </row>
    <row r="513" spans="1:1" x14ac:dyDescent="0.25">
      <c r="A513" t="s">
        <v>579</v>
      </c>
    </row>
    <row r="514" spans="1:1" x14ac:dyDescent="0.25">
      <c r="A514" t="s">
        <v>396</v>
      </c>
    </row>
    <row r="516" spans="1:1" x14ac:dyDescent="0.25">
      <c r="A516" t="s">
        <v>586</v>
      </c>
    </row>
    <row r="517" spans="1:1" x14ac:dyDescent="0.25">
      <c r="A517" t="s">
        <v>561</v>
      </c>
    </row>
    <row r="518" spans="1:1" x14ac:dyDescent="0.25">
      <c r="A518" t="s">
        <v>587</v>
      </c>
    </row>
    <row r="519" spans="1:1" x14ac:dyDescent="0.25">
      <c r="A519" t="s">
        <v>388</v>
      </c>
    </row>
    <row r="520" spans="1:1" x14ac:dyDescent="0.25">
      <c r="A520" t="s">
        <v>588</v>
      </c>
    </row>
    <row r="521" spans="1:1" x14ac:dyDescent="0.25">
      <c r="A521" t="s">
        <v>390</v>
      </c>
    </row>
    <row r="522" spans="1:1" x14ac:dyDescent="0.25">
      <c r="A522" t="s">
        <v>589</v>
      </c>
    </row>
    <row r="523" spans="1:1" x14ac:dyDescent="0.25">
      <c r="A523" t="s">
        <v>590</v>
      </c>
    </row>
    <row r="524" spans="1:1" x14ac:dyDescent="0.25">
      <c r="A524" t="s">
        <v>591</v>
      </c>
    </row>
    <row r="525" spans="1:1" x14ac:dyDescent="0.25">
      <c r="A525" t="s">
        <v>392</v>
      </c>
    </row>
    <row r="526" spans="1:1" x14ac:dyDescent="0.25">
      <c r="A526" t="s">
        <v>592</v>
      </c>
    </row>
    <row r="527" spans="1:1" x14ac:dyDescent="0.25">
      <c r="A527" t="s">
        <v>593</v>
      </c>
    </row>
    <row r="528" spans="1:1" x14ac:dyDescent="0.25">
      <c r="A528" t="s">
        <v>594</v>
      </c>
    </row>
    <row r="529" spans="1:1" x14ac:dyDescent="0.25">
      <c r="A529" t="s">
        <v>595</v>
      </c>
    </row>
    <row r="530" spans="1:1" x14ac:dyDescent="0.25">
      <c r="A530" t="s">
        <v>596</v>
      </c>
    </row>
    <row r="531" spans="1:1" x14ac:dyDescent="0.25">
      <c r="A531" t="s">
        <v>597</v>
      </c>
    </row>
    <row r="532" spans="1:1" x14ac:dyDescent="0.25">
      <c r="A532" t="s">
        <v>598</v>
      </c>
    </row>
    <row r="533" spans="1:1" x14ac:dyDescent="0.25">
      <c r="A533" t="s">
        <v>599</v>
      </c>
    </row>
    <row r="534" spans="1:1" x14ac:dyDescent="0.25">
      <c r="A534" t="s">
        <v>594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439</v>
      </c>
    </row>
    <row r="538" spans="1:1" x14ac:dyDescent="0.25">
      <c r="A538" t="s">
        <v>602</v>
      </c>
    </row>
    <row r="539" spans="1:1" x14ac:dyDescent="0.25">
      <c r="A539" t="s">
        <v>441</v>
      </c>
    </row>
    <row r="540" spans="1:1" x14ac:dyDescent="0.25">
      <c r="A540" t="s">
        <v>395</v>
      </c>
    </row>
    <row r="541" spans="1:1" x14ac:dyDescent="0.25">
      <c r="A541" t="s">
        <v>396</v>
      </c>
    </row>
    <row r="543" spans="1:1" x14ac:dyDescent="0.25">
      <c r="A543" t="s">
        <v>603</v>
      </c>
    </row>
    <row r="544" spans="1:1" x14ac:dyDescent="0.25">
      <c r="A544" t="s">
        <v>604</v>
      </c>
    </row>
    <row r="545" spans="1:1" x14ac:dyDescent="0.25">
      <c r="A545" t="s">
        <v>605</v>
      </c>
    </row>
    <row r="546" spans="1:1" x14ac:dyDescent="0.25">
      <c r="A546" t="s">
        <v>606</v>
      </c>
    </row>
    <row r="547" spans="1:1" x14ac:dyDescent="0.25">
      <c r="A547" t="s">
        <v>403</v>
      </c>
    </row>
    <row r="548" spans="1:1" x14ac:dyDescent="0.25">
      <c r="A548" t="s">
        <v>404</v>
      </c>
    </row>
    <row r="549" spans="1:1" x14ac:dyDescent="0.25">
      <c r="A549" t="s">
        <v>405</v>
      </c>
    </row>
    <row r="551" spans="1:1" x14ac:dyDescent="0.25">
      <c r="A551" t="s">
        <v>561</v>
      </c>
    </row>
    <row r="553" spans="1:1" x14ac:dyDescent="0.25">
      <c r="A553" t="s">
        <v>607</v>
      </c>
    </row>
    <row r="554" spans="1:1" x14ac:dyDescent="0.25">
      <c r="A554" t="s">
        <v>608</v>
      </c>
    </row>
    <row r="555" spans="1:1" x14ac:dyDescent="0.25">
      <c r="A555" t="s">
        <v>609</v>
      </c>
    </row>
    <row r="557" spans="1:1" x14ac:dyDescent="0.25">
      <c r="A557" t="s">
        <v>610</v>
      </c>
    </row>
    <row r="558" spans="1:1" x14ac:dyDescent="0.25">
      <c r="A558" t="s">
        <v>611</v>
      </c>
    </row>
    <row r="560" spans="1:1" x14ac:dyDescent="0.25">
      <c r="A560" t="s">
        <v>612</v>
      </c>
    </row>
    <row r="561" spans="1:1" x14ac:dyDescent="0.25">
      <c r="A561" t="s">
        <v>613</v>
      </c>
    </row>
    <row r="562" spans="1:1" x14ac:dyDescent="0.25">
      <c r="A562" t="s">
        <v>614</v>
      </c>
    </row>
    <row r="563" spans="1:1" x14ac:dyDescent="0.25">
      <c r="A563" t="s">
        <v>615</v>
      </c>
    </row>
    <row r="564" spans="1:1" x14ac:dyDescent="0.25">
      <c r="A564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569</v>
      </c>
    </row>
    <row r="570" spans="1:1" x14ac:dyDescent="0.25">
      <c r="A570" t="s">
        <v>620</v>
      </c>
    </row>
    <row r="571" spans="1:1" x14ac:dyDescent="0.25">
      <c r="A571" t="s">
        <v>621</v>
      </c>
    </row>
    <row r="572" spans="1:1" x14ac:dyDescent="0.25">
      <c r="A572" t="s">
        <v>569</v>
      </c>
    </row>
    <row r="573" spans="1:1" x14ac:dyDescent="0.25">
      <c r="A573" t="s">
        <v>622</v>
      </c>
    </row>
    <row r="574" spans="1:1" x14ac:dyDescent="0.25">
      <c r="A574" t="s">
        <v>623</v>
      </c>
    </row>
    <row r="575" spans="1:1" x14ac:dyDescent="0.25">
      <c r="A575" t="s">
        <v>569</v>
      </c>
    </row>
    <row r="576" spans="1:1" x14ac:dyDescent="0.25">
      <c r="A576" t="s">
        <v>624</v>
      </c>
    </row>
    <row r="577" spans="1:1" x14ac:dyDescent="0.25">
      <c r="A577" t="s">
        <v>625</v>
      </c>
    </row>
    <row r="578" spans="1:1" x14ac:dyDescent="0.25">
      <c r="A578" t="s">
        <v>569</v>
      </c>
    </row>
    <row r="579" spans="1:1" x14ac:dyDescent="0.25">
      <c r="A579" t="s">
        <v>626</v>
      </c>
    </row>
    <row r="580" spans="1:1" x14ac:dyDescent="0.25">
      <c r="A580" t="s">
        <v>627</v>
      </c>
    </row>
    <row r="581" spans="1:1" x14ac:dyDescent="0.25">
      <c r="A581" t="s">
        <v>569</v>
      </c>
    </row>
    <row r="582" spans="1:1" x14ac:dyDescent="0.25">
      <c r="A582" t="s">
        <v>628</v>
      </c>
    </row>
    <row r="583" spans="1:1" x14ac:dyDescent="0.25">
      <c r="A583" t="s">
        <v>629</v>
      </c>
    </row>
    <row r="584" spans="1:1" x14ac:dyDescent="0.25">
      <c r="A584" t="s">
        <v>569</v>
      </c>
    </row>
    <row r="585" spans="1:1" x14ac:dyDescent="0.25">
      <c r="A585" t="s">
        <v>630</v>
      </c>
    </row>
    <row r="586" spans="1:1" x14ac:dyDescent="0.25">
      <c r="A586" t="s">
        <v>631</v>
      </c>
    </row>
    <row r="587" spans="1:1" x14ac:dyDescent="0.25">
      <c r="A587" t="s">
        <v>569</v>
      </c>
    </row>
    <row r="588" spans="1:1" x14ac:dyDescent="0.25">
      <c r="A588" t="s">
        <v>632</v>
      </c>
    </row>
    <row r="589" spans="1:1" x14ac:dyDescent="0.25">
      <c r="A589" t="s">
        <v>633</v>
      </c>
    </row>
    <row r="590" spans="1:1" x14ac:dyDescent="0.25">
      <c r="A590" t="s">
        <v>634</v>
      </c>
    </row>
    <row r="591" spans="1:1" x14ac:dyDescent="0.25">
      <c r="A591" t="s">
        <v>635</v>
      </c>
    </row>
    <row r="592" spans="1:1" x14ac:dyDescent="0.25">
      <c r="A592" t="s">
        <v>636</v>
      </c>
    </row>
    <row r="593" spans="1:1" x14ac:dyDescent="0.25">
      <c r="A593" t="s">
        <v>637</v>
      </c>
    </row>
    <row r="594" spans="1:1" x14ac:dyDescent="0.25">
      <c r="A594" t="s">
        <v>615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615</v>
      </c>
    </row>
    <row r="599" spans="1:1" x14ac:dyDescent="0.25">
      <c r="A599" t="s">
        <v>641</v>
      </c>
    </row>
    <row r="600" spans="1:1" x14ac:dyDescent="0.25">
      <c r="A600" t="s">
        <v>642</v>
      </c>
    </row>
    <row r="601" spans="1:1" x14ac:dyDescent="0.25">
      <c r="A601" t="s">
        <v>396</v>
      </c>
    </row>
    <row r="603" spans="1:1" x14ac:dyDescent="0.25">
      <c r="A603" t="s">
        <v>643</v>
      </c>
    </row>
    <row r="604" spans="1:1" x14ac:dyDescent="0.25">
      <c r="A604" t="s">
        <v>605</v>
      </c>
    </row>
    <row r="605" spans="1:1" x14ac:dyDescent="0.25">
      <c r="A605" t="s">
        <v>644</v>
      </c>
    </row>
    <row r="606" spans="1:1" x14ac:dyDescent="0.25">
      <c r="A606" t="s">
        <v>645</v>
      </c>
    </row>
    <row r="608" spans="1:1" x14ac:dyDescent="0.25">
      <c r="A608" t="s">
        <v>561</v>
      </c>
    </row>
    <row r="610" spans="1:1" x14ac:dyDescent="0.25">
      <c r="A610" t="s">
        <v>610</v>
      </c>
    </row>
    <row r="611" spans="1:1" x14ac:dyDescent="0.25">
      <c r="A611" t="s">
        <v>611</v>
      </c>
    </row>
    <row r="613" spans="1:1" x14ac:dyDescent="0.25">
      <c r="A613" t="s">
        <v>646</v>
      </c>
    </row>
    <row r="614" spans="1:1" x14ac:dyDescent="0.25">
      <c r="A614" t="s">
        <v>647</v>
      </c>
    </row>
    <row r="615" spans="1:1" x14ac:dyDescent="0.25">
      <c r="A615" t="s">
        <v>648</v>
      </c>
    </row>
    <row r="616" spans="1:1" x14ac:dyDescent="0.25">
      <c r="A616" t="s">
        <v>615</v>
      </c>
    </row>
    <row r="617" spans="1:1" x14ac:dyDescent="0.25">
      <c r="A617" t="s">
        <v>439</v>
      </c>
    </row>
    <row r="618" spans="1:1" x14ac:dyDescent="0.25">
      <c r="A618" t="s">
        <v>649</v>
      </c>
    </row>
    <row r="619" spans="1:1" x14ac:dyDescent="0.25">
      <c r="A619" t="s">
        <v>650</v>
      </c>
    </row>
    <row r="620" spans="1:1" x14ac:dyDescent="0.25">
      <c r="A620" t="s">
        <v>651</v>
      </c>
    </row>
    <row r="621" spans="1:1" x14ac:dyDescent="0.25">
      <c r="A621" t="s">
        <v>652</v>
      </c>
    </row>
    <row r="622" spans="1:1" x14ac:dyDescent="0.25">
      <c r="A622" t="s">
        <v>653</v>
      </c>
    </row>
    <row r="623" spans="1:1" x14ac:dyDescent="0.25">
      <c r="A623" t="s">
        <v>654</v>
      </c>
    </row>
    <row r="624" spans="1:1" x14ac:dyDescent="0.25">
      <c r="A624" t="s">
        <v>655</v>
      </c>
    </row>
    <row r="625" spans="1:1" x14ac:dyDescent="0.25">
      <c r="A625" t="s">
        <v>656</v>
      </c>
    </row>
    <row r="626" spans="1:1" x14ac:dyDescent="0.25">
      <c r="A626" t="s">
        <v>657</v>
      </c>
    </row>
    <row r="627" spans="1:1" x14ac:dyDescent="0.25">
      <c r="A627" t="s">
        <v>451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454</v>
      </c>
    </row>
    <row r="631" spans="1:1" x14ac:dyDescent="0.25">
      <c r="A631" t="s">
        <v>638</v>
      </c>
    </row>
    <row r="632" spans="1:1" x14ac:dyDescent="0.25">
      <c r="A632" t="s">
        <v>441</v>
      </c>
    </row>
    <row r="633" spans="1:1" x14ac:dyDescent="0.25">
      <c r="A633" t="s">
        <v>642</v>
      </c>
    </row>
    <row r="634" spans="1:1" x14ac:dyDescent="0.25">
      <c r="A634" t="s">
        <v>396</v>
      </c>
    </row>
    <row r="636" spans="1:1" x14ac:dyDescent="0.25">
      <c r="A636" t="s">
        <v>660</v>
      </c>
    </row>
    <row r="637" spans="1:1" x14ac:dyDescent="0.25">
      <c r="A637" t="s">
        <v>661</v>
      </c>
    </row>
    <row r="638" spans="1:1" x14ac:dyDescent="0.25">
      <c r="A638" t="s">
        <v>662</v>
      </c>
    </row>
    <row r="639" spans="1:1" x14ac:dyDescent="0.25">
      <c r="A639" t="s">
        <v>663</v>
      </c>
    </row>
    <row r="640" spans="1:1" x14ac:dyDescent="0.25">
      <c r="A640" t="s">
        <v>664</v>
      </c>
    </row>
    <row r="641" spans="1:1" x14ac:dyDescent="0.25">
      <c r="A641" t="s">
        <v>665</v>
      </c>
    </row>
    <row r="642" spans="1:1" x14ac:dyDescent="0.25">
      <c r="A642" t="s">
        <v>666</v>
      </c>
    </row>
    <row r="643" spans="1:1" x14ac:dyDescent="0.25">
      <c r="A643" t="s">
        <v>616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569</v>
      </c>
    </row>
    <row r="647" spans="1:1" x14ac:dyDescent="0.25">
      <c r="A647" t="s">
        <v>451</v>
      </c>
    </row>
    <row r="648" spans="1:1" x14ac:dyDescent="0.25">
      <c r="A648" t="s">
        <v>669</v>
      </c>
    </row>
    <row r="649" spans="1:1" x14ac:dyDescent="0.25">
      <c r="A649" t="s">
        <v>454</v>
      </c>
    </row>
    <row r="650" spans="1:1" x14ac:dyDescent="0.25">
      <c r="A650" t="s">
        <v>578</v>
      </c>
    </row>
    <row r="651" spans="1:1" x14ac:dyDescent="0.25">
      <c r="A651" t="s">
        <v>564</v>
      </c>
    </row>
    <row r="652" spans="1:1" x14ac:dyDescent="0.25">
      <c r="A652" t="s">
        <v>670</v>
      </c>
    </row>
    <row r="653" spans="1:1" x14ac:dyDescent="0.25">
      <c r="A653" t="s">
        <v>579</v>
      </c>
    </row>
    <row r="655" spans="1:1" x14ac:dyDescent="0.25">
      <c r="A655" t="s">
        <v>671</v>
      </c>
    </row>
    <row r="656" spans="1:1" x14ac:dyDescent="0.25">
      <c r="A656" t="s">
        <v>561</v>
      </c>
    </row>
    <row r="657" spans="1:1" x14ac:dyDescent="0.25">
      <c r="A657" t="s">
        <v>672</v>
      </c>
    </row>
    <row r="658" spans="1:1" x14ac:dyDescent="0.25">
      <c r="A658" t="s">
        <v>673</v>
      </c>
    </row>
    <row r="659" spans="1:1" x14ac:dyDescent="0.25">
      <c r="A659" t="s">
        <v>564</v>
      </c>
    </row>
    <row r="660" spans="1:1" x14ac:dyDescent="0.25">
      <c r="A660" t="s">
        <v>565</v>
      </c>
    </row>
    <row r="661" spans="1:1" x14ac:dyDescent="0.25">
      <c r="A661" t="s">
        <v>579</v>
      </c>
    </row>
    <row r="662" spans="1:1" x14ac:dyDescent="0.25">
      <c r="A662" t="s">
        <v>396</v>
      </c>
    </row>
    <row r="664" spans="1:1" x14ac:dyDescent="0.25">
      <c r="A664" t="s">
        <v>674</v>
      </c>
    </row>
    <row r="665" spans="1:1" x14ac:dyDescent="0.25">
      <c r="A665" t="s">
        <v>675</v>
      </c>
    </row>
    <row r="666" spans="1:1" x14ac:dyDescent="0.25">
      <c r="A666" t="s">
        <v>676</v>
      </c>
    </row>
    <row r="667" spans="1:1" x14ac:dyDescent="0.25">
      <c r="A667" t="s">
        <v>677</v>
      </c>
    </row>
    <row r="668" spans="1:1" x14ac:dyDescent="0.25">
      <c r="A668" t="s">
        <v>678</v>
      </c>
    </row>
    <row r="669" spans="1:1" x14ac:dyDescent="0.25">
      <c r="A669" t="s">
        <v>512</v>
      </c>
    </row>
    <row r="670" spans="1:1" x14ac:dyDescent="0.25">
      <c r="A670" t="s">
        <v>679</v>
      </c>
    </row>
    <row r="671" spans="1:1" x14ac:dyDescent="0.25">
      <c r="A671" t="s">
        <v>680</v>
      </c>
    </row>
    <row r="672" spans="1:1" x14ac:dyDescent="0.25">
      <c r="A672" t="s">
        <v>681</v>
      </c>
    </row>
    <row r="673" spans="1:1" x14ac:dyDescent="0.25">
      <c r="A673" t="s">
        <v>641</v>
      </c>
    </row>
    <row r="674" spans="1:1" x14ac:dyDescent="0.25">
      <c r="A674" t="s">
        <v>395</v>
      </c>
    </row>
    <row r="675" spans="1:1" x14ac:dyDescent="0.25">
      <c r="A675" t="s">
        <v>396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382</v>
      </c>
    </row>
    <row r="681" spans="1:1" x14ac:dyDescent="0.25">
      <c r="A681" t="s">
        <v>605</v>
      </c>
    </row>
    <row r="682" spans="1:1" x14ac:dyDescent="0.25">
      <c r="A682" t="s">
        <v>685</v>
      </c>
    </row>
    <row r="683" spans="1:1" x14ac:dyDescent="0.25">
      <c r="A683" t="s">
        <v>403</v>
      </c>
    </row>
    <row r="684" spans="1:1" x14ac:dyDescent="0.25">
      <c r="A684" t="s">
        <v>404</v>
      </c>
    </row>
    <row r="685" spans="1:1" x14ac:dyDescent="0.25">
      <c r="A685" t="s">
        <v>405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1" spans="1:1" x14ac:dyDescent="0.25">
      <c r="A691" t="s">
        <v>689</v>
      </c>
    </row>
    <row r="692" spans="1:1" x14ac:dyDescent="0.25">
      <c r="A692" t="s">
        <v>690</v>
      </c>
    </row>
    <row r="693" spans="1:1" x14ac:dyDescent="0.25">
      <c r="A693" t="s">
        <v>691</v>
      </c>
    </row>
    <row r="694" spans="1:1" x14ac:dyDescent="0.25">
      <c r="A694" t="s">
        <v>692</v>
      </c>
    </row>
    <row r="695" spans="1:1" x14ac:dyDescent="0.25">
      <c r="A695" t="s">
        <v>693</v>
      </c>
    </row>
    <row r="696" spans="1:1" x14ac:dyDescent="0.25">
      <c r="A696" t="s">
        <v>441</v>
      </c>
    </row>
    <row r="698" spans="1:1" x14ac:dyDescent="0.25">
      <c r="A698" t="s">
        <v>694</v>
      </c>
    </row>
    <row r="700" spans="1:1" x14ac:dyDescent="0.25">
      <c r="A700" t="s">
        <v>695</v>
      </c>
    </row>
    <row r="701" spans="1:1" x14ac:dyDescent="0.25">
      <c r="A701" t="s">
        <v>696</v>
      </c>
    </row>
    <row r="702" spans="1:1" x14ac:dyDescent="0.25">
      <c r="A702" t="s">
        <v>697</v>
      </c>
    </row>
    <row r="703" spans="1:1" x14ac:dyDescent="0.25">
      <c r="A703" t="s">
        <v>698</v>
      </c>
    </row>
    <row r="704" spans="1:1" x14ac:dyDescent="0.25">
      <c r="A704" t="s">
        <v>699</v>
      </c>
    </row>
    <row r="705" spans="1:1" x14ac:dyDescent="0.25">
      <c r="A705" t="s">
        <v>700</v>
      </c>
    </row>
    <row r="706" spans="1:1" x14ac:dyDescent="0.25">
      <c r="A706" t="s">
        <v>701</v>
      </c>
    </row>
    <row r="707" spans="1:1" x14ac:dyDescent="0.25">
      <c r="A707" t="s">
        <v>702</v>
      </c>
    </row>
    <row r="708" spans="1:1" x14ac:dyDescent="0.25">
      <c r="A708" t="s">
        <v>703</v>
      </c>
    </row>
    <row r="709" spans="1:1" x14ac:dyDescent="0.25">
      <c r="A709" t="s">
        <v>704</v>
      </c>
    </row>
    <row r="710" spans="1:1" x14ac:dyDescent="0.25">
      <c r="A710" t="s">
        <v>705</v>
      </c>
    </row>
    <row r="711" spans="1:1" x14ac:dyDescent="0.25">
      <c r="A711" t="s">
        <v>454</v>
      </c>
    </row>
    <row r="712" spans="1:1" x14ac:dyDescent="0.25">
      <c r="A712" t="s">
        <v>706</v>
      </c>
    </row>
    <row r="713" spans="1:1" x14ac:dyDescent="0.25">
      <c r="A713" t="s">
        <v>707</v>
      </c>
    </row>
    <row r="714" spans="1:1" x14ac:dyDescent="0.25">
      <c r="A714" t="s">
        <v>708</v>
      </c>
    </row>
    <row r="715" spans="1:1" x14ac:dyDescent="0.25">
      <c r="A715" t="s">
        <v>709</v>
      </c>
    </row>
    <row r="716" spans="1:1" x14ac:dyDescent="0.25">
      <c r="A716" t="s">
        <v>710</v>
      </c>
    </row>
    <row r="717" spans="1:1" x14ac:dyDescent="0.25">
      <c r="A717" t="s">
        <v>711</v>
      </c>
    </row>
    <row r="718" spans="1:1" x14ac:dyDescent="0.25">
      <c r="A718" t="s">
        <v>712</v>
      </c>
    </row>
    <row r="719" spans="1:1" x14ac:dyDescent="0.25">
      <c r="A719" t="s">
        <v>713</v>
      </c>
    </row>
    <row r="720" spans="1:1" x14ac:dyDescent="0.25">
      <c r="A720" t="s">
        <v>714</v>
      </c>
    </row>
    <row r="721" spans="1:1" x14ac:dyDescent="0.25">
      <c r="A721" t="s">
        <v>715</v>
      </c>
    </row>
    <row r="722" spans="1:1" x14ac:dyDescent="0.25">
      <c r="A722" t="s">
        <v>716</v>
      </c>
    </row>
    <row r="723" spans="1:1" x14ac:dyDescent="0.25">
      <c r="A723" t="s">
        <v>717</v>
      </c>
    </row>
    <row r="724" spans="1:1" x14ac:dyDescent="0.25">
      <c r="A724" t="s">
        <v>718</v>
      </c>
    </row>
    <row r="725" spans="1:1" x14ac:dyDescent="0.25">
      <c r="A725" t="s">
        <v>719</v>
      </c>
    </row>
    <row r="726" spans="1:1" x14ac:dyDescent="0.25">
      <c r="A726" t="s">
        <v>720</v>
      </c>
    </row>
    <row r="727" spans="1:1" x14ac:dyDescent="0.25">
      <c r="A727" t="s">
        <v>721</v>
      </c>
    </row>
    <row r="728" spans="1:1" x14ac:dyDescent="0.25">
      <c r="A728" t="s">
        <v>722</v>
      </c>
    </row>
    <row r="729" spans="1:1" x14ac:dyDescent="0.25">
      <c r="A729" t="s">
        <v>723</v>
      </c>
    </row>
    <row r="730" spans="1:1" x14ac:dyDescent="0.25">
      <c r="A730" t="s">
        <v>641</v>
      </c>
    </row>
    <row r="732" spans="1:1" x14ac:dyDescent="0.25">
      <c r="A732" t="s">
        <v>724</v>
      </c>
    </row>
    <row r="733" spans="1:1" x14ac:dyDescent="0.25">
      <c r="A733" t="s">
        <v>725</v>
      </c>
    </row>
    <row r="735" spans="1:1" x14ac:dyDescent="0.25">
      <c r="A735" t="s">
        <v>726</v>
      </c>
    </row>
    <row r="736" spans="1:1" x14ac:dyDescent="0.25">
      <c r="A736" t="s">
        <v>396</v>
      </c>
    </row>
    <row r="738" spans="1:1" x14ac:dyDescent="0.25">
      <c r="A738" t="s">
        <v>727</v>
      </c>
    </row>
    <row r="739" spans="1:1" x14ac:dyDescent="0.25">
      <c r="A739" t="s">
        <v>728</v>
      </c>
    </row>
    <row r="740" spans="1:1" x14ac:dyDescent="0.25">
      <c r="A740" t="s">
        <v>561</v>
      </c>
    </row>
    <row r="741" spans="1:1" x14ac:dyDescent="0.25">
      <c r="A741" t="s">
        <v>729</v>
      </c>
    </row>
    <row r="742" spans="1:1" x14ac:dyDescent="0.25">
      <c r="A742" t="s">
        <v>396</v>
      </c>
    </row>
    <row r="744" spans="1:1" x14ac:dyDescent="0.25">
      <c r="A744" t="s">
        <v>730</v>
      </c>
    </row>
    <row r="745" spans="1:1" x14ac:dyDescent="0.25">
      <c r="A745" t="s">
        <v>731</v>
      </c>
    </row>
    <row r="746" spans="1:1" x14ac:dyDescent="0.25">
      <c r="A746" t="s">
        <v>732</v>
      </c>
    </row>
    <row r="747" spans="1:1" x14ac:dyDescent="0.25">
      <c r="A747" t="s">
        <v>565</v>
      </c>
    </row>
    <row r="748" spans="1:1" x14ac:dyDescent="0.25">
      <c r="A748" t="s">
        <v>642</v>
      </c>
    </row>
    <row r="749" spans="1:1" x14ac:dyDescent="0.25">
      <c r="A749" t="s">
        <v>733</v>
      </c>
    </row>
    <row r="751" spans="1:1" x14ac:dyDescent="0.25">
      <c r="A751" t="s">
        <v>734</v>
      </c>
    </row>
    <row r="752" spans="1:1" x14ac:dyDescent="0.25">
      <c r="A752" t="s">
        <v>735</v>
      </c>
    </row>
    <row r="753" spans="1:1" x14ac:dyDescent="0.25">
      <c r="A753" t="s">
        <v>736</v>
      </c>
    </row>
    <row r="755" spans="1:1" x14ac:dyDescent="0.25">
      <c r="A755" t="s">
        <v>737</v>
      </c>
    </row>
    <row r="756" spans="1:1" x14ac:dyDescent="0.25">
      <c r="A756" t="s">
        <v>738</v>
      </c>
    </row>
    <row r="757" spans="1:1" x14ac:dyDescent="0.25">
      <c r="A757" t="s">
        <v>739</v>
      </c>
    </row>
    <row r="759" spans="1:1" x14ac:dyDescent="0.25">
      <c r="A759" t="s">
        <v>740</v>
      </c>
    </row>
    <row r="760" spans="1:1" x14ac:dyDescent="0.25">
      <c r="A760" t="s">
        <v>741</v>
      </c>
    </row>
    <row r="761" spans="1:1" x14ac:dyDescent="0.25">
      <c r="A761" t="s">
        <v>742</v>
      </c>
    </row>
    <row r="763" spans="1:1" x14ac:dyDescent="0.25">
      <c r="A763" t="s">
        <v>743</v>
      </c>
    </row>
    <row r="765" spans="1:1" x14ac:dyDescent="0.25">
      <c r="A765" t="s">
        <v>744</v>
      </c>
    </row>
    <row r="766" spans="1:1" x14ac:dyDescent="0.25">
      <c r="A766" t="s">
        <v>745</v>
      </c>
    </row>
    <row r="767" spans="1:1" x14ac:dyDescent="0.25">
      <c r="A767" t="s">
        <v>746</v>
      </c>
    </row>
    <row r="768" spans="1:1" x14ac:dyDescent="0.25">
      <c r="A768" t="s">
        <v>747</v>
      </c>
    </row>
    <row r="769" spans="1:1" x14ac:dyDescent="0.25">
      <c r="A769" t="s">
        <v>748</v>
      </c>
    </row>
    <row r="770" spans="1:1" x14ac:dyDescent="0.25">
      <c r="A770" t="s">
        <v>749</v>
      </c>
    </row>
    <row r="771" spans="1:1" x14ac:dyDescent="0.25">
      <c r="A771" t="s">
        <v>750</v>
      </c>
    </row>
    <row r="772" spans="1:1" x14ac:dyDescent="0.25">
      <c r="A772" t="s">
        <v>751</v>
      </c>
    </row>
    <row r="773" spans="1:1" x14ac:dyDescent="0.25">
      <c r="A773" t="s">
        <v>570</v>
      </c>
    </row>
    <row r="774" spans="1:1" x14ac:dyDescent="0.25">
      <c r="A774" t="s">
        <v>635</v>
      </c>
    </row>
    <row r="775" spans="1:1" x14ac:dyDescent="0.25">
      <c r="A775" t="s">
        <v>752</v>
      </c>
    </row>
    <row r="776" spans="1:1" x14ac:dyDescent="0.25">
      <c r="A776" t="s">
        <v>579</v>
      </c>
    </row>
    <row r="777" spans="1:1" x14ac:dyDescent="0.25">
      <c r="A777" t="s">
        <v>396</v>
      </c>
    </row>
    <row r="779" spans="1:1" x14ac:dyDescent="0.25">
      <c r="A779" t="s">
        <v>753</v>
      </c>
    </row>
    <row r="780" spans="1:1" x14ac:dyDescent="0.25">
      <c r="A780" t="s">
        <v>754</v>
      </c>
    </row>
    <row r="781" spans="1:1" x14ac:dyDescent="0.25">
      <c r="A781" t="s">
        <v>365</v>
      </c>
    </row>
    <row r="782" spans="1:1" x14ac:dyDescent="0.25">
      <c r="A782" t="s">
        <v>755</v>
      </c>
    </row>
    <row r="783" spans="1:1" x14ac:dyDescent="0.25">
      <c r="A783" t="s">
        <v>756</v>
      </c>
    </row>
    <row r="784" spans="1:1" x14ac:dyDescent="0.25">
      <c r="A784" t="s">
        <v>757</v>
      </c>
    </row>
    <row r="785" spans="1:1" x14ac:dyDescent="0.25">
      <c r="A785" t="s">
        <v>758</v>
      </c>
    </row>
    <row r="786" spans="1:1" x14ac:dyDescent="0.25">
      <c r="A786" t="s">
        <v>759</v>
      </c>
    </row>
    <row r="788" spans="1:1" x14ac:dyDescent="0.25">
      <c r="A788" t="s">
        <v>760</v>
      </c>
    </row>
    <row r="789" spans="1:1" x14ac:dyDescent="0.25">
      <c r="A789" t="s">
        <v>761</v>
      </c>
    </row>
    <row r="791" spans="1:1" x14ac:dyDescent="0.25">
      <c r="A791" t="s">
        <v>762</v>
      </c>
    </row>
    <row r="792" spans="1:1" x14ac:dyDescent="0.25">
      <c r="A792" t="s">
        <v>763</v>
      </c>
    </row>
    <row r="793" spans="1:1" x14ac:dyDescent="0.25">
      <c r="A793" t="s">
        <v>764</v>
      </c>
    </row>
    <row r="794" spans="1:1" x14ac:dyDescent="0.25">
      <c r="A794" t="s">
        <v>765</v>
      </c>
    </row>
    <row r="795" spans="1:1" x14ac:dyDescent="0.25">
      <c r="A795" t="s">
        <v>766</v>
      </c>
    </row>
    <row r="796" spans="1:1" x14ac:dyDescent="0.25">
      <c r="A796" t="s">
        <v>579</v>
      </c>
    </row>
    <row r="797" spans="1:1" x14ac:dyDescent="0.25">
      <c r="A797" t="s">
        <v>767</v>
      </c>
    </row>
    <row r="798" spans="1:1" x14ac:dyDescent="0.25">
      <c r="A798" t="s">
        <v>768</v>
      </c>
    </row>
    <row r="799" spans="1:1" x14ac:dyDescent="0.25">
      <c r="A799" t="s">
        <v>579</v>
      </c>
    </row>
    <row r="801" spans="1:1" x14ac:dyDescent="0.25">
      <c r="A801" t="s">
        <v>769</v>
      </c>
    </row>
    <row r="802" spans="1:1" x14ac:dyDescent="0.25">
      <c r="A802" t="s">
        <v>770</v>
      </c>
    </row>
    <row r="803" spans="1:1" x14ac:dyDescent="0.25">
      <c r="A803" t="s">
        <v>771</v>
      </c>
    </row>
    <row r="804" spans="1:1" x14ac:dyDescent="0.25">
      <c r="A804" t="s">
        <v>772</v>
      </c>
    </row>
    <row r="805" spans="1:1" x14ac:dyDescent="0.25">
      <c r="A805" t="s">
        <v>396</v>
      </c>
    </row>
    <row r="807" spans="1:1" x14ac:dyDescent="0.25">
      <c r="A807" t="s">
        <v>773</v>
      </c>
    </row>
    <row r="808" spans="1:1" x14ac:dyDescent="0.25">
      <c r="A808" t="s">
        <v>774</v>
      </c>
    </row>
    <row r="809" spans="1:1" x14ac:dyDescent="0.25">
      <c r="A809" t="s">
        <v>775</v>
      </c>
    </row>
    <row r="810" spans="1:1" x14ac:dyDescent="0.25">
      <c r="A810" t="s">
        <v>776</v>
      </c>
    </row>
    <row r="811" spans="1:1" x14ac:dyDescent="0.25">
      <c r="A811" t="s">
        <v>777</v>
      </c>
    </row>
    <row r="812" spans="1:1" x14ac:dyDescent="0.25">
      <c r="A812" t="s">
        <v>778</v>
      </c>
    </row>
    <row r="813" spans="1:1" x14ac:dyDescent="0.25">
      <c r="A813" t="s">
        <v>365</v>
      </c>
    </row>
    <row r="814" spans="1:1" x14ac:dyDescent="0.25">
      <c r="A814" t="s">
        <v>755</v>
      </c>
    </row>
    <row r="815" spans="1:1" x14ac:dyDescent="0.25">
      <c r="A815" t="s">
        <v>779</v>
      </c>
    </row>
    <row r="816" spans="1:1" x14ac:dyDescent="0.25">
      <c r="A816" t="s">
        <v>780</v>
      </c>
    </row>
    <row r="817" spans="1:1" x14ac:dyDescent="0.25">
      <c r="A817" t="s">
        <v>781</v>
      </c>
    </row>
    <row r="818" spans="1:1" x14ac:dyDescent="0.25">
      <c r="A818" t="s">
        <v>782</v>
      </c>
    </row>
    <row r="819" spans="1:1" x14ac:dyDescent="0.25">
      <c r="A819" t="s">
        <v>365</v>
      </c>
    </row>
    <row r="820" spans="1:1" x14ac:dyDescent="0.25">
      <c r="A820" t="s">
        <v>783</v>
      </c>
    </row>
    <row r="821" spans="1:1" x14ac:dyDescent="0.25">
      <c r="A821" t="s">
        <v>784</v>
      </c>
    </row>
    <row r="822" spans="1:1" x14ac:dyDescent="0.25">
      <c r="A822" t="s">
        <v>785</v>
      </c>
    </row>
    <row r="823" spans="1:1" x14ac:dyDescent="0.25">
      <c r="A823" t="s">
        <v>365</v>
      </c>
    </row>
    <row r="824" spans="1:1" x14ac:dyDescent="0.25">
      <c r="A824" t="s">
        <v>786</v>
      </c>
    </row>
    <row r="825" spans="1:1" x14ac:dyDescent="0.25">
      <c r="A825" t="s">
        <v>787</v>
      </c>
    </row>
    <row r="826" spans="1:1" x14ac:dyDescent="0.25">
      <c r="A826" t="s">
        <v>365</v>
      </c>
    </row>
    <row r="827" spans="1:1" x14ac:dyDescent="0.25">
      <c r="A827" t="s">
        <v>788</v>
      </c>
    </row>
    <row r="828" spans="1:1" x14ac:dyDescent="0.25">
      <c r="A828" t="s">
        <v>789</v>
      </c>
    </row>
    <row r="829" spans="1:1" x14ac:dyDescent="0.25">
      <c r="A829" t="s">
        <v>365</v>
      </c>
    </row>
    <row r="830" spans="1:1" x14ac:dyDescent="0.25">
      <c r="A830" t="s">
        <v>790</v>
      </c>
    </row>
    <row r="831" spans="1:1" x14ac:dyDescent="0.25">
      <c r="A831" t="s">
        <v>791</v>
      </c>
    </row>
    <row r="833" spans="1:1" x14ac:dyDescent="0.25">
      <c r="A833" t="s">
        <v>792</v>
      </c>
    </row>
    <row r="834" spans="1:1" x14ac:dyDescent="0.25">
      <c r="A834" t="s">
        <v>793</v>
      </c>
    </row>
    <row r="836" spans="1:1" x14ac:dyDescent="0.25">
      <c r="A836" t="s">
        <v>794</v>
      </c>
    </row>
    <row r="837" spans="1:1" x14ac:dyDescent="0.25">
      <c r="A837" t="s">
        <v>795</v>
      </c>
    </row>
    <row r="839" spans="1:1" x14ac:dyDescent="0.25">
      <c r="A839" t="s">
        <v>796</v>
      </c>
    </row>
    <row r="840" spans="1:1" x14ac:dyDescent="0.25">
      <c r="A840" t="s">
        <v>797</v>
      </c>
    </row>
    <row r="841" spans="1:1" x14ac:dyDescent="0.25">
      <c r="A841" t="s">
        <v>798</v>
      </c>
    </row>
    <row r="842" spans="1:1" x14ac:dyDescent="0.25">
      <c r="A842" t="s">
        <v>799</v>
      </c>
    </row>
    <row r="843" spans="1:1" x14ac:dyDescent="0.25">
      <c r="A843" t="s">
        <v>800</v>
      </c>
    </row>
    <row r="845" spans="1:1" x14ac:dyDescent="0.25">
      <c r="A845" t="s">
        <v>801</v>
      </c>
    </row>
    <row r="846" spans="1:1" x14ac:dyDescent="0.25">
      <c r="A846" t="s">
        <v>802</v>
      </c>
    </row>
    <row r="847" spans="1:1" x14ac:dyDescent="0.25">
      <c r="A847" t="s">
        <v>579</v>
      </c>
    </row>
    <row r="849" spans="1:1" x14ac:dyDescent="0.25">
      <c r="A849" t="s">
        <v>803</v>
      </c>
    </row>
    <row r="850" spans="1:1" x14ac:dyDescent="0.25">
      <c r="A850" t="s">
        <v>804</v>
      </c>
    </row>
    <row r="851" spans="1:1" x14ac:dyDescent="0.25">
      <c r="A851" t="s">
        <v>805</v>
      </c>
    </row>
    <row r="852" spans="1:1" x14ac:dyDescent="0.25">
      <c r="A852" t="s">
        <v>806</v>
      </c>
    </row>
    <row r="853" spans="1:1" x14ac:dyDescent="0.25">
      <c r="A853" t="s">
        <v>733</v>
      </c>
    </row>
    <row r="855" spans="1:1" x14ac:dyDescent="0.25">
      <c r="A855" t="s">
        <v>807</v>
      </c>
    </row>
    <row r="856" spans="1:1" x14ac:dyDescent="0.25">
      <c r="A856" t="s">
        <v>808</v>
      </c>
    </row>
    <row r="857" spans="1:1" x14ac:dyDescent="0.25">
      <c r="A857" t="s">
        <v>809</v>
      </c>
    </row>
    <row r="858" spans="1:1" x14ac:dyDescent="0.25">
      <c r="A858" t="s">
        <v>579</v>
      </c>
    </row>
    <row r="859" spans="1:1" x14ac:dyDescent="0.25">
      <c r="A859" t="s">
        <v>396</v>
      </c>
    </row>
    <row r="861" spans="1:1" x14ac:dyDescent="0.25">
      <c r="A861" t="s">
        <v>266</v>
      </c>
    </row>
    <row r="862" spans="1:1" x14ac:dyDescent="0.25">
      <c r="A862" t="s">
        <v>810</v>
      </c>
    </row>
    <row r="863" spans="1:1" x14ac:dyDescent="0.25">
      <c r="A863" t="s">
        <v>811</v>
      </c>
    </row>
    <row r="864" spans="1:1" x14ac:dyDescent="0.25">
      <c r="A864" t="s">
        <v>269</v>
      </c>
    </row>
    <row r="865" spans="1:1" x14ac:dyDescent="0.25">
      <c r="A865" t="s">
        <v>812</v>
      </c>
    </row>
    <row r="866" spans="1:1" x14ac:dyDescent="0.25">
      <c r="A866" t="s">
        <v>269</v>
      </c>
    </row>
    <row r="867" spans="1:1" x14ac:dyDescent="0.25">
      <c r="A867" t="s">
        <v>271</v>
      </c>
    </row>
    <row r="868" spans="1:1" x14ac:dyDescent="0.25">
      <c r="A868" t="s">
        <v>813</v>
      </c>
    </row>
    <row r="869" spans="1:1" x14ac:dyDescent="0.25">
      <c r="A869" t="s">
        <v>814</v>
      </c>
    </row>
    <row r="870" spans="1:1" x14ac:dyDescent="0.25">
      <c r="A870" t="s">
        <v>815</v>
      </c>
    </row>
    <row r="871" spans="1:1" x14ac:dyDescent="0.25">
      <c r="A871" t="s">
        <v>816</v>
      </c>
    </row>
    <row r="872" spans="1:1" x14ac:dyDescent="0.25">
      <c r="A872" t="s">
        <v>269</v>
      </c>
    </row>
    <row r="873" spans="1:1" x14ac:dyDescent="0.25">
      <c r="A873" t="s">
        <v>817</v>
      </c>
    </row>
    <row r="874" spans="1:1" x14ac:dyDescent="0.25">
      <c r="A874" t="s">
        <v>274</v>
      </c>
    </row>
    <row r="875" spans="1:1" x14ac:dyDescent="0.25">
      <c r="A875" t="s">
        <v>275</v>
      </c>
    </row>
    <row r="876" spans="1:1" x14ac:dyDescent="0.25">
      <c r="A876" t="s">
        <v>276</v>
      </c>
    </row>
    <row r="878" spans="1:1" x14ac:dyDescent="0.25">
      <c r="A878" t="s">
        <v>818</v>
      </c>
    </row>
    <row r="880" spans="1:1" x14ac:dyDescent="0.25">
      <c r="A880" t="s">
        <v>374</v>
      </c>
    </row>
    <row r="881" spans="1:1" x14ac:dyDescent="0.25">
      <c r="A881" t="s">
        <v>375</v>
      </c>
    </row>
    <row r="882" spans="1:1" x14ac:dyDescent="0.25">
      <c r="A882" t="s">
        <v>374</v>
      </c>
    </row>
    <row r="884" spans="1:1" x14ac:dyDescent="0.25">
      <c r="A884" t="s">
        <v>266</v>
      </c>
    </row>
    <row r="885" spans="1:1" x14ac:dyDescent="0.25">
      <c r="A885" t="s">
        <v>819</v>
      </c>
    </row>
    <row r="886" spans="1:1" x14ac:dyDescent="0.25">
      <c r="A886" t="s">
        <v>269</v>
      </c>
    </row>
    <row r="887" spans="1:1" x14ac:dyDescent="0.25">
      <c r="A887" t="s">
        <v>820</v>
      </c>
    </row>
    <row r="888" spans="1:1" x14ac:dyDescent="0.25">
      <c r="A888" t="s">
        <v>821</v>
      </c>
    </row>
    <row r="889" spans="1:1" x14ac:dyDescent="0.25">
      <c r="A889" t="s">
        <v>822</v>
      </c>
    </row>
    <row r="890" spans="1:1" x14ac:dyDescent="0.25">
      <c r="A890" t="s">
        <v>823</v>
      </c>
    </row>
    <row r="891" spans="1:1" x14ac:dyDescent="0.25">
      <c r="A891" t="s">
        <v>266</v>
      </c>
    </row>
    <row r="892" spans="1:1" x14ac:dyDescent="0.25">
      <c r="A892" t="s">
        <v>824</v>
      </c>
    </row>
    <row r="893" spans="1:1" x14ac:dyDescent="0.25">
      <c r="A893" t="s">
        <v>825</v>
      </c>
    </row>
    <row r="895" spans="1:1" x14ac:dyDescent="0.25">
      <c r="A895" t="s">
        <v>305</v>
      </c>
    </row>
    <row r="896" spans="1:1" x14ac:dyDescent="0.25">
      <c r="A896" t="s">
        <v>826</v>
      </c>
    </row>
    <row r="897" spans="1:1" x14ac:dyDescent="0.25">
      <c r="A897" t="s">
        <v>315</v>
      </c>
    </row>
    <row r="898" spans="1:1" x14ac:dyDescent="0.25">
      <c r="A898" t="s">
        <v>827</v>
      </c>
    </row>
    <row r="899" spans="1:1" x14ac:dyDescent="0.25">
      <c r="A899" t="s">
        <v>828</v>
      </c>
    </row>
    <row r="901" spans="1:1" x14ac:dyDescent="0.25">
      <c r="A901" t="s">
        <v>829</v>
      </c>
    </row>
    <row r="902" spans="1:1" x14ac:dyDescent="0.25">
      <c r="A902" t="s">
        <v>830</v>
      </c>
    </row>
    <row r="904" spans="1:1" x14ac:dyDescent="0.25">
      <c r="A904" t="s">
        <v>831</v>
      </c>
    </row>
    <row r="905" spans="1:1" x14ac:dyDescent="0.25">
      <c r="A905" t="s">
        <v>324</v>
      </c>
    </row>
    <row r="907" spans="1:1" x14ac:dyDescent="0.25">
      <c r="A907" t="s">
        <v>832</v>
      </c>
    </row>
    <row r="909" spans="1:1" x14ac:dyDescent="0.25">
      <c r="A909" t="s">
        <v>833</v>
      </c>
    </row>
    <row r="910" spans="1:1" x14ac:dyDescent="0.25">
      <c r="A910" t="s">
        <v>834</v>
      </c>
    </row>
    <row r="911" spans="1:1" x14ac:dyDescent="0.25">
      <c r="A911" t="s">
        <v>396</v>
      </c>
    </row>
    <row r="913" spans="1:1" x14ac:dyDescent="0.25">
      <c r="A913" t="s">
        <v>266</v>
      </c>
    </row>
    <row r="914" spans="1:1" x14ac:dyDescent="0.25">
      <c r="A914" t="s">
        <v>835</v>
      </c>
    </row>
    <row r="915" spans="1:1" x14ac:dyDescent="0.25">
      <c r="A915" t="s">
        <v>269</v>
      </c>
    </row>
    <row r="916" spans="1:1" x14ac:dyDescent="0.25">
      <c r="A916" t="s">
        <v>836</v>
      </c>
    </row>
    <row r="917" spans="1:1" x14ac:dyDescent="0.25">
      <c r="A917" t="s">
        <v>837</v>
      </c>
    </row>
    <row r="918" spans="1:1" x14ac:dyDescent="0.25">
      <c r="A918" t="s">
        <v>838</v>
      </c>
    </row>
    <row r="919" spans="1:1" x14ac:dyDescent="0.25">
      <c r="A919" t="s">
        <v>839</v>
      </c>
    </row>
    <row r="920" spans="1:1" x14ac:dyDescent="0.25">
      <c r="A920" t="s">
        <v>266</v>
      </c>
    </row>
    <row r="921" spans="1:1" x14ac:dyDescent="0.25">
      <c r="A921" t="s">
        <v>840</v>
      </c>
    </row>
    <row r="922" spans="1:1" x14ac:dyDescent="0.25">
      <c r="A922" t="s">
        <v>825</v>
      </c>
    </row>
    <row r="924" spans="1:1" x14ac:dyDescent="0.25">
      <c r="A924" t="s">
        <v>305</v>
      </c>
    </row>
    <row r="925" spans="1:1" x14ac:dyDescent="0.25">
      <c r="A925" t="s">
        <v>841</v>
      </c>
    </row>
    <row r="926" spans="1:1" x14ac:dyDescent="0.25">
      <c r="A926" t="s">
        <v>315</v>
      </c>
    </row>
    <row r="927" spans="1:1" x14ac:dyDescent="0.25">
      <c r="A927" t="s">
        <v>827</v>
      </c>
    </row>
    <row r="928" spans="1:1" x14ac:dyDescent="0.25">
      <c r="A928" t="s">
        <v>842</v>
      </c>
    </row>
    <row r="930" spans="1:1" x14ac:dyDescent="0.25">
      <c r="A930" t="s">
        <v>829</v>
      </c>
    </row>
    <row r="931" spans="1:1" x14ac:dyDescent="0.25">
      <c r="A931" t="s">
        <v>843</v>
      </c>
    </row>
    <row r="933" spans="1:1" x14ac:dyDescent="0.25">
      <c r="A933" t="s">
        <v>844</v>
      </c>
    </row>
    <row r="934" spans="1:1" x14ac:dyDescent="0.25">
      <c r="A934" t="s">
        <v>324</v>
      </c>
    </row>
    <row r="936" spans="1:1" x14ac:dyDescent="0.25">
      <c r="A936" t="s">
        <v>832</v>
      </c>
    </row>
    <row r="938" spans="1:1" x14ac:dyDescent="0.25">
      <c r="A938" t="s">
        <v>833</v>
      </c>
    </row>
    <row r="939" spans="1:1" x14ac:dyDescent="0.25">
      <c r="A939" t="s">
        <v>845</v>
      </c>
    </row>
    <row r="940" spans="1:1" x14ac:dyDescent="0.25">
      <c r="A940" t="s">
        <v>396</v>
      </c>
    </row>
    <row r="942" spans="1:1" x14ac:dyDescent="0.25">
      <c r="A942" t="s">
        <v>266</v>
      </c>
    </row>
    <row r="943" spans="1:1" x14ac:dyDescent="0.25">
      <c r="A943" t="s">
        <v>846</v>
      </c>
    </row>
    <row r="944" spans="1:1" x14ac:dyDescent="0.25">
      <c r="A944" t="s">
        <v>269</v>
      </c>
    </row>
    <row r="945" spans="1:1" x14ac:dyDescent="0.25">
      <c r="A945" t="s">
        <v>847</v>
      </c>
    </row>
    <row r="946" spans="1:1" x14ac:dyDescent="0.25">
      <c r="A946" t="s">
        <v>848</v>
      </c>
    </row>
    <row r="947" spans="1:1" x14ac:dyDescent="0.25">
      <c r="A947" t="s">
        <v>822</v>
      </c>
    </row>
    <row r="948" spans="1:1" x14ac:dyDescent="0.25">
      <c r="A948" t="s">
        <v>849</v>
      </c>
    </row>
    <row r="949" spans="1:1" x14ac:dyDescent="0.25">
      <c r="A949" t="s">
        <v>266</v>
      </c>
    </row>
    <row r="950" spans="1:1" x14ac:dyDescent="0.25">
      <c r="A950" t="s">
        <v>850</v>
      </c>
    </row>
    <row r="951" spans="1:1" x14ac:dyDescent="0.25">
      <c r="A951" t="s">
        <v>825</v>
      </c>
    </row>
    <row r="953" spans="1:1" x14ac:dyDescent="0.25">
      <c r="A953" t="s">
        <v>851</v>
      </c>
    </row>
    <row r="954" spans="1:1" x14ac:dyDescent="0.25">
      <c r="A954" t="s">
        <v>852</v>
      </c>
    </row>
    <row r="955" spans="1:1" x14ac:dyDescent="0.25">
      <c r="A955" t="s">
        <v>853</v>
      </c>
    </row>
    <row r="956" spans="1:1" x14ac:dyDescent="0.25">
      <c r="A956" t="s">
        <v>854</v>
      </c>
    </row>
    <row r="957" spans="1:1" x14ac:dyDescent="0.25">
      <c r="A957" t="s">
        <v>855</v>
      </c>
    </row>
    <row r="958" spans="1:1" x14ac:dyDescent="0.25">
      <c r="A958" t="s">
        <v>856</v>
      </c>
    </row>
    <row r="959" spans="1:1" x14ac:dyDescent="0.25">
      <c r="A959" t="s">
        <v>857</v>
      </c>
    </row>
    <row r="960" spans="1:1" x14ac:dyDescent="0.25">
      <c r="A960" t="s">
        <v>858</v>
      </c>
    </row>
    <row r="962" spans="1:1" x14ac:dyDescent="0.25">
      <c r="A962" t="s">
        <v>859</v>
      </c>
    </row>
    <row r="963" spans="1:1" x14ac:dyDescent="0.25">
      <c r="A963" t="s">
        <v>860</v>
      </c>
    </row>
    <row r="964" spans="1:1" x14ac:dyDescent="0.25">
      <c r="A964" t="s">
        <v>861</v>
      </c>
    </row>
    <row r="966" spans="1:1" x14ac:dyDescent="0.25">
      <c r="A966" t="s">
        <v>862</v>
      </c>
    </row>
    <row r="967" spans="1:1" x14ac:dyDescent="0.25">
      <c r="A967" t="s">
        <v>863</v>
      </c>
    </row>
    <row r="968" spans="1:1" x14ac:dyDescent="0.25">
      <c r="A968" t="s">
        <v>864</v>
      </c>
    </row>
    <row r="969" spans="1:1" x14ac:dyDescent="0.25">
      <c r="A969" t="s">
        <v>439</v>
      </c>
    </row>
    <row r="970" spans="1:1" x14ac:dyDescent="0.25">
      <c r="A970" t="s">
        <v>865</v>
      </c>
    </row>
    <row r="971" spans="1:1" x14ac:dyDescent="0.25">
      <c r="A971" t="s">
        <v>866</v>
      </c>
    </row>
    <row r="972" spans="1:1" x14ac:dyDescent="0.25">
      <c r="A972" t="s">
        <v>867</v>
      </c>
    </row>
    <row r="973" spans="1:1" x14ac:dyDescent="0.25">
      <c r="A973" t="s">
        <v>868</v>
      </c>
    </row>
    <row r="974" spans="1:1" x14ac:dyDescent="0.25">
      <c r="A974" t="s">
        <v>454</v>
      </c>
    </row>
    <row r="976" spans="1:1" x14ac:dyDescent="0.25">
      <c r="A976" t="s">
        <v>869</v>
      </c>
    </row>
    <row r="977" spans="1:1" x14ac:dyDescent="0.25">
      <c r="A977" t="s">
        <v>870</v>
      </c>
    </row>
    <row r="978" spans="1:1" x14ac:dyDescent="0.25">
      <c r="A978" t="s">
        <v>871</v>
      </c>
    </row>
    <row r="979" spans="1:1" x14ac:dyDescent="0.25">
      <c r="A979" t="s">
        <v>872</v>
      </c>
    </row>
    <row r="981" spans="1:1" x14ac:dyDescent="0.25">
      <c r="A981" t="s">
        <v>873</v>
      </c>
    </row>
    <row r="982" spans="1:1" x14ac:dyDescent="0.25">
      <c r="A982" t="s">
        <v>874</v>
      </c>
    </row>
    <row r="983" spans="1:1" x14ac:dyDescent="0.25">
      <c r="A983" t="s">
        <v>875</v>
      </c>
    </row>
    <row r="984" spans="1:1" x14ac:dyDescent="0.25">
      <c r="A984" t="s">
        <v>876</v>
      </c>
    </row>
    <row r="985" spans="1:1" x14ac:dyDescent="0.25">
      <c r="A985" t="s">
        <v>877</v>
      </c>
    </row>
    <row r="986" spans="1:1" x14ac:dyDescent="0.25">
      <c r="A986" t="s">
        <v>878</v>
      </c>
    </row>
    <row r="987" spans="1:1" x14ac:dyDescent="0.25">
      <c r="A987" t="s">
        <v>879</v>
      </c>
    </row>
    <row r="988" spans="1:1" x14ac:dyDescent="0.25">
      <c r="A988" t="s">
        <v>880</v>
      </c>
    </row>
    <row r="989" spans="1:1" x14ac:dyDescent="0.25">
      <c r="A989" t="s">
        <v>881</v>
      </c>
    </row>
    <row r="991" spans="1:1" x14ac:dyDescent="0.25">
      <c r="A991" t="s">
        <v>882</v>
      </c>
    </row>
    <row r="992" spans="1:1" x14ac:dyDescent="0.25">
      <c r="A992" t="s">
        <v>451</v>
      </c>
    </row>
    <row r="993" spans="1:1" x14ac:dyDescent="0.25">
      <c r="A993" t="s">
        <v>883</v>
      </c>
    </row>
    <row r="994" spans="1:1" x14ac:dyDescent="0.25">
      <c r="A994" t="s">
        <v>454</v>
      </c>
    </row>
    <row r="995" spans="1:1" x14ac:dyDescent="0.25">
      <c r="A995" t="s">
        <v>441</v>
      </c>
    </row>
    <row r="997" spans="1:1" x14ac:dyDescent="0.25">
      <c r="A997" t="s">
        <v>884</v>
      </c>
    </row>
    <row r="998" spans="1:1" x14ac:dyDescent="0.25">
      <c r="A998" t="s">
        <v>885</v>
      </c>
    </row>
    <row r="999" spans="1:1" x14ac:dyDescent="0.25">
      <c r="A999" t="s">
        <v>886</v>
      </c>
    </row>
    <row r="1000" spans="1:1" x14ac:dyDescent="0.25">
      <c r="A1000" t="s">
        <v>887</v>
      </c>
    </row>
    <row r="1001" spans="1:1" x14ac:dyDescent="0.25">
      <c r="A1001" t="s">
        <v>888</v>
      </c>
    </row>
    <row r="1002" spans="1:1" x14ac:dyDescent="0.25">
      <c r="A1002" t="s">
        <v>889</v>
      </c>
    </row>
    <row r="1003" spans="1:1" x14ac:dyDescent="0.25">
      <c r="A1003" t="s">
        <v>890</v>
      </c>
    </row>
    <row r="1004" spans="1:1" x14ac:dyDescent="0.25">
      <c r="A1004" t="s">
        <v>891</v>
      </c>
    </row>
    <row r="1005" spans="1:1" x14ac:dyDescent="0.25">
      <c r="A1005" t="s">
        <v>641</v>
      </c>
    </row>
    <row r="1007" spans="1:1" x14ac:dyDescent="0.25">
      <c r="A1007" t="s">
        <v>892</v>
      </c>
    </row>
    <row r="1009" spans="1:1" x14ac:dyDescent="0.25">
      <c r="A1009" t="s">
        <v>893</v>
      </c>
    </row>
    <row r="1010" spans="1:1" x14ac:dyDescent="0.25">
      <c r="A1010" t="s">
        <v>894</v>
      </c>
    </row>
    <row r="1011" spans="1:1" x14ac:dyDescent="0.25">
      <c r="A1011" t="s">
        <v>441</v>
      </c>
    </row>
    <row r="1012" spans="1:1" x14ac:dyDescent="0.25">
      <c r="A1012" t="s">
        <v>579</v>
      </c>
    </row>
    <row r="1014" spans="1:1" x14ac:dyDescent="0.25">
      <c r="A1014" t="s">
        <v>832</v>
      </c>
    </row>
    <row r="1016" spans="1:1" x14ac:dyDescent="0.25">
      <c r="A1016" t="s">
        <v>833</v>
      </c>
    </row>
    <row r="1017" spans="1:1" x14ac:dyDescent="0.25">
      <c r="A1017" t="s">
        <v>895</v>
      </c>
    </row>
    <row r="1018" spans="1:1" x14ac:dyDescent="0.25">
      <c r="A1018" t="s">
        <v>396</v>
      </c>
    </row>
    <row r="1020" spans="1:1" x14ac:dyDescent="0.25">
      <c r="A1020" t="s">
        <v>266</v>
      </c>
    </row>
    <row r="1021" spans="1:1" x14ac:dyDescent="0.25">
      <c r="A1021" t="s">
        <v>896</v>
      </c>
    </row>
    <row r="1022" spans="1:1" x14ac:dyDescent="0.25">
      <c r="A1022" t="s">
        <v>269</v>
      </c>
    </row>
    <row r="1023" spans="1:1" x14ac:dyDescent="0.25">
      <c r="A1023" t="s">
        <v>897</v>
      </c>
    </row>
    <row r="1024" spans="1:1" x14ac:dyDescent="0.25">
      <c r="A1024" t="s">
        <v>837</v>
      </c>
    </row>
    <row r="1025" spans="1:1" x14ac:dyDescent="0.25">
      <c r="A1025" t="s">
        <v>898</v>
      </c>
    </row>
    <row r="1026" spans="1:1" x14ac:dyDescent="0.25">
      <c r="A1026" t="s">
        <v>899</v>
      </c>
    </row>
    <row r="1027" spans="1:1" x14ac:dyDescent="0.25">
      <c r="A1027" t="s">
        <v>266</v>
      </c>
    </row>
    <row r="1028" spans="1:1" x14ac:dyDescent="0.25">
      <c r="A1028" t="s">
        <v>900</v>
      </c>
    </row>
    <row r="1029" spans="1:1" x14ac:dyDescent="0.25">
      <c r="A1029" t="s">
        <v>825</v>
      </c>
    </row>
    <row r="1031" spans="1:1" x14ac:dyDescent="0.25">
      <c r="A1031" t="s">
        <v>901</v>
      </c>
    </row>
    <row r="1033" spans="1:1" x14ac:dyDescent="0.25">
      <c r="A1033" t="s">
        <v>832</v>
      </c>
    </row>
    <row r="1035" spans="1:1" x14ac:dyDescent="0.25">
      <c r="A1035" t="s">
        <v>833</v>
      </c>
    </row>
    <row r="1036" spans="1:1" x14ac:dyDescent="0.25">
      <c r="A1036" t="s">
        <v>902</v>
      </c>
    </row>
    <row r="1037" spans="1:1" x14ac:dyDescent="0.25">
      <c r="A1037" t="s">
        <v>396</v>
      </c>
    </row>
    <row r="1039" spans="1:1" x14ac:dyDescent="0.25">
      <c r="A1039" t="s">
        <v>374</v>
      </c>
    </row>
    <row r="1040" spans="1:1" x14ac:dyDescent="0.25">
      <c r="A1040" t="s">
        <v>556</v>
      </c>
    </row>
    <row r="1041" spans="1:1" x14ac:dyDescent="0.25">
      <c r="A1041" t="s">
        <v>374</v>
      </c>
    </row>
    <row r="1043" spans="1:1" x14ac:dyDescent="0.25">
      <c r="A1043" t="s">
        <v>305</v>
      </c>
    </row>
    <row r="1045" spans="1:1" x14ac:dyDescent="0.25">
      <c r="A1045" t="s">
        <v>903</v>
      </c>
    </row>
    <row r="1046" spans="1:1" x14ac:dyDescent="0.25">
      <c r="A1046" t="s">
        <v>904</v>
      </c>
    </row>
    <row r="1047" spans="1:1" x14ac:dyDescent="0.25">
      <c r="A1047" t="s">
        <v>905</v>
      </c>
    </row>
    <row r="1048" spans="1:1" x14ac:dyDescent="0.25">
      <c r="A1048" t="s">
        <v>851</v>
      </c>
    </row>
    <row r="1049" spans="1:1" x14ac:dyDescent="0.25">
      <c r="A1049" t="s">
        <v>852</v>
      </c>
    </row>
    <row r="1050" spans="1:1" x14ac:dyDescent="0.25">
      <c r="A1050" t="s">
        <v>853</v>
      </c>
    </row>
    <row r="1052" spans="1:1" x14ac:dyDescent="0.25">
      <c r="A1052" t="s">
        <v>906</v>
      </c>
    </row>
    <row r="1053" spans="1:1" x14ac:dyDescent="0.25">
      <c r="A1053" t="s">
        <v>907</v>
      </c>
    </row>
    <row r="1054" spans="1:1" x14ac:dyDescent="0.25">
      <c r="A1054" t="s">
        <v>908</v>
      </c>
    </row>
    <row r="1055" spans="1:1" x14ac:dyDescent="0.25">
      <c r="A1055" t="s">
        <v>909</v>
      </c>
    </row>
    <row r="1056" spans="1:1" x14ac:dyDescent="0.25">
      <c r="A1056" t="s">
        <v>564</v>
      </c>
    </row>
    <row r="1057" spans="1:1" x14ac:dyDescent="0.25">
      <c r="A1057" t="s">
        <v>910</v>
      </c>
    </row>
    <row r="1058" spans="1:1" x14ac:dyDescent="0.25">
      <c r="A1058" t="s">
        <v>911</v>
      </c>
    </row>
    <row r="1059" spans="1:1" x14ac:dyDescent="0.25">
      <c r="A1059" t="s">
        <v>912</v>
      </c>
    </row>
    <row r="1060" spans="1:1" x14ac:dyDescent="0.25">
      <c r="A1060" t="s">
        <v>579</v>
      </c>
    </row>
    <row r="1062" spans="1:1" x14ac:dyDescent="0.25">
      <c r="A1062" t="s">
        <v>913</v>
      </c>
    </row>
    <row r="1064" spans="1:1" x14ac:dyDescent="0.25">
      <c r="A1064" t="s">
        <v>914</v>
      </c>
    </row>
    <row r="1065" spans="1:1" x14ac:dyDescent="0.25">
      <c r="A1065" t="s">
        <v>915</v>
      </c>
    </row>
    <row r="1066" spans="1:1" x14ac:dyDescent="0.25">
      <c r="A1066" t="s">
        <v>564</v>
      </c>
    </row>
    <row r="1067" spans="1:1" x14ac:dyDescent="0.25">
      <c r="A1067" t="s">
        <v>916</v>
      </c>
    </row>
    <row r="1068" spans="1:1" x14ac:dyDescent="0.25">
      <c r="A1068" t="s">
        <v>917</v>
      </c>
    </row>
    <row r="1069" spans="1:1" x14ac:dyDescent="0.25">
      <c r="A1069" t="s">
        <v>918</v>
      </c>
    </row>
    <row r="1071" spans="1:1" x14ac:dyDescent="0.25">
      <c r="A1071" t="s">
        <v>919</v>
      </c>
    </row>
    <row r="1072" spans="1:1" x14ac:dyDescent="0.25">
      <c r="A1072" t="s">
        <v>920</v>
      </c>
    </row>
    <row r="1073" spans="1:1" x14ac:dyDescent="0.25">
      <c r="A1073" t="s">
        <v>579</v>
      </c>
    </row>
    <row r="1074" spans="1:1" x14ac:dyDescent="0.25">
      <c r="A1074" t="s">
        <v>396</v>
      </c>
    </row>
    <row r="1076" spans="1:1" x14ac:dyDescent="0.25">
      <c r="A1076" t="s">
        <v>921</v>
      </c>
    </row>
    <row r="1077" spans="1:1" x14ac:dyDescent="0.25">
      <c r="A1077" t="s">
        <v>306</v>
      </c>
    </row>
    <row r="1078" spans="1:1" x14ac:dyDescent="0.25">
      <c r="A1078" t="s">
        <v>922</v>
      </c>
    </row>
    <row r="1079" spans="1:1" x14ac:dyDescent="0.25">
      <c r="A1079" t="s">
        <v>923</v>
      </c>
    </row>
    <row r="1080" spans="1:1" x14ac:dyDescent="0.25">
      <c r="A1080" t="s">
        <v>315</v>
      </c>
    </row>
    <row r="1081" spans="1:1" x14ac:dyDescent="0.25">
      <c r="A1081" t="s">
        <v>924</v>
      </c>
    </row>
    <row r="1082" spans="1:1" x14ac:dyDescent="0.25">
      <c r="A1082" t="s">
        <v>925</v>
      </c>
    </row>
    <row r="1083" spans="1:1" x14ac:dyDescent="0.25">
      <c r="A1083" t="s">
        <v>324</v>
      </c>
    </row>
    <row r="1085" spans="1:1" x14ac:dyDescent="0.25">
      <c r="A1085" t="s">
        <v>926</v>
      </c>
    </row>
    <row r="1087" spans="1:1" x14ac:dyDescent="0.25">
      <c r="A1087" t="s">
        <v>825</v>
      </c>
    </row>
    <row r="1088" spans="1:1" x14ac:dyDescent="0.25">
      <c r="A1088" t="s">
        <v>927</v>
      </c>
    </row>
    <row r="1090" spans="1:1" x14ac:dyDescent="0.25">
      <c r="A1090" t="s">
        <v>928</v>
      </c>
    </row>
    <row r="1092" spans="1:1" x14ac:dyDescent="0.25">
      <c r="A1092" t="s">
        <v>929</v>
      </c>
    </row>
    <row r="1093" spans="1:1" x14ac:dyDescent="0.25">
      <c r="A1093" t="s">
        <v>930</v>
      </c>
    </row>
    <row r="1094" spans="1:1" x14ac:dyDescent="0.25">
      <c r="A1094" t="s">
        <v>931</v>
      </c>
    </row>
    <row r="1095" spans="1:1" x14ac:dyDescent="0.25">
      <c r="A1095" t="s">
        <v>932</v>
      </c>
    </row>
    <row r="1096" spans="1:1" x14ac:dyDescent="0.25">
      <c r="A1096" t="s">
        <v>933</v>
      </c>
    </row>
    <row r="1097" spans="1:1" x14ac:dyDescent="0.25">
      <c r="A1097" t="s">
        <v>934</v>
      </c>
    </row>
    <row r="1098" spans="1:1" x14ac:dyDescent="0.25">
      <c r="A1098" t="s">
        <v>441</v>
      </c>
    </row>
    <row r="1099" spans="1:1" x14ac:dyDescent="0.25">
      <c r="A1099" t="s">
        <v>642</v>
      </c>
    </row>
    <row r="1101" spans="1:1" x14ac:dyDescent="0.25">
      <c r="A1101" t="s">
        <v>833</v>
      </c>
    </row>
    <row r="1102" spans="1:1" x14ac:dyDescent="0.25">
      <c r="A1102" t="s">
        <v>935</v>
      </c>
    </row>
    <row r="1103" spans="1:1" x14ac:dyDescent="0.25">
      <c r="A1103" t="s">
        <v>396</v>
      </c>
    </row>
    <row r="1105" spans="1:1" x14ac:dyDescent="0.25">
      <c r="A1105" t="s">
        <v>315</v>
      </c>
    </row>
    <row r="1107" spans="1:1" x14ac:dyDescent="0.25">
      <c r="A1107" t="s">
        <v>936</v>
      </c>
    </row>
    <row r="1108" spans="1:1" x14ac:dyDescent="0.25">
      <c r="A1108" t="s">
        <v>937</v>
      </c>
    </row>
    <row r="1109" spans="1:1" x14ac:dyDescent="0.25">
      <c r="A1109" t="s">
        <v>938</v>
      </c>
    </row>
    <row r="1110" spans="1:1" x14ac:dyDescent="0.25">
      <c r="A1110" t="s">
        <v>939</v>
      </c>
    </row>
    <row r="1111" spans="1:1" x14ac:dyDescent="0.25">
      <c r="A1111" t="s">
        <v>940</v>
      </c>
    </row>
    <row r="1112" spans="1:1" x14ac:dyDescent="0.25">
      <c r="A1112" t="s">
        <v>941</v>
      </c>
    </row>
    <row r="1113" spans="1:1" x14ac:dyDescent="0.25">
      <c r="A1113" t="s">
        <v>942</v>
      </c>
    </row>
    <row r="1114" spans="1:1" x14ac:dyDescent="0.25">
      <c r="A1114" t="s">
        <v>943</v>
      </c>
    </row>
    <row r="1115" spans="1:1" x14ac:dyDescent="0.25">
      <c r="A1115" t="s">
        <v>396</v>
      </c>
    </row>
    <row r="1117" spans="1:1" x14ac:dyDescent="0.25">
      <c r="A1117" t="s">
        <v>944</v>
      </c>
    </row>
    <row r="1118" spans="1:1" x14ac:dyDescent="0.25">
      <c r="A1118" t="s">
        <v>945</v>
      </c>
    </row>
    <row r="1119" spans="1:1" x14ac:dyDescent="0.25">
      <c r="A1119" t="s">
        <v>946</v>
      </c>
    </row>
    <row r="1120" spans="1:1" x14ac:dyDescent="0.25">
      <c r="A1120" t="s">
        <v>396</v>
      </c>
    </row>
    <row r="1122" spans="1:1" x14ac:dyDescent="0.25">
      <c r="A1122" t="s">
        <v>324</v>
      </c>
    </row>
    <row r="1123" spans="1:1" x14ac:dyDescent="0.25">
      <c r="A1123" t="s">
        <v>303</v>
      </c>
    </row>
    <row r="1125" spans="1:1" x14ac:dyDescent="0.25">
      <c r="A1125" t="s">
        <v>947</v>
      </c>
    </row>
    <row r="1126" spans="1:1" x14ac:dyDescent="0.25">
      <c r="A1126" t="s">
        <v>948</v>
      </c>
    </row>
    <row r="1127" spans="1:1" x14ac:dyDescent="0.25">
      <c r="A1127" t="s">
        <v>947</v>
      </c>
    </row>
    <row r="1129" spans="1:1" x14ac:dyDescent="0.25">
      <c r="A1129" t="s">
        <v>949</v>
      </c>
    </row>
    <row r="1130" spans="1:1" x14ac:dyDescent="0.25">
      <c r="A1130" t="s">
        <v>950</v>
      </c>
    </row>
    <row r="1131" spans="1:1" x14ac:dyDescent="0.25">
      <c r="A1131" t="s">
        <v>951</v>
      </c>
    </row>
    <row r="1132" spans="1:1" x14ac:dyDescent="0.25">
      <c r="A1132" t="s">
        <v>952</v>
      </c>
    </row>
    <row r="1134" spans="1:1" x14ac:dyDescent="0.25">
      <c r="A1134" t="s">
        <v>953</v>
      </c>
    </row>
    <row r="1135" spans="1:1" x14ac:dyDescent="0.25">
      <c r="A1135" t="s">
        <v>954</v>
      </c>
    </row>
    <row r="1136" spans="1:1" x14ac:dyDescent="0.25">
      <c r="A1136" t="s">
        <v>955</v>
      </c>
    </row>
    <row r="1137" spans="1:1" x14ac:dyDescent="0.25">
      <c r="A1137" t="s">
        <v>956</v>
      </c>
    </row>
    <row r="1139" spans="1:1" x14ac:dyDescent="0.25">
      <c r="A1139" t="s">
        <v>957</v>
      </c>
    </row>
    <row r="1140" spans="1:1" x14ac:dyDescent="0.25">
      <c r="A1140" t="s">
        <v>958</v>
      </c>
    </row>
    <row r="1141" spans="1:1" x14ac:dyDescent="0.25">
      <c r="A1141" t="s">
        <v>959</v>
      </c>
    </row>
    <row r="1142" spans="1:1" x14ac:dyDescent="0.25">
      <c r="A1142" t="s">
        <v>960</v>
      </c>
    </row>
    <row r="1144" spans="1:1" x14ac:dyDescent="0.25">
      <c r="A1144" t="s">
        <v>961</v>
      </c>
    </row>
    <row r="1145" spans="1:1" x14ac:dyDescent="0.25">
      <c r="A1145" t="s">
        <v>962</v>
      </c>
    </row>
    <row r="1146" spans="1:1" x14ac:dyDescent="0.25">
      <c r="A1146" t="s">
        <v>963</v>
      </c>
    </row>
    <row r="1147" spans="1:1" x14ac:dyDescent="0.25">
      <c r="A1147" t="s">
        <v>579</v>
      </c>
    </row>
    <row r="1148" spans="1:1" x14ac:dyDescent="0.25">
      <c r="A1148" t="s">
        <v>964</v>
      </c>
    </row>
    <row r="1149" spans="1:1" x14ac:dyDescent="0.25">
      <c r="A1149" t="s">
        <v>965</v>
      </c>
    </row>
    <row r="1150" spans="1:1" x14ac:dyDescent="0.25">
      <c r="A1150" t="s">
        <v>579</v>
      </c>
    </row>
    <row r="1151" spans="1:1" x14ac:dyDescent="0.25">
      <c r="A1151" t="s">
        <v>966</v>
      </c>
    </row>
    <row r="1152" spans="1:1" x14ac:dyDescent="0.25">
      <c r="A1152" t="s">
        <v>967</v>
      </c>
    </row>
    <row r="1153" spans="1:1" x14ac:dyDescent="0.25">
      <c r="A1153" t="s">
        <v>579</v>
      </c>
    </row>
    <row r="1154" spans="1:1" x14ac:dyDescent="0.25">
      <c r="A1154" t="s">
        <v>968</v>
      </c>
    </row>
    <row r="1155" spans="1:1" x14ac:dyDescent="0.25">
      <c r="A1155" t="s">
        <v>969</v>
      </c>
    </row>
    <row r="1156" spans="1:1" x14ac:dyDescent="0.25">
      <c r="A1156" t="s">
        <v>579</v>
      </c>
    </row>
    <row r="1157" spans="1:1" x14ac:dyDescent="0.25">
      <c r="A1157" t="s">
        <v>733</v>
      </c>
    </row>
    <row r="1159" spans="1:1" x14ac:dyDescent="0.25">
      <c r="A1159" t="s">
        <v>970</v>
      </c>
    </row>
    <row r="1160" spans="1:1" x14ac:dyDescent="0.25">
      <c r="A1160" t="s">
        <v>971</v>
      </c>
    </row>
    <row r="1161" spans="1:1" x14ac:dyDescent="0.25">
      <c r="A1161" t="s">
        <v>972</v>
      </c>
    </row>
    <row r="1162" spans="1:1" x14ac:dyDescent="0.25">
      <c r="A1162" t="s">
        <v>973</v>
      </c>
    </row>
    <row r="1163" spans="1:1" x14ac:dyDescent="0.25">
      <c r="A1163" t="s">
        <v>974</v>
      </c>
    </row>
    <row r="1164" spans="1:1" x14ac:dyDescent="0.25">
      <c r="A1164" t="s">
        <v>975</v>
      </c>
    </row>
    <row r="1166" spans="1:1" x14ac:dyDescent="0.25">
      <c r="A1166" t="s">
        <v>976</v>
      </c>
    </row>
    <row r="1167" spans="1:1" x14ac:dyDescent="0.25">
      <c r="A1167" t="s">
        <v>977</v>
      </c>
    </row>
    <row r="1168" spans="1:1" x14ac:dyDescent="0.25">
      <c r="A1168" t="s">
        <v>978</v>
      </c>
    </row>
    <row r="1169" spans="1:1" x14ac:dyDescent="0.25">
      <c r="A1169" t="s">
        <v>979</v>
      </c>
    </row>
    <row r="1170" spans="1:1" x14ac:dyDescent="0.25">
      <c r="A1170" t="s">
        <v>733</v>
      </c>
    </row>
    <row r="1171" spans="1:1" x14ac:dyDescent="0.25">
      <c r="A1171" t="s">
        <v>980</v>
      </c>
    </row>
    <row r="1172" spans="1:1" x14ac:dyDescent="0.25">
      <c r="A1172" t="s">
        <v>981</v>
      </c>
    </row>
    <row r="1173" spans="1:1" x14ac:dyDescent="0.25">
      <c r="A1173" t="s">
        <v>982</v>
      </c>
    </row>
    <row r="1174" spans="1:1" x14ac:dyDescent="0.25">
      <c r="A1174" t="s">
        <v>971</v>
      </c>
    </row>
    <row r="1175" spans="1:1" x14ac:dyDescent="0.25">
      <c r="A1175" t="s">
        <v>983</v>
      </c>
    </row>
    <row r="1176" spans="1:1" x14ac:dyDescent="0.25">
      <c r="A1176" t="s">
        <v>984</v>
      </c>
    </row>
    <row r="1177" spans="1:1" x14ac:dyDescent="0.25">
      <c r="A1177" t="s">
        <v>733</v>
      </c>
    </row>
    <row r="1178" spans="1:1" x14ac:dyDescent="0.25">
      <c r="A1178" t="s">
        <v>985</v>
      </c>
    </row>
    <row r="1180" spans="1:1" x14ac:dyDescent="0.25">
      <c r="A1180" t="s">
        <v>971</v>
      </c>
    </row>
    <row r="1181" spans="1:1" x14ac:dyDescent="0.25">
      <c r="A1181" t="s">
        <v>983</v>
      </c>
    </row>
    <row r="1182" spans="1:1" x14ac:dyDescent="0.25">
      <c r="A1182" t="s">
        <v>986</v>
      </c>
    </row>
    <row r="1183" spans="1:1" x14ac:dyDescent="0.25">
      <c r="A1183" t="s">
        <v>987</v>
      </c>
    </row>
    <row r="1184" spans="1:1" x14ac:dyDescent="0.25">
      <c r="A1184" t="s">
        <v>984</v>
      </c>
    </row>
    <row r="1185" spans="1:1" x14ac:dyDescent="0.25">
      <c r="A1185" t="s">
        <v>733</v>
      </c>
    </row>
    <row r="1187" spans="1:1" x14ac:dyDescent="0.25">
      <c r="A1187" t="s">
        <v>988</v>
      </c>
    </row>
    <row r="1189" spans="1:1" x14ac:dyDescent="0.25">
      <c r="A1189" t="s">
        <v>989</v>
      </c>
    </row>
    <row r="1190" spans="1:1" x14ac:dyDescent="0.25">
      <c r="A1190" t="s">
        <v>990</v>
      </c>
    </row>
    <row r="1191" spans="1:1" x14ac:dyDescent="0.25">
      <c r="A1191" t="s">
        <v>991</v>
      </c>
    </row>
    <row r="1193" spans="1:1" x14ac:dyDescent="0.25">
      <c r="A1193" t="s">
        <v>992</v>
      </c>
    </row>
    <row r="1194" spans="1:1" x14ac:dyDescent="0.25">
      <c r="A1194" t="s">
        <v>993</v>
      </c>
    </row>
    <row r="1195" spans="1:1" x14ac:dyDescent="0.25">
      <c r="A1195" t="s">
        <v>994</v>
      </c>
    </row>
    <row r="1196" spans="1:1" x14ac:dyDescent="0.25">
      <c r="A1196" t="s">
        <v>995</v>
      </c>
    </row>
    <row r="1197" spans="1:1" x14ac:dyDescent="0.25">
      <c r="A1197" t="s">
        <v>996</v>
      </c>
    </row>
    <row r="1199" spans="1:1" x14ac:dyDescent="0.25">
      <c r="A1199" t="s">
        <v>997</v>
      </c>
    </row>
    <row r="1200" spans="1:1" x14ac:dyDescent="0.25">
      <c r="A1200" t="s">
        <v>998</v>
      </c>
    </row>
    <row r="1201" spans="1:1" x14ac:dyDescent="0.25">
      <c r="A1201" t="s">
        <v>999</v>
      </c>
    </row>
    <row r="1202" spans="1:1" x14ac:dyDescent="0.25">
      <c r="A1202" t="s">
        <v>1000</v>
      </c>
    </row>
    <row r="1203" spans="1:1" x14ac:dyDescent="0.25">
      <c r="A1203" t="s">
        <v>1001</v>
      </c>
    </row>
    <row r="1204" spans="1:1" x14ac:dyDescent="0.25">
      <c r="A1204" t="s">
        <v>1002</v>
      </c>
    </row>
    <row r="1205" spans="1:1" x14ac:dyDescent="0.25">
      <c r="A1205" t="s">
        <v>1003</v>
      </c>
    </row>
    <row r="1206" spans="1:1" x14ac:dyDescent="0.25">
      <c r="A1206" t="s">
        <v>1004</v>
      </c>
    </row>
    <row r="1207" spans="1:1" x14ac:dyDescent="0.25">
      <c r="A1207" t="s">
        <v>1005</v>
      </c>
    </row>
    <row r="1208" spans="1:1" x14ac:dyDescent="0.25">
      <c r="A1208" t="s">
        <v>1006</v>
      </c>
    </row>
    <row r="1209" spans="1:1" x14ac:dyDescent="0.25">
      <c r="A1209" t="s">
        <v>1007</v>
      </c>
    </row>
    <row r="1210" spans="1:1" x14ac:dyDescent="0.25">
      <c r="A1210" t="s">
        <v>1008</v>
      </c>
    </row>
    <row r="1211" spans="1:1" x14ac:dyDescent="0.25">
      <c r="A1211" t="s">
        <v>1009</v>
      </c>
    </row>
    <row r="1212" spans="1:1" x14ac:dyDescent="0.25">
      <c r="A1212" t="s">
        <v>1010</v>
      </c>
    </row>
    <row r="1213" spans="1:1" x14ac:dyDescent="0.25">
      <c r="A1213" t="s">
        <v>1011</v>
      </c>
    </row>
    <row r="1214" spans="1:1" x14ac:dyDescent="0.25">
      <c r="A1214" t="s">
        <v>733</v>
      </c>
    </row>
    <row r="1216" spans="1:1" x14ac:dyDescent="0.25">
      <c r="A1216" t="s">
        <v>1012</v>
      </c>
    </row>
    <row r="1217" spans="1:1" x14ac:dyDescent="0.25">
      <c r="A1217" t="s">
        <v>1013</v>
      </c>
    </row>
    <row r="1218" spans="1:1" x14ac:dyDescent="0.25">
      <c r="A1218" t="s">
        <v>1014</v>
      </c>
    </row>
    <row r="1220" spans="1:1" x14ac:dyDescent="0.25">
      <c r="A1220" t="s">
        <v>992</v>
      </c>
    </row>
    <row r="1221" spans="1:1" x14ac:dyDescent="0.25">
      <c r="A1221" t="s">
        <v>993</v>
      </c>
    </row>
    <row r="1222" spans="1:1" x14ac:dyDescent="0.25">
      <c r="A1222" t="s">
        <v>994</v>
      </c>
    </row>
    <row r="1223" spans="1:1" x14ac:dyDescent="0.25">
      <c r="A1223" t="s">
        <v>1015</v>
      </c>
    </row>
    <row r="1224" spans="1:1" x14ac:dyDescent="0.25">
      <c r="A1224" t="s">
        <v>1016</v>
      </c>
    </row>
    <row r="1226" spans="1:1" x14ac:dyDescent="0.25">
      <c r="A1226" t="s">
        <v>1017</v>
      </c>
    </row>
    <row r="1227" spans="1:1" x14ac:dyDescent="0.25">
      <c r="A1227" t="s">
        <v>1018</v>
      </c>
    </row>
    <row r="1228" spans="1:1" x14ac:dyDescent="0.25">
      <c r="A1228" t="s">
        <v>1019</v>
      </c>
    </row>
    <row r="1229" spans="1:1" x14ac:dyDescent="0.25">
      <c r="A1229" t="s">
        <v>1020</v>
      </c>
    </row>
    <row r="1231" spans="1:1" x14ac:dyDescent="0.25">
      <c r="A1231" t="s">
        <v>997</v>
      </c>
    </row>
    <row r="1232" spans="1:1" x14ac:dyDescent="0.25">
      <c r="A1232" t="s">
        <v>998</v>
      </c>
    </row>
    <row r="1233" spans="1:1" x14ac:dyDescent="0.25">
      <c r="A1233" t="s">
        <v>1021</v>
      </c>
    </row>
    <row r="1234" spans="1:1" x14ac:dyDescent="0.25">
      <c r="A1234" t="s">
        <v>1022</v>
      </c>
    </row>
    <row r="1235" spans="1:1" x14ac:dyDescent="0.25">
      <c r="A1235" t="s">
        <v>1023</v>
      </c>
    </row>
    <row r="1236" spans="1:1" x14ac:dyDescent="0.25">
      <c r="A1236" t="s">
        <v>1024</v>
      </c>
    </row>
    <row r="1237" spans="1:1" x14ac:dyDescent="0.25">
      <c r="A1237" t="s">
        <v>1025</v>
      </c>
    </row>
    <row r="1238" spans="1:1" x14ac:dyDescent="0.25">
      <c r="A1238" t="s">
        <v>1009</v>
      </c>
    </row>
    <row r="1239" spans="1:1" x14ac:dyDescent="0.25">
      <c r="A1239" t="s">
        <v>1010</v>
      </c>
    </row>
    <row r="1240" spans="1:1" x14ac:dyDescent="0.25">
      <c r="A1240" t="s">
        <v>1026</v>
      </c>
    </row>
    <row r="1241" spans="1:1" x14ac:dyDescent="0.25">
      <c r="A1241" t="s">
        <v>733</v>
      </c>
    </row>
    <row r="1243" spans="1:1" x14ac:dyDescent="0.25">
      <c r="A1243" t="s">
        <v>1027</v>
      </c>
    </row>
    <row r="1244" spans="1:1" x14ac:dyDescent="0.25">
      <c r="A1244" t="s">
        <v>1028</v>
      </c>
    </row>
    <row r="1245" spans="1:1" x14ac:dyDescent="0.25">
      <c r="A1245" t="s">
        <v>1029</v>
      </c>
    </row>
    <row r="1247" spans="1:1" x14ac:dyDescent="0.25">
      <c r="A1247" t="s">
        <v>992</v>
      </c>
    </row>
    <row r="1248" spans="1:1" x14ac:dyDescent="0.25">
      <c r="A1248" t="s">
        <v>993</v>
      </c>
    </row>
    <row r="1249" spans="1:1" x14ac:dyDescent="0.25">
      <c r="A1249" t="s">
        <v>994</v>
      </c>
    </row>
    <row r="1250" spans="1:1" x14ac:dyDescent="0.25">
      <c r="A1250" t="s">
        <v>1030</v>
      </c>
    </row>
    <row r="1251" spans="1:1" x14ac:dyDescent="0.25">
      <c r="A1251" t="s">
        <v>1031</v>
      </c>
    </row>
    <row r="1253" spans="1:1" x14ac:dyDescent="0.25">
      <c r="A1253" t="s">
        <v>1032</v>
      </c>
    </row>
    <row r="1254" spans="1:1" x14ac:dyDescent="0.25">
      <c r="A1254" t="s">
        <v>1018</v>
      </c>
    </row>
    <row r="1255" spans="1:1" x14ac:dyDescent="0.25">
      <c r="A1255" t="s">
        <v>1033</v>
      </c>
    </row>
    <row r="1256" spans="1:1" x14ac:dyDescent="0.25">
      <c r="A1256" t="s">
        <v>1020</v>
      </c>
    </row>
    <row r="1258" spans="1:1" x14ac:dyDescent="0.25">
      <c r="A1258" t="s">
        <v>997</v>
      </c>
    </row>
    <row r="1259" spans="1:1" x14ac:dyDescent="0.25">
      <c r="A1259" t="s">
        <v>1034</v>
      </c>
    </row>
    <row r="1260" spans="1:1" x14ac:dyDescent="0.25">
      <c r="A1260" t="s">
        <v>1035</v>
      </c>
    </row>
    <row r="1261" spans="1:1" x14ac:dyDescent="0.25">
      <c r="A1261" t="s">
        <v>1036</v>
      </c>
    </row>
    <row r="1262" spans="1:1" x14ac:dyDescent="0.25">
      <c r="A1262" t="s">
        <v>1022</v>
      </c>
    </row>
    <row r="1263" spans="1:1" x14ac:dyDescent="0.25">
      <c r="A1263" t="s">
        <v>1023</v>
      </c>
    </row>
    <row r="1264" spans="1:1" x14ac:dyDescent="0.25">
      <c r="A1264" t="s">
        <v>1037</v>
      </c>
    </row>
    <row r="1265" spans="1:1" x14ac:dyDescent="0.25">
      <c r="A1265" t="s">
        <v>1038</v>
      </c>
    </row>
    <row r="1266" spans="1:1" x14ac:dyDescent="0.25">
      <c r="A1266" t="s">
        <v>1039</v>
      </c>
    </row>
    <row r="1267" spans="1:1" x14ac:dyDescent="0.25">
      <c r="A1267" t="s">
        <v>1040</v>
      </c>
    </row>
    <row r="1268" spans="1:1" x14ac:dyDescent="0.25">
      <c r="A1268" t="s">
        <v>1041</v>
      </c>
    </row>
    <row r="1269" spans="1:1" x14ac:dyDescent="0.25">
      <c r="A1269" t="s">
        <v>1042</v>
      </c>
    </row>
    <row r="1270" spans="1:1" x14ac:dyDescent="0.25">
      <c r="A1270" t="s">
        <v>1043</v>
      </c>
    </row>
    <row r="1271" spans="1:1" x14ac:dyDescent="0.25">
      <c r="A1271" t="s">
        <v>1044</v>
      </c>
    </row>
    <row r="1272" spans="1:1" x14ac:dyDescent="0.25">
      <c r="A1272" t="s">
        <v>1045</v>
      </c>
    </row>
    <row r="1273" spans="1:1" x14ac:dyDescent="0.25">
      <c r="A1273" t="s">
        <v>1046</v>
      </c>
    </row>
    <row r="1274" spans="1:1" x14ac:dyDescent="0.25">
      <c r="A1274" t="s">
        <v>1047</v>
      </c>
    </row>
    <row r="1275" spans="1:1" x14ac:dyDescent="0.25">
      <c r="A1275" t="s">
        <v>1048</v>
      </c>
    </row>
    <row r="1276" spans="1:1" x14ac:dyDescent="0.25">
      <c r="A1276" t="s">
        <v>1049</v>
      </c>
    </row>
    <row r="1277" spans="1:1" x14ac:dyDescent="0.25">
      <c r="A1277" t="s">
        <v>1050</v>
      </c>
    </row>
    <row r="1278" spans="1:1" x14ac:dyDescent="0.25">
      <c r="A1278" t="s">
        <v>1009</v>
      </c>
    </row>
    <row r="1279" spans="1:1" x14ac:dyDescent="0.25">
      <c r="A1279" t="s">
        <v>1010</v>
      </c>
    </row>
    <row r="1280" spans="1:1" x14ac:dyDescent="0.25">
      <c r="A1280" t="s">
        <v>1051</v>
      </c>
    </row>
    <row r="1281" spans="1:1" x14ac:dyDescent="0.25">
      <c r="A1281" t="s">
        <v>733</v>
      </c>
    </row>
    <row r="1283" spans="1:1" x14ac:dyDescent="0.25">
      <c r="A1283" t="s">
        <v>1052</v>
      </c>
    </row>
    <row r="1284" spans="1:1" x14ac:dyDescent="0.25">
      <c r="A1284" t="s">
        <v>1053</v>
      </c>
    </row>
    <row r="1285" spans="1:1" x14ac:dyDescent="0.25">
      <c r="A1285" t="s">
        <v>1054</v>
      </c>
    </row>
    <row r="1287" spans="1:1" x14ac:dyDescent="0.25">
      <c r="A1287" t="s">
        <v>992</v>
      </c>
    </row>
    <row r="1288" spans="1:1" x14ac:dyDescent="0.25">
      <c r="A1288" t="s">
        <v>993</v>
      </c>
    </row>
    <row r="1289" spans="1:1" x14ac:dyDescent="0.25">
      <c r="A1289" t="s">
        <v>994</v>
      </c>
    </row>
    <row r="1290" spans="1:1" x14ac:dyDescent="0.25">
      <c r="A1290" t="s">
        <v>1055</v>
      </c>
    </row>
    <row r="1291" spans="1:1" x14ac:dyDescent="0.25">
      <c r="A1291" t="s">
        <v>1056</v>
      </c>
    </row>
    <row r="1293" spans="1:1" x14ac:dyDescent="0.25">
      <c r="A1293" t="s">
        <v>1057</v>
      </c>
    </row>
    <row r="1294" spans="1:1" x14ac:dyDescent="0.25">
      <c r="A1294" t="s">
        <v>1018</v>
      </c>
    </row>
    <row r="1295" spans="1:1" x14ac:dyDescent="0.25">
      <c r="A1295" t="s">
        <v>1058</v>
      </c>
    </row>
    <row r="1296" spans="1:1" x14ac:dyDescent="0.25">
      <c r="A1296" t="s">
        <v>1020</v>
      </c>
    </row>
    <row r="1298" spans="1:1" x14ac:dyDescent="0.25">
      <c r="A1298" t="s">
        <v>997</v>
      </c>
    </row>
    <row r="1299" spans="1:1" x14ac:dyDescent="0.25">
      <c r="A1299" t="s">
        <v>998</v>
      </c>
    </row>
    <row r="1300" spans="1:1" x14ac:dyDescent="0.25">
      <c r="A1300" t="s">
        <v>1059</v>
      </c>
    </row>
    <row r="1301" spans="1:1" x14ac:dyDescent="0.25">
      <c r="A1301" t="s">
        <v>1022</v>
      </c>
    </row>
    <row r="1302" spans="1:1" x14ac:dyDescent="0.25">
      <c r="A1302" t="s">
        <v>1060</v>
      </c>
    </row>
    <row r="1303" spans="1:1" x14ac:dyDescent="0.25">
      <c r="A1303" t="s">
        <v>1009</v>
      </c>
    </row>
    <row r="1304" spans="1:1" x14ac:dyDescent="0.25">
      <c r="A1304" t="s">
        <v>1010</v>
      </c>
    </row>
    <row r="1305" spans="1:1" x14ac:dyDescent="0.25">
      <c r="A1305" t="s">
        <v>1061</v>
      </c>
    </row>
    <row r="1306" spans="1:1" x14ac:dyDescent="0.25">
      <c r="A1306" t="s">
        <v>733</v>
      </c>
    </row>
    <row r="1308" spans="1:1" x14ac:dyDescent="0.25">
      <c r="A1308" t="s">
        <v>1062</v>
      </c>
    </row>
    <row r="1309" spans="1:1" x14ac:dyDescent="0.25">
      <c r="A1309" t="s">
        <v>1063</v>
      </c>
    </row>
    <row r="1310" spans="1:1" x14ac:dyDescent="0.25">
      <c r="A1310" t="s">
        <v>1064</v>
      </c>
    </row>
    <row r="1311" spans="1:1" x14ac:dyDescent="0.25">
      <c r="A1311" t="s">
        <v>1065</v>
      </c>
    </row>
    <row r="1313" spans="1:1" x14ac:dyDescent="0.25">
      <c r="A1313" t="s">
        <v>1066</v>
      </c>
    </row>
    <row r="1314" spans="1:1" x14ac:dyDescent="0.25">
      <c r="A1314" t="s">
        <v>1067</v>
      </c>
    </row>
    <row r="1316" spans="1:1" x14ac:dyDescent="0.25">
      <c r="A1316" t="s">
        <v>1068</v>
      </c>
    </row>
    <row r="1317" spans="1:1" x14ac:dyDescent="0.25">
      <c r="A1317" t="s">
        <v>1069</v>
      </c>
    </row>
    <row r="1319" spans="1:1" x14ac:dyDescent="0.25">
      <c r="A1319" t="s">
        <v>1070</v>
      </c>
    </row>
    <row r="1320" spans="1:1" x14ac:dyDescent="0.25">
      <c r="A1320" t="s">
        <v>1071</v>
      </c>
    </row>
    <row r="1321" spans="1:1" x14ac:dyDescent="0.25">
      <c r="A1321" t="s">
        <v>1072</v>
      </c>
    </row>
    <row r="1322" spans="1:1" x14ac:dyDescent="0.25">
      <c r="A1322" t="s">
        <v>1073</v>
      </c>
    </row>
    <row r="1323" spans="1:1" x14ac:dyDescent="0.25">
      <c r="A1323" t="s">
        <v>1074</v>
      </c>
    </row>
    <row r="1324" spans="1:1" x14ac:dyDescent="0.25">
      <c r="A1324" t="s">
        <v>1075</v>
      </c>
    </row>
    <row r="1325" spans="1:1" x14ac:dyDescent="0.25">
      <c r="A1325" t="s">
        <v>1076</v>
      </c>
    </row>
    <row r="1327" spans="1:1" x14ac:dyDescent="0.25">
      <c r="A1327" t="s">
        <v>1077</v>
      </c>
    </row>
    <row r="1328" spans="1:1" x14ac:dyDescent="0.25">
      <c r="A1328" t="s">
        <v>1078</v>
      </c>
    </row>
    <row r="1330" spans="1:1" x14ac:dyDescent="0.25">
      <c r="A1330" t="s">
        <v>1079</v>
      </c>
    </row>
    <row r="1331" spans="1:1" x14ac:dyDescent="0.25">
      <c r="A1331" t="s">
        <v>1080</v>
      </c>
    </row>
    <row r="1332" spans="1:1" x14ac:dyDescent="0.25">
      <c r="A1332" t="s">
        <v>1081</v>
      </c>
    </row>
    <row r="1333" spans="1:1" x14ac:dyDescent="0.25">
      <c r="A1333" t="s">
        <v>1082</v>
      </c>
    </row>
    <row r="1334" spans="1:1" x14ac:dyDescent="0.25">
      <c r="A1334" t="s">
        <v>1083</v>
      </c>
    </row>
    <row r="1335" spans="1:1" x14ac:dyDescent="0.25">
      <c r="A1335" t="s">
        <v>1084</v>
      </c>
    </row>
    <row r="1337" spans="1:1" x14ac:dyDescent="0.25">
      <c r="A1337" t="s">
        <v>1085</v>
      </c>
    </row>
    <row r="1338" spans="1:1" x14ac:dyDescent="0.25">
      <c r="A1338" t="s">
        <v>1086</v>
      </c>
    </row>
    <row r="1339" spans="1:1" x14ac:dyDescent="0.25">
      <c r="A1339" t="s">
        <v>1087</v>
      </c>
    </row>
    <row r="1340" spans="1:1" x14ac:dyDescent="0.25">
      <c r="A1340" t="s">
        <v>1088</v>
      </c>
    </row>
    <row r="1341" spans="1:1" x14ac:dyDescent="0.25">
      <c r="A1341" t="s">
        <v>1089</v>
      </c>
    </row>
    <row r="1342" spans="1:1" x14ac:dyDescent="0.25">
      <c r="A1342" t="s">
        <v>454</v>
      </c>
    </row>
    <row r="1344" spans="1:1" x14ac:dyDescent="0.25">
      <c r="A1344" t="s">
        <v>1090</v>
      </c>
    </row>
    <row r="1345" spans="1:1" x14ac:dyDescent="0.25">
      <c r="A1345" t="s">
        <v>1091</v>
      </c>
    </row>
    <row r="1346" spans="1:1" x14ac:dyDescent="0.25">
      <c r="A1346" t="s">
        <v>1092</v>
      </c>
    </row>
    <row r="1347" spans="1:1" x14ac:dyDescent="0.25">
      <c r="A1347" t="s">
        <v>1093</v>
      </c>
    </row>
    <row r="1348" spans="1:1" x14ac:dyDescent="0.25">
      <c r="A1348" t="s">
        <v>454</v>
      </c>
    </row>
    <row r="1350" spans="1:1" x14ac:dyDescent="0.25">
      <c r="A1350" t="s">
        <v>1094</v>
      </c>
    </row>
    <row r="1351" spans="1:1" x14ac:dyDescent="0.25">
      <c r="A1351" t="s">
        <v>1095</v>
      </c>
    </row>
    <row r="1352" spans="1:1" x14ac:dyDescent="0.25">
      <c r="A1352" t="s">
        <v>1096</v>
      </c>
    </row>
    <row r="1353" spans="1:1" x14ac:dyDescent="0.25">
      <c r="A1353" t="s">
        <v>1097</v>
      </c>
    </row>
    <row r="1354" spans="1:1" x14ac:dyDescent="0.25">
      <c r="A1354" t="s">
        <v>454</v>
      </c>
    </row>
    <row r="1355" spans="1:1" x14ac:dyDescent="0.25">
      <c r="A1355" t="s">
        <v>1098</v>
      </c>
    </row>
    <row r="1356" spans="1:1" x14ac:dyDescent="0.25">
      <c r="A1356" t="s">
        <v>1099</v>
      </c>
    </row>
    <row r="1357" spans="1:1" x14ac:dyDescent="0.25">
      <c r="A1357" t="s">
        <v>454</v>
      </c>
    </row>
    <row r="1359" spans="1:1" x14ac:dyDescent="0.25">
      <c r="A1359" t="s">
        <v>1100</v>
      </c>
    </row>
    <row r="1360" spans="1:1" x14ac:dyDescent="0.25">
      <c r="A1360" t="s">
        <v>1101</v>
      </c>
    </row>
    <row r="1361" spans="1:1" x14ac:dyDescent="0.25">
      <c r="A1361" t="s">
        <v>1102</v>
      </c>
    </row>
    <row r="1362" spans="1:1" x14ac:dyDescent="0.25">
      <c r="A1362" t="s">
        <v>1103</v>
      </c>
    </row>
    <row r="1363" spans="1:1" x14ac:dyDescent="0.25">
      <c r="A1363" t="s">
        <v>1104</v>
      </c>
    </row>
    <row r="1364" spans="1:1" x14ac:dyDescent="0.25">
      <c r="A1364" t="s">
        <v>1105</v>
      </c>
    </row>
    <row r="1366" spans="1:1" x14ac:dyDescent="0.25">
      <c r="A1366" t="s">
        <v>1106</v>
      </c>
    </row>
    <row r="1367" spans="1:1" x14ac:dyDescent="0.25">
      <c r="A1367" t="s">
        <v>441</v>
      </c>
    </row>
    <row r="1368" spans="1:1" x14ac:dyDescent="0.25">
      <c r="A1368" t="s">
        <v>1107</v>
      </c>
    </row>
    <row r="1370" spans="1:1" x14ac:dyDescent="0.25">
      <c r="A1370" t="s">
        <v>1108</v>
      </c>
    </row>
    <row r="1371" spans="1:1" x14ac:dyDescent="0.25">
      <c r="A1371" t="s">
        <v>1109</v>
      </c>
    </row>
    <row r="1372" spans="1:1" x14ac:dyDescent="0.25">
      <c r="A1372" t="s">
        <v>1110</v>
      </c>
    </row>
    <row r="1373" spans="1:1" x14ac:dyDescent="0.25">
      <c r="A1373" t="s">
        <v>1111</v>
      </c>
    </row>
    <row r="1374" spans="1:1" x14ac:dyDescent="0.25">
      <c r="A1374" t="s">
        <v>1112</v>
      </c>
    </row>
    <row r="1375" spans="1:1" x14ac:dyDescent="0.25">
      <c r="A1375" t="s">
        <v>1113</v>
      </c>
    </row>
    <row r="1377" spans="1:1" x14ac:dyDescent="0.25">
      <c r="A1377" t="s">
        <v>1114</v>
      </c>
    </row>
    <row r="1378" spans="1:1" x14ac:dyDescent="0.25">
      <c r="A1378" t="s">
        <v>1115</v>
      </c>
    </row>
    <row r="1379" spans="1:1" x14ac:dyDescent="0.25">
      <c r="A1379" t="s">
        <v>1116</v>
      </c>
    </row>
    <row r="1380" spans="1:1" x14ac:dyDescent="0.25">
      <c r="A1380" t="s">
        <v>733</v>
      </c>
    </row>
    <row r="1384" spans="1:1" x14ac:dyDescent="0.25">
      <c r="A1384" t="s">
        <v>1117</v>
      </c>
    </row>
    <row r="1385" spans="1:1" x14ac:dyDescent="0.25">
      <c r="A1385" t="s">
        <v>1118</v>
      </c>
    </row>
    <row r="1386" spans="1:1" x14ac:dyDescent="0.25">
      <c r="A1386" t="s">
        <v>1119</v>
      </c>
    </row>
    <row r="1387" spans="1:1" x14ac:dyDescent="0.25">
      <c r="A1387" t="s">
        <v>1120</v>
      </c>
    </row>
    <row r="1389" spans="1:1" x14ac:dyDescent="0.25">
      <c r="A1389" t="s">
        <v>1070</v>
      </c>
    </row>
    <row r="1390" spans="1:1" x14ac:dyDescent="0.25">
      <c r="A1390" t="s">
        <v>1071</v>
      </c>
    </row>
    <row r="1391" spans="1:1" x14ac:dyDescent="0.25">
      <c r="A1391" t="s">
        <v>1121</v>
      </c>
    </row>
    <row r="1392" spans="1:1" x14ac:dyDescent="0.25">
      <c r="A1392" t="s">
        <v>1122</v>
      </c>
    </row>
    <row r="1393" spans="1:1" x14ac:dyDescent="0.25">
      <c r="A1393" t="s">
        <v>1123</v>
      </c>
    </row>
    <row r="1394" spans="1:1" x14ac:dyDescent="0.25">
      <c r="A1394" t="s">
        <v>1124</v>
      </c>
    </row>
    <row r="1395" spans="1:1" x14ac:dyDescent="0.25">
      <c r="A1395" t="s">
        <v>1125</v>
      </c>
    </row>
    <row r="1396" spans="1:1" x14ac:dyDescent="0.25">
      <c r="A1396" t="s">
        <v>1126</v>
      </c>
    </row>
    <row r="1397" spans="1:1" x14ac:dyDescent="0.25">
      <c r="A1397" t="s">
        <v>1127</v>
      </c>
    </row>
    <row r="1398" spans="1:1" x14ac:dyDescent="0.25">
      <c r="A1398" t="s">
        <v>441</v>
      </c>
    </row>
    <row r="1399" spans="1:1" x14ac:dyDescent="0.25">
      <c r="A1399" t="s">
        <v>1107</v>
      </c>
    </row>
    <row r="1401" spans="1:1" x14ac:dyDescent="0.25">
      <c r="A1401" t="s">
        <v>1128</v>
      </c>
    </row>
    <row r="1402" spans="1:1" x14ac:dyDescent="0.25">
      <c r="A1402" t="s">
        <v>1129</v>
      </c>
    </row>
    <row r="1403" spans="1:1" x14ac:dyDescent="0.25">
      <c r="A1403" t="s">
        <v>1130</v>
      </c>
    </row>
    <row r="1404" spans="1:1" x14ac:dyDescent="0.25">
      <c r="A1404" t="s">
        <v>1131</v>
      </c>
    </row>
    <row r="1406" spans="1:1" x14ac:dyDescent="0.25">
      <c r="A1406" t="s">
        <v>1132</v>
      </c>
    </row>
    <row r="1407" spans="1:1" x14ac:dyDescent="0.25">
      <c r="A1407" t="s">
        <v>733</v>
      </c>
    </row>
    <row r="1409" spans="1:1" x14ac:dyDescent="0.25">
      <c r="A1409" t="s">
        <v>1133</v>
      </c>
    </row>
    <row r="1410" spans="1:1" x14ac:dyDescent="0.25">
      <c r="A1410" t="s">
        <v>1134</v>
      </c>
    </row>
    <row r="1411" spans="1:1" x14ac:dyDescent="0.25">
      <c r="A1411" t="s">
        <v>1119</v>
      </c>
    </row>
    <row r="1412" spans="1:1" x14ac:dyDescent="0.25">
      <c r="A1412" t="s">
        <v>1120</v>
      </c>
    </row>
    <row r="1414" spans="1:1" x14ac:dyDescent="0.25">
      <c r="A1414" t="s">
        <v>1070</v>
      </c>
    </row>
    <row r="1415" spans="1:1" x14ac:dyDescent="0.25">
      <c r="A1415" t="s">
        <v>1071</v>
      </c>
    </row>
    <row r="1416" spans="1:1" x14ac:dyDescent="0.25">
      <c r="A1416" t="s">
        <v>1121</v>
      </c>
    </row>
    <row r="1417" spans="1:1" x14ac:dyDescent="0.25">
      <c r="A1417" t="s">
        <v>1135</v>
      </c>
    </row>
    <row r="1418" spans="1:1" x14ac:dyDescent="0.25">
      <c r="A1418" t="s">
        <v>1101</v>
      </c>
    </row>
    <row r="1419" spans="1:1" x14ac:dyDescent="0.25">
      <c r="A1419" t="s">
        <v>1136</v>
      </c>
    </row>
    <row r="1421" spans="1:1" x14ac:dyDescent="0.25">
      <c r="A1421" t="s">
        <v>1123</v>
      </c>
    </row>
    <row r="1422" spans="1:1" x14ac:dyDescent="0.25">
      <c r="A1422" t="s">
        <v>1124</v>
      </c>
    </row>
    <row r="1424" spans="1:1" x14ac:dyDescent="0.25">
      <c r="A1424" t="s">
        <v>1137</v>
      </c>
    </row>
    <row r="1425" spans="1:1" x14ac:dyDescent="0.25">
      <c r="A1425" t="s">
        <v>1138</v>
      </c>
    </row>
    <row r="1426" spans="1:1" x14ac:dyDescent="0.25">
      <c r="A1426" t="s">
        <v>1139</v>
      </c>
    </row>
    <row r="1427" spans="1:1" x14ac:dyDescent="0.25">
      <c r="A1427" t="s">
        <v>1140</v>
      </c>
    </row>
    <row r="1428" spans="1:1" x14ac:dyDescent="0.25">
      <c r="A1428" t="s">
        <v>1141</v>
      </c>
    </row>
    <row r="1429" spans="1:1" x14ac:dyDescent="0.25">
      <c r="A1429" t="s">
        <v>1142</v>
      </c>
    </row>
    <row r="1430" spans="1:1" x14ac:dyDescent="0.25">
      <c r="A1430" t="s">
        <v>1143</v>
      </c>
    </row>
    <row r="1431" spans="1:1" x14ac:dyDescent="0.25">
      <c r="A1431" t="s">
        <v>1144</v>
      </c>
    </row>
    <row r="1432" spans="1:1" x14ac:dyDescent="0.25">
      <c r="A1432" t="s">
        <v>1145</v>
      </c>
    </row>
    <row r="1433" spans="1:1" x14ac:dyDescent="0.25">
      <c r="A1433" t="s">
        <v>1146</v>
      </c>
    </row>
    <row r="1434" spans="1:1" x14ac:dyDescent="0.25">
      <c r="A1434" t="s">
        <v>1147</v>
      </c>
    </row>
    <row r="1435" spans="1:1" x14ac:dyDescent="0.25">
      <c r="A1435" t="s">
        <v>1148</v>
      </c>
    </row>
    <row r="1436" spans="1:1" x14ac:dyDescent="0.25">
      <c r="A1436" t="s">
        <v>1149</v>
      </c>
    </row>
    <row r="1437" spans="1:1" x14ac:dyDescent="0.25">
      <c r="A1437" t="s">
        <v>1150</v>
      </c>
    </row>
    <row r="1439" spans="1:1" x14ac:dyDescent="0.25">
      <c r="A1439" t="s">
        <v>1151</v>
      </c>
    </row>
    <row r="1440" spans="1:1" x14ac:dyDescent="0.25">
      <c r="A1440" t="s">
        <v>1127</v>
      </c>
    </row>
    <row r="1441" spans="1:1" x14ac:dyDescent="0.25">
      <c r="A1441" t="s">
        <v>441</v>
      </c>
    </row>
    <row r="1442" spans="1:1" x14ac:dyDescent="0.25">
      <c r="A1442" t="s">
        <v>1107</v>
      </c>
    </row>
    <row r="1444" spans="1:1" x14ac:dyDescent="0.25">
      <c r="A1444" t="s">
        <v>1128</v>
      </c>
    </row>
    <row r="1445" spans="1:1" x14ac:dyDescent="0.25">
      <c r="A1445" t="s">
        <v>1129</v>
      </c>
    </row>
    <row r="1446" spans="1:1" x14ac:dyDescent="0.25">
      <c r="A1446" t="s">
        <v>1152</v>
      </c>
    </row>
    <row r="1447" spans="1:1" x14ac:dyDescent="0.25">
      <c r="A1447" t="s">
        <v>1153</v>
      </c>
    </row>
    <row r="1449" spans="1:1" x14ac:dyDescent="0.25">
      <c r="A1449" t="s">
        <v>1154</v>
      </c>
    </row>
    <row r="1450" spans="1:1" x14ac:dyDescent="0.25">
      <c r="A1450" t="s">
        <v>733</v>
      </c>
    </row>
    <row r="1451" spans="1:1" x14ac:dyDescent="0.25">
      <c r="A1451" t="s">
        <v>1155</v>
      </c>
    </row>
    <row r="1452" spans="1:1" x14ac:dyDescent="0.25">
      <c r="A1452" t="s">
        <v>1064</v>
      </c>
    </row>
    <row r="1453" spans="1:1" x14ac:dyDescent="0.25">
      <c r="A1453" t="s">
        <v>1156</v>
      </c>
    </row>
    <row r="1455" spans="1:1" x14ac:dyDescent="0.25">
      <c r="A1455" t="s">
        <v>1066</v>
      </c>
    </row>
    <row r="1456" spans="1:1" x14ac:dyDescent="0.25">
      <c r="A1456" t="s">
        <v>1157</v>
      </c>
    </row>
    <row r="1458" spans="1:1" x14ac:dyDescent="0.25">
      <c r="A1458" t="s">
        <v>1158</v>
      </c>
    </row>
    <row r="1459" spans="1:1" x14ac:dyDescent="0.25">
      <c r="A1459" t="s">
        <v>1159</v>
      </c>
    </row>
    <row r="1461" spans="1:1" x14ac:dyDescent="0.25">
      <c r="A1461" t="s">
        <v>1070</v>
      </c>
    </row>
    <row r="1462" spans="1:1" x14ac:dyDescent="0.25">
      <c r="A1462" t="s">
        <v>1071</v>
      </c>
    </row>
    <row r="1463" spans="1:1" x14ac:dyDescent="0.25">
      <c r="A1463" t="s">
        <v>1072</v>
      </c>
    </row>
    <row r="1464" spans="1:1" x14ac:dyDescent="0.25">
      <c r="A1464" t="s">
        <v>1160</v>
      </c>
    </row>
    <row r="1465" spans="1:1" x14ac:dyDescent="0.25">
      <c r="A1465" t="s">
        <v>1161</v>
      </c>
    </row>
    <row r="1467" spans="1:1" x14ac:dyDescent="0.25">
      <c r="A1467" t="s">
        <v>1101</v>
      </c>
    </row>
    <row r="1469" spans="1:1" x14ac:dyDescent="0.25">
      <c r="A1469" t="s">
        <v>1162</v>
      </c>
    </row>
    <row r="1470" spans="1:1" x14ac:dyDescent="0.25">
      <c r="A1470" t="s">
        <v>1163</v>
      </c>
    </row>
    <row r="1472" spans="1:1" x14ac:dyDescent="0.25">
      <c r="A1472" t="s">
        <v>1164</v>
      </c>
    </row>
    <row r="1473" spans="1:1" x14ac:dyDescent="0.25">
      <c r="A1473" t="s">
        <v>1165</v>
      </c>
    </row>
    <row r="1475" spans="1:1" x14ac:dyDescent="0.25">
      <c r="A1475" t="s">
        <v>1166</v>
      </c>
    </row>
    <row r="1476" spans="1:1" x14ac:dyDescent="0.25">
      <c r="A1476" t="s">
        <v>1167</v>
      </c>
    </row>
    <row r="1477" spans="1:1" x14ac:dyDescent="0.25">
      <c r="A1477" t="s">
        <v>1168</v>
      </c>
    </row>
    <row r="1479" spans="1:1" x14ac:dyDescent="0.25">
      <c r="A1479" t="s">
        <v>1169</v>
      </c>
    </row>
    <row r="1480" spans="1:1" x14ac:dyDescent="0.25">
      <c r="A1480" t="s">
        <v>441</v>
      </c>
    </row>
    <row r="1481" spans="1:1" x14ac:dyDescent="0.25">
      <c r="A1481" t="s">
        <v>1107</v>
      </c>
    </row>
    <row r="1483" spans="1:1" x14ac:dyDescent="0.25">
      <c r="A1483" t="s">
        <v>1108</v>
      </c>
    </row>
    <row r="1484" spans="1:1" x14ac:dyDescent="0.25">
      <c r="A1484" t="s">
        <v>1109</v>
      </c>
    </row>
    <row r="1485" spans="1:1" x14ac:dyDescent="0.25">
      <c r="A1485" t="s">
        <v>1170</v>
      </c>
    </row>
    <row r="1486" spans="1:1" x14ac:dyDescent="0.25">
      <c r="A1486" t="s">
        <v>1171</v>
      </c>
    </row>
    <row r="1488" spans="1:1" x14ac:dyDescent="0.25">
      <c r="A1488" t="s">
        <v>1172</v>
      </c>
    </row>
    <row r="1489" spans="1:1" x14ac:dyDescent="0.25">
      <c r="A1489" t="s">
        <v>1116</v>
      </c>
    </row>
    <row r="1490" spans="1:1" x14ac:dyDescent="0.25">
      <c r="A1490" t="s">
        <v>733</v>
      </c>
    </row>
    <row r="1494" spans="1:1" x14ac:dyDescent="0.25">
      <c r="A1494" t="s">
        <v>1173</v>
      </c>
    </row>
    <row r="1496" spans="1:1" x14ac:dyDescent="0.25">
      <c r="A1496" t="s">
        <v>1174</v>
      </c>
    </row>
    <row r="1497" spans="1:1" x14ac:dyDescent="0.25">
      <c r="A1497" t="s">
        <v>1018</v>
      </c>
    </row>
    <row r="1498" spans="1:1" x14ac:dyDescent="0.25">
      <c r="A1498" t="s">
        <v>1175</v>
      </c>
    </row>
    <row r="1499" spans="1:1" x14ac:dyDescent="0.25">
      <c r="A1499" t="s">
        <v>1020</v>
      </c>
    </row>
    <row r="1500" spans="1:1" x14ac:dyDescent="0.25">
      <c r="A1500" t="s">
        <v>396</v>
      </c>
    </row>
    <row r="1502" spans="1:1" x14ac:dyDescent="0.25">
      <c r="A1502" t="s">
        <v>1176</v>
      </c>
    </row>
    <row r="1503" spans="1:1" x14ac:dyDescent="0.25">
      <c r="A1503" t="s">
        <v>1177</v>
      </c>
    </row>
    <row r="1504" spans="1:1" x14ac:dyDescent="0.25">
      <c r="A1504" t="s">
        <v>1178</v>
      </c>
    </row>
    <row r="1505" spans="1:1" x14ac:dyDescent="0.25">
      <c r="A1505" t="s">
        <v>1179</v>
      </c>
    </row>
    <row r="1506" spans="1:1" x14ac:dyDescent="0.25">
      <c r="A1506" t="s">
        <v>1180</v>
      </c>
    </row>
    <row r="1507" spans="1:1" x14ac:dyDescent="0.25">
      <c r="A1507" t="s">
        <v>579</v>
      </c>
    </row>
    <row r="1508" spans="1:1" x14ac:dyDescent="0.25">
      <c r="A1508" t="s">
        <v>1181</v>
      </c>
    </row>
    <row r="1509" spans="1:1" x14ac:dyDescent="0.25">
      <c r="A1509" t="s">
        <v>1182</v>
      </c>
    </row>
    <row r="1510" spans="1:1" x14ac:dyDescent="0.25">
      <c r="A1510" t="s">
        <v>1183</v>
      </c>
    </row>
    <row r="1511" spans="1:1" x14ac:dyDescent="0.25">
      <c r="A1511" t="s">
        <v>1184</v>
      </c>
    </row>
    <row r="1512" spans="1:1" x14ac:dyDescent="0.25">
      <c r="A1512" t="s">
        <v>1185</v>
      </c>
    </row>
    <row r="1513" spans="1:1" x14ac:dyDescent="0.25">
      <c r="A1513" t="s">
        <v>1186</v>
      </c>
    </row>
    <row r="1514" spans="1:1" x14ac:dyDescent="0.25">
      <c r="A1514" t="s">
        <v>579</v>
      </c>
    </row>
    <row r="1515" spans="1:1" x14ac:dyDescent="0.25">
      <c r="A1515" t="s">
        <v>733</v>
      </c>
    </row>
    <row r="1517" spans="1:1" x14ac:dyDescent="0.25">
      <c r="A1517" t="s">
        <v>1187</v>
      </c>
    </row>
    <row r="1518" spans="1:1" x14ac:dyDescent="0.25">
      <c r="A1518" t="s">
        <v>1177</v>
      </c>
    </row>
    <row r="1519" spans="1:1" x14ac:dyDescent="0.25">
      <c r="A1519" t="s">
        <v>1188</v>
      </c>
    </row>
    <row r="1520" spans="1:1" x14ac:dyDescent="0.25">
      <c r="A1520" t="s">
        <v>1189</v>
      </c>
    </row>
    <row r="1521" spans="1:1" x14ac:dyDescent="0.25">
      <c r="A1521" t="s">
        <v>1190</v>
      </c>
    </row>
    <row r="1522" spans="1:1" x14ac:dyDescent="0.25">
      <c r="A1522" t="s">
        <v>1191</v>
      </c>
    </row>
    <row r="1523" spans="1:1" x14ac:dyDescent="0.25">
      <c r="A1523" t="s">
        <v>733</v>
      </c>
    </row>
    <row r="1525" spans="1:1" x14ac:dyDescent="0.25">
      <c r="A1525" t="s">
        <v>1192</v>
      </c>
    </row>
    <row r="1526" spans="1:1" x14ac:dyDescent="0.25">
      <c r="A1526" t="s">
        <v>1193</v>
      </c>
    </row>
    <row r="1527" spans="1:1" x14ac:dyDescent="0.25">
      <c r="A1527" t="s">
        <v>733</v>
      </c>
    </row>
    <row r="1529" spans="1:1" x14ac:dyDescent="0.25">
      <c r="A1529" t="s">
        <v>1194</v>
      </c>
    </row>
    <row r="1530" spans="1:1" x14ac:dyDescent="0.25">
      <c r="A1530" t="s">
        <v>1195</v>
      </c>
    </row>
    <row r="1531" spans="1:1" x14ac:dyDescent="0.25">
      <c r="A1531" t="s">
        <v>396</v>
      </c>
    </row>
    <row r="1533" spans="1:1" x14ac:dyDescent="0.25">
      <c r="A1533" t="s">
        <v>1196</v>
      </c>
    </row>
    <row r="1534" spans="1:1" x14ac:dyDescent="0.25">
      <c r="A1534" t="s">
        <v>1197</v>
      </c>
    </row>
    <row r="1535" spans="1:1" x14ac:dyDescent="0.25">
      <c r="A1535" t="s">
        <v>1198</v>
      </c>
    </row>
    <row r="1536" spans="1:1" x14ac:dyDescent="0.25">
      <c r="A1536" t="s">
        <v>1199</v>
      </c>
    </row>
    <row r="1537" spans="1:1" x14ac:dyDescent="0.25">
      <c r="A1537" t="s">
        <v>1200</v>
      </c>
    </row>
    <row r="1538" spans="1:1" x14ac:dyDescent="0.25">
      <c r="A1538" t="s">
        <v>1201</v>
      </c>
    </row>
    <row r="1539" spans="1:1" x14ac:dyDescent="0.25">
      <c r="A1539" t="s">
        <v>396</v>
      </c>
    </row>
    <row r="1541" spans="1:1" x14ac:dyDescent="0.25">
      <c r="A1541" t="s">
        <v>1202</v>
      </c>
    </row>
    <row r="1542" spans="1:1" x14ac:dyDescent="0.25">
      <c r="A1542" t="s">
        <v>1197</v>
      </c>
    </row>
    <row r="1543" spans="1:1" x14ac:dyDescent="0.25">
      <c r="A1543" t="s">
        <v>1198</v>
      </c>
    </row>
    <row r="1544" spans="1:1" x14ac:dyDescent="0.25">
      <c r="A1544" t="s">
        <v>1203</v>
      </c>
    </row>
    <row r="1545" spans="1:1" x14ac:dyDescent="0.25">
      <c r="A1545" t="s">
        <v>1204</v>
      </c>
    </row>
    <row r="1546" spans="1:1" x14ac:dyDescent="0.25">
      <c r="A1546" t="s">
        <v>1201</v>
      </c>
    </row>
    <row r="1547" spans="1:1" x14ac:dyDescent="0.25">
      <c r="A1547" t="s">
        <v>733</v>
      </c>
    </row>
    <row r="1549" spans="1:1" x14ac:dyDescent="0.25">
      <c r="A1549" t="s">
        <v>1205</v>
      </c>
    </row>
    <row r="1550" spans="1:1" x14ac:dyDescent="0.25">
      <c r="A1550" t="s">
        <v>1070</v>
      </c>
    </row>
    <row r="1551" spans="1:1" x14ac:dyDescent="0.25">
      <c r="A1551" t="s">
        <v>1206</v>
      </c>
    </row>
    <row r="1552" spans="1:1" x14ac:dyDescent="0.25">
      <c r="A1552" t="s">
        <v>1207</v>
      </c>
    </row>
    <row r="1553" spans="1:1" x14ac:dyDescent="0.25">
      <c r="A1553" t="s">
        <v>1208</v>
      </c>
    </row>
    <row r="1554" spans="1:1" x14ac:dyDescent="0.25">
      <c r="A1554" t="s">
        <v>396</v>
      </c>
    </row>
    <row r="1556" spans="1:1" x14ac:dyDescent="0.25">
      <c r="A1556" t="s">
        <v>1209</v>
      </c>
    </row>
    <row r="1557" spans="1:1" x14ac:dyDescent="0.25">
      <c r="A1557" t="s">
        <v>1210</v>
      </c>
    </row>
    <row r="1558" spans="1:1" x14ac:dyDescent="0.25">
      <c r="A1558" t="s">
        <v>1211</v>
      </c>
    </row>
    <row r="1559" spans="1:1" x14ac:dyDescent="0.25">
      <c r="A1559" t="s">
        <v>1212</v>
      </c>
    </row>
    <row r="1560" spans="1:1" x14ac:dyDescent="0.25">
      <c r="A1560" t="s">
        <v>1213</v>
      </c>
    </row>
    <row r="1561" spans="1:1" x14ac:dyDescent="0.25">
      <c r="A1561" t="s">
        <v>564</v>
      </c>
    </row>
    <row r="1562" spans="1:1" x14ac:dyDescent="0.25">
      <c r="A1562" t="s">
        <v>1214</v>
      </c>
    </row>
    <row r="1563" spans="1:1" x14ac:dyDescent="0.25">
      <c r="A1563" t="s">
        <v>579</v>
      </c>
    </row>
    <row r="1564" spans="1:1" x14ac:dyDescent="0.25">
      <c r="A1564" t="s">
        <v>396</v>
      </c>
    </row>
    <row r="1566" spans="1:1" x14ac:dyDescent="0.25">
      <c r="A1566" t="s">
        <v>1215</v>
      </c>
    </row>
    <row r="1567" spans="1:1" x14ac:dyDescent="0.25">
      <c r="A1567" t="s">
        <v>1216</v>
      </c>
    </row>
    <row r="1568" spans="1:1" x14ac:dyDescent="0.25">
      <c r="A1568" t="s">
        <v>1217</v>
      </c>
    </row>
    <row r="1569" spans="1:1" x14ac:dyDescent="0.25">
      <c r="A1569" t="s">
        <v>1218</v>
      </c>
    </row>
    <row r="1570" spans="1:1" x14ac:dyDescent="0.25">
      <c r="A1570" t="s">
        <v>1219</v>
      </c>
    </row>
    <row r="1571" spans="1:1" x14ac:dyDescent="0.25">
      <c r="A1571" t="s">
        <v>1220</v>
      </c>
    </row>
    <row r="1572" spans="1:1" x14ac:dyDescent="0.25">
      <c r="A1572" t="s">
        <v>1221</v>
      </c>
    </row>
    <row r="1573" spans="1:1" x14ac:dyDescent="0.25">
      <c r="A1573" t="s">
        <v>396</v>
      </c>
    </row>
    <row r="1575" spans="1:1" x14ac:dyDescent="0.25">
      <c r="A1575" t="s">
        <v>1222</v>
      </c>
    </row>
    <row r="1576" spans="1:1" x14ac:dyDescent="0.25">
      <c r="A1576" t="s">
        <v>1223</v>
      </c>
    </row>
    <row r="1577" spans="1:1" x14ac:dyDescent="0.25">
      <c r="A1577" t="s">
        <v>1224</v>
      </c>
    </row>
    <row r="1578" spans="1:1" x14ac:dyDescent="0.25">
      <c r="A1578" t="s">
        <v>1225</v>
      </c>
    </row>
    <row r="1579" spans="1:1" x14ac:dyDescent="0.25">
      <c r="A1579" t="s">
        <v>1226</v>
      </c>
    </row>
    <row r="1580" spans="1:1" x14ac:dyDescent="0.25">
      <c r="A1580" t="s">
        <v>1227</v>
      </c>
    </row>
    <row r="1581" spans="1:1" x14ac:dyDescent="0.25">
      <c r="A1581" t="s">
        <v>579</v>
      </c>
    </row>
    <row r="1582" spans="1:1" x14ac:dyDescent="0.25">
      <c r="A1582" t="s">
        <v>1228</v>
      </c>
    </row>
    <row r="1583" spans="1:1" x14ac:dyDescent="0.25">
      <c r="A1583" t="s">
        <v>1229</v>
      </c>
    </row>
    <row r="1584" spans="1:1" x14ac:dyDescent="0.25">
      <c r="A1584" t="s">
        <v>1230</v>
      </c>
    </row>
    <row r="1585" spans="1:1" x14ac:dyDescent="0.25">
      <c r="A1585" t="s">
        <v>1231</v>
      </c>
    </row>
    <row r="1586" spans="1:1" x14ac:dyDescent="0.25">
      <c r="A1586" t="s">
        <v>1220</v>
      </c>
    </row>
    <row r="1587" spans="1:1" x14ac:dyDescent="0.25">
      <c r="A1587" t="s">
        <v>1232</v>
      </c>
    </row>
    <row r="1588" spans="1:1" x14ac:dyDescent="0.25">
      <c r="A1588" t="s">
        <v>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inputSpecial</vt:lpstr>
      <vt:lpstr>inputAnnual</vt:lpstr>
      <vt:lpstr>export_calendar</vt:lpstr>
      <vt:lpstr>theme_boxes</vt:lpstr>
      <vt:lpstr>light_patterns</vt:lpstr>
      <vt:lpstr>light_colors</vt:lpstr>
      <vt:lpstr>about</vt:lpstr>
      <vt:lpstr>calendar</vt:lpstr>
      <vt:lpstr>Sheet1</vt:lpstr>
      <vt:lpstr>annualList</vt:lpstr>
      <vt:lpstr>Annuals</vt:lpstr>
      <vt:lpstr>exportlist</vt:lpstr>
      <vt:lpstr>Feest</vt:lpstr>
      <vt:lpstr>specialList</vt:lpstr>
      <vt:lpstr>Specials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2025-10-09T13:56:36Z</dcterms:created>
  <dcterms:modified xsi:type="dcterms:W3CDTF">2026-03-13T09:13:30Z</dcterms:modified>
</cp:coreProperties>
</file>