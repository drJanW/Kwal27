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70B2E725-0362-40C5-8A65-B1E1B9ED4ED4}" xr6:coauthVersionLast="47" xr6:coauthVersionMax="47" xr10:uidLastSave="{00000000-0000-0000-0000-000000000000}"/>
  <bookViews>
    <workbookView xWindow="17160" yWindow="8565" windowWidth="23370" windowHeight="21435" firstSheet="1" activeTab="3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9" i="12" l="1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128" i="1"/>
  <c r="G131" i="1"/>
  <c r="G119" i="1"/>
  <c r="H106" i="1"/>
  <c r="H101" i="1"/>
  <c r="H85" i="1"/>
  <c r="H86" i="1"/>
  <c r="H118" i="1"/>
  <c r="H96" i="1"/>
  <c r="H114" i="1"/>
  <c r="H126" i="1"/>
  <c r="G129" i="1"/>
  <c r="G117" i="1"/>
  <c r="H104" i="1"/>
  <c r="H99" i="1"/>
  <c r="G97" i="1"/>
  <c r="G96" i="1"/>
  <c r="G113" i="1"/>
  <c r="G93" i="1"/>
  <c r="G102" i="1"/>
  <c r="G13" i="1"/>
  <c r="H95" i="1"/>
  <c r="H136" i="1"/>
  <c r="H92" i="1"/>
  <c r="H124" i="1"/>
  <c r="G127" i="1"/>
  <c r="G115" i="1"/>
  <c r="H102" i="1"/>
  <c r="G109" i="1"/>
  <c r="G95" i="1"/>
  <c r="H9" i="1"/>
  <c r="G125" i="1"/>
  <c r="H100" i="1"/>
  <c r="G12" i="1"/>
  <c r="G124" i="1"/>
  <c r="H11" i="1"/>
  <c r="G122" i="1"/>
  <c r="H129" i="1"/>
  <c r="G107" i="1"/>
  <c r="H113" i="1"/>
  <c r="H134" i="1"/>
  <c r="G136" i="1"/>
  <c r="G118" i="1"/>
  <c r="G111" i="1"/>
  <c r="H98" i="1"/>
  <c r="G105" i="1"/>
  <c r="G91" i="1"/>
  <c r="G7" i="1"/>
  <c r="H10" i="1"/>
  <c r="G92" i="1"/>
  <c r="G100" i="1"/>
  <c r="H111" i="1"/>
  <c r="H133" i="1"/>
  <c r="G134" i="1"/>
  <c r="G120" i="1"/>
  <c r="G116" i="1"/>
  <c r="G110" i="1"/>
  <c r="G103" i="1"/>
  <c r="G89" i="1"/>
  <c r="H12" i="1"/>
  <c r="G112" i="1"/>
  <c r="G99" i="1"/>
  <c r="H117" i="1"/>
  <c r="H97" i="1"/>
  <c r="G98" i="1"/>
  <c r="H93" i="1"/>
  <c r="H91" i="1"/>
  <c r="G132" i="1"/>
  <c r="H123" i="1"/>
  <c r="G114" i="1"/>
  <c r="G108" i="1"/>
  <c r="G101" i="1"/>
  <c r="G87" i="1"/>
  <c r="G9" i="1"/>
  <c r="H121" i="1"/>
  <c r="G85" i="1"/>
  <c r="H120" i="1"/>
  <c r="H116" i="1"/>
  <c r="H94" i="1"/>
  <c r="G130" i="1"/>
  <c r="G106" i="1"/>
  <c r="H115" i="1"/>
  <c r="H107" i="1"/>
  <c r="G128" i="1"/>
  <c r="H119" i="1"/>
  <c r="H122" i="1"/>
  <c r="G104" i="1"/>
  <c r="G90" i="1"/>
  <c r="G86" i="1"/>
  <c r="G11" i="1"/>
  <c r="G88" i="1"/>
  <c r="G8" i="1"/>
  <c r="G10" i="1"/>
  <c r="H87" i="1"/>
  <c r="G126" i="1"/>
  <c r="G94" i="1"/>
  <c r="H131" i="1"/>
  <c r="H125" i="1"/>
  <c r="H7" i="1"/>
  <c r="H127" i="1"/>
  <c r="H135" i="1"/>
  <c r="H109" i="1"/>
  <c r="H8" i="1"/>
  <c r="H112" i="1"/>
  <c r="H132" i="1"/>
  <c r="G135" i="1"/>
  <c r="G123" i="1"/>
  <c r="H110" i="1"/>
  <c r="H105" i="1"/>
  <c r="H89" i="1"/>
  <c r="H90" i="1"/>
  <c r="H13" i="1"/>
  <c r="H130" i="1"/>
  <c r="G133" i="1"/>
  <c r="G121" i="1"/>
  <c r="H108" i="1"/>
  <c r="H103" i="1"/>
  <c r="H88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H149" i="1"/>
  <c r="G17" i="1"/>
  <c r="H14" i="1"/>
  <c r="G18" i="1"/>
  <c r="H15" i="1"/>
  <c r="G15" i="1"/>
  <c r="G14" i="1"/>
  <c r="G16" i="1"/>
  <c r="H17" i="1"/>
  <c r="H16" i="1"/>
  <c r="H18" i="1"/>
  <c r="G149" i="1"/>
  <c r="W4" i="3" l="1"/>
  <c r="X4" i="3"/>
  <c r="V4" i="3"/>
  <c r="U5" i="3"/>
  <c r="F150" i="1"/>
  <c r="H150" i="1"/>
  <c r="G19" i="1"/>
  <c r="G150" i="1"/>
  <c r="H19" i="1"/>
  <c r="U6" i="3" l="1"/>
  <c r="W5" i="3"/>
  <c r="X5" i="3"/>
  <c r="V5" i="3"/>
  <c r="F151" i="1"/>
  <c r="G151" i="1"/>
  <c r="H20" i="1"/>
  <c r="H151" i="1"/>
  <c r="G20" i="1"/>
  <c r="U7" i="3" l="1"/>
  <c r="X6" i="3"/>
  <c r="W6" i="3"/>
  <c r="V6" i="3"/>
  <c r="F152" i="1"/>
  <c r="H152" i="1"/>
  <c r="H21" i="1"/>
  <c r="G21" i="1"/>
  <c r="G152" i="1"/>
  <c r="U8" i="3" l="1"/>
  <c r="V7" i="3"/>
  <c r="X7" i="3"/>
  <c r="W7" i="3"/>
  <c r="U9" i="3" l="1"/>
  <c r="W8" i="3"/>
  <c r="X8" i="3"/>
  <c r="V8" i="3"/>
  <c r="H113" i="3"/>
  <c r="I116" i="3"/>
  <c r="Q189" i="3"/>
  <c r="O118" i="3"/>
  <c r="I10" i="3"/>
  <c r="I56" i="3"/>
  <c r="I109" i="3"/>
  <c r="P27" i="3"/>
  <c r="O176" i="3"/>
  <c r="Q5" i="3"/>
  <c r="N148" i="3"/>
  <c r="P205" i="3"/>
  <c r="I54" i="3"/>
  <c r="M173" i="3"/>
  <c r="O202" i="3"/>
  <c r="N32" i="3"/>
  <c r="O17" i="3"/>
  <c r="O186" i="3"/>
  <c r="H119" i="3"/>
  <c r="N90" i="3"/>
  <c r="R196" i="3"/>
  <c r="P15" i="3"/>
  <c r="M118" i="3"/>
  <c r="R227" i="3"/>
  <c r="N18" i="3"/>
  <c r="R56" i="3"/>
  <c r="G120" i="3"/>
  <c r="O199" i="3"/>
  <c r="O61" i="3"/>
  <c r="L189" i="3"/>
  <c r="G94" i="3"/>
  <c r="P96" i="3"/>
  <c r="L92" i="3"/>
  <c r="R213" i="3"/>
  <c r="R199" i="3"/>
  <c r="I20" i="3"/>
  <c r="R9" i="3"/>
  <c r="M79" i="3"/>
  <c r="L50" i="3"/>
  <c r="G7" i="3"/>
  <c r="L144" i="3"/>
  <c r="I11" i="3"/>
  <c r="Q53" i="3"/>
  <c r="I80" i="3"/>
  <c r="N37" i="3"/>
  <c r="L45" i="3"/>
  <c r="P194" i="3"/>
  <c r="O123" i="3"/>
  <c r="R194" i="3"/>
  <c r="Q38" i="3"/>
  <c r="O14" i="3"/>
  <c r="P152" i="3"/>
  <c r="M10" i="3"/>
  <c r="P163" i="3"/>
  <c r="G124" i="3"/>
  <c r="L14" i="3"/>
  <c r="O116" i="3"/>
  <c r="R171" i="3"/>
  <c r="M58" i="3"/>
  <c r="O226" i="3"/>
  <c r="G69" i="3"/>
  <c r="N98" i="3"/>
  <c r="I146" i="3"/>
  <c r="P198" i="3"/>
  <c r="H5" i="3"/>
  <c r="R155" i="3"/>
  <c r="Q44" i="3"/>
  <c r="G92" i="3"/>
  <c r="L190" i="3"/>
  <c r="O163" i="3"/>
  <c r="M83" i="3"/>
  <c r="L157" i="3"/>
  <c r="Q227" i="3"/>
  <c r="Q184" i="3"/>
  <c r="G44" i="3"/>
  <c r="N57" i="3"/>
  <c r="I64" i="3"/>
  <c r="O129" i="3"/>
  <c r="M204" i="3"/>
  <c r="O6" i="3"/>
  <c r="G53" i="3"/>
  <c r="E103" i="3"/>
  <c r="N146" i="3"/>
  <c r="L77" i="3"/>
  <c r="R95" i="3"/>
  <c r="L231" i="3"/>
  <c r="I4" i="3"/>
  <c r="L7" i="3"/>
  <c r="L215" i="3"/>
  <c r="N137" i="3"/>
  <c r="Q211" i="3"/>
  <c r="M4" i="3"/>
  <c r="Q204" i="3"/>
  <c r="M207" i="3"/>
  <c r="H101" i="3"/>
  <c r="P195" i="3"/>
  <c r="R172" i="3"/>
  <c r="R165" i="3"/>
  <c r="L59" i="3"/>
  <c r="L47" i="3"/>
  <c r="F12" i="3"/>
  <c r="Q116" i="3"/>
  <c r="Q148" i="3"/>
  <c r="L200" i="3"/>
  <c r="G112" i="3"/>
  <c r="N4" i="3"/>
  <c r="R211" i="3"/>
  <c r="N153" i="3"/>
  <c r="L175" i="3"/>
  <c r="N47" i="3"/>
  <c r="H14" i="3"/>
  <c r="O206" i="3"/>
  <c r="R208" i="3"/>
  <c r="P49" i="3"/>
  <c r="I135" i="3"/>
  <c r="E70" i="3"/>
  <c r="G67" i="3"/>
  <c r="L12" i="3"/>
  <c r="N31" i="3"/>
  <c r="R75" i="3"/>
  <c r="R104" i="3"/>
  <c r="I42" i="3"/>
  <c r="L105" i="3"/>
  <c r="M158" i="3"/>
  <c r="H94" i="3"/>
  <c r="R100" i="3"/>
  <c r="O41" i="3"/>
  <c r="N128" i="3"/>
  <c r="M151" i="3"/>
  <c r="H81" i="3"/>
  <c r="I132" i="3"/>
  <c r="Q197" i="3"/>
  <c r="P230" i="3"/>
  <c r="M70" i="3"/>
  <c r="H144" i="3"/>
  <c r="L84" i="3"/>
  <c r="P149" i="3"/>
  <c r="H30" i="3"/>
  <c r="M93" i="3"/>
  <c r="N174" i="3"/>
  <c r="O57" i="3"/>
  <c r="M198" i="3"/>
  <c r="O159" i="3"/>
  <c r="O104" i="3"/>
  <c r="R218" i="3"/>
  <c r="M96" i="3"/>
  <c r="M227" i="3"/>
  <c r="R176" i="3"/>
  <c r="O55" i="3"/>
  <c r="H58" i="3"/>
  <c r="N134" i="3"/>
  <c r="N190" i="3"/>
  <c r="H52" i="3"/>
  <c r="R68" i="3"/>
  <c r="I94" i="3"/>
  <c r="R120" i="3"/>
  <c r="O47" i="3"/>
  <c r="M115" i="3"/>
  <c r="G61" i="3"/>
  <c r="L174" i="3"/>
  <c r="G143" i="3"/>
  <c r="N8" i="3"/>
  <c r="Q208" i="3"/>
  <c r="R161" i="3"/>
  <c r="Q175" i="3"/>
  <c r="R43" i="3"/>
  <c r="H80" i="3"/>
  <c r="N82" i="3"/>
  <c r="N154" i="3"/>
  <c r="L151" i="3"/>
  <c r="N58" i="3"/>
  <c r="G110" i="3"/>
  <c r="Q188" i="3"/>
  <c r="R164" i="3"/>
  <c r="L191" i="3"/>
  <c r="L5" i="3"/>
  <c r="R88" i="3"/>
  <c r="I62" i="3"/>
  <c r="O44" i="3"/>
  <c r="P136" i="3"/>
  <c r="O4" i="3"/>
  <c r="G87" i="3"/>
  <c r="P84" i="3"/>
  <c r="P54" i="3"/>
  <c r="R44" i="3"/>
  <c r="R186" i="3"/>
  <c r="O28" i="3"/>
  <c r="Q97" i="3"/>
  <c r="O194" i="3"/>
  <c r="P226" i="3"/>
  <c r="M194" i="3"/>
  <c r="M229" i="3"/>
  <c r="R131" i="3"/>
  <c r="M184" i="3"/>
  <c r="O175" i="3"/>
  <c r="L6" i="3"/>
  <c r="O174" i="3"/>
  <c r="L83" i="3"/>
  <c r="N80" i="3"/>
  <c r="E4" i="3"/>
  <c r="P142" i="3"/>
  <c r="G123" i="3"/>
  <c r="N183" i="3"/>
  <c r="H114" i="3"/>
  <c r="M113" i="3"/>
  <c r="M105" i="3"/>
  <c r="L63" i="3"/>
  <c r="H24" i="3"/>
  <c r="L78" i="3"/>
  <c r="M72" i="3"/>
  <c r="L148" i="3"/>
  <c r="M132" i="3"/>
  <c r="L141" i="3"/>
  <c r="P47" i="3"/>
  <c r="H23" i="3"/>
  <c r="L218" i="3"/>
  <c r="P168" i="3"/>
  <c r="G73" i="3"/>
  <c r="M35" i="3"/>
  <c r="I33" i="3"/>
  <c r="G30" i="3"/>
  <c r="M171" i="3"/>
  <c r="P91" i="3"/>
  <c r="L13" i="3"/>
  <c r="H91" i="3"/>
  <c r="O18" i="3"/>
  <c r="O91" i="3"/>
  <c r="Q152" i="3"/>
  <c r="I150" i="3"/>
  <c r="R122" i="3"/>
  <c r="Q213" i="3"/>
  <c r="M41" i="3"/>
  <c r="R222" i="3"/>
  <c r="N112" i="3"/>
  <c r="O16" i="3"/>
  <c r="R154" i="3"/>
  <c r="Q137" i="3"/>
  <c r="O31" i="3"/>
  <c r="N156" i="3"/>
  <c r="R81" i="3"/>
  <c r="L48" i="3"/>
  <c r="Q155" i="3"/>
  <c r="Q157" i="3"/>
  <c r="H118" i="3"/>
  <c r="M153" i="3"/>
  <c r="L79" i="3"/>
  <c r="R83" i="3"/>
  <c r="I16" i="3"/>
  <c r="Q134" i="3"/>
  <c r="I48" i="3"/>
  <c r="M181" i="3"/>
  <c r="G147" i="3"/>
  <c r="H135" i="3"/>
  <c r="M125" i="3"/>
  <c r="O103" i="3"/>
  <c r="L98" i="3"/>
  <c r="M138" i="3"/>
  <c r="L130" i="3"/>
  <c r="I70" i="3"/>
  <c r="P123" i="3"/>
  <c r="Q32" i="3"/>
  <c r="R116" i="3"/>
  <c r="M57" i="3"/>
  <c r="I51" i="3"/>
  <c r="Q112" i="3"/>
  <c r="I71" i="3"/>
  <c r="H34" i="3"/>
  <c r="M205" i="3"/>
  <c r="G72" i="3"/>
  <c r="N50" i="3"/>
  <c r="R20" i="3"/>
  <c r="H16" i="3"/>
  <c r="H29" i="3"/>
  <c r="N175" i="3"/>
  <c r="L17" i="3"/>
  <c r="P37" i="3"/>
  <c r="P162" i="3"/>
  <c r="O126" i="3"/>
  <c r="N171" i="3"/>
  <c r="L129" i="3"/>
  <c r="Q147" i="3"/>
  <c r="R84" i="3"/>
  <c r="H76" i="3"/>
  <c r="M31" i="3"/>
  <c r="L54" i="3"/>
  <c r="Q65" i="3"/>
  <c r="H17" i="3"/>
  <c r="R106" i="3"/>
  <c r="L193" i="3"/>
  <c r="P69" i="3"/>
  <c r="N119" i="3"/>
  <c r="P5" i="3"/>
  <c r="O69" i="3"/>
  <c r="I131" i="3"/>
  <c r="L70" i="3"/>
  <c r="N9" i="3"/>
  <c r="H74" i="3"/>
  <c r="N159" i="3"/>
  <c r="P167" i="3"/>
  <c r="O92" i="3"/>
  <c r="O144" i="3"/>
  <c r="N189" i="3"/>
  <c r="L31" i="3"/>
  <c r="M63" i="3"/>
  <c r="N132" i="3"/>
  <c r="H103" i="3"/>
  <c r="P89" i="3"/>
  <c r="H50" i="3"/>
  <c r="P52" i="3"/>
  <c r="I151" i="3"/>
  <c r="L30" i="3"/>
  <c r="I34" i="3"/>
  <c r="P110" i="3"/>
  <c r="M22" i="3"/>
  <c r="Q168" i="3"/>
  <c r="N167" i="3"/>
  <c r="P128" i="3"/>
  <c r="R231" i="3"/>
  <c r="O198" i="3"/>
  <c r="H127" i="3"/>
  <c r="G98" i="3"/>
  <c r="L198" i="3"/>
  <c r="H87" i="3"/>
  <c r="M117" i="3"/>
  <c r="L205" i="3"/>
  <c r="M155" i="3"/>
  <c r="L214" i="3"/>
  <c r="L53" i="3"/>
  <c r="Q151" i="3"/>
  <c r="H3" i="3"/>
  <c r="P20" i="3"/>
  <c r="P45" i="3"/>
  <c r="I44" i="3"/>
  <c r="N227" i="3"/>
  <c r="L36" i="3"/>
  <c r="O8" i="3"/>
  <c r="N74" i="3"/>
  <c r="L21" i="3"/>
  <c r="L61" i="3"/>
  <c r="L72" i="3"/>
  <c r="G86" i="3"/>
  <c r="R152" i="3"/>
  <c r="P119" i="3"/>
  <c r="P164" i="3"/>
  <c r="N19" i="3"/>
  <c r="M16" i="3"/>
  <c r="L113" i="3"/>
  <c r="R94" i="3"/>
  <c r="R14" i="3"/>
  <c r="H39" i="3"/>
  <c r="P219" i="3"/>
  <c r="P170" i="3"/>
  <c r="L117" i="3"/>
  <c r="P25" i="3"/>
  <c r="N106" i="3"/>
  <c r="G113" i="3"/>
  <c r="H148" i="3"/>
  <c r="H83" i="3"/>
  <c r="P155" i="3"/>
  <c r="R65" i="3"/>
  <c r="Q209" i="3"/>
  <c r="H63" i="3"/>
  <c r="Q171" i="3"/>
  <c r="P104" i="3"/>
  <c r="N163" i="3"/>
  <c r="H19" i="3"/>
  <c r="M11" i="3"/>
  <c r="G28" i="3"/>
  <c r="I84" i="3"/>
  <c r="H149" i="3"/>
  <c r="Q94" i="3"/>
  <c r="R74" i="3"/>
  <c r="O210" i="3"/>
  <c r="L217" i="3"/>
  <c r="M135" i="3"/>
  <c r="L159" i="3"/>
  <c r="I124" i="3"/>
  <c r="O150" i="3"/>
  <c r="M187" i="3"/>
  <c r="Q77" i="3"/>
  <c r="I6" i="3"/>
  <c r="P144" i="3"/>
  <c r="M95" i="3"/>
  <c r="R51" i="3"/>
  <c r="O5" i="3"/>
  <c r="N210" i="3"/>
  <c r="H72" i="3"/>
  <c r="M208" i="3"/>
  <c r="H137" i="3"/>
  <c r="I153" i="3"/>
  <c r="R87" i="3"/>
  <c r="N79" i="3"/>
  <c r="O147" i="3"/>
  <c r="G104" i="3"/>
  <c r="P126" i="3"/>
  <c r="R22" i="3"/>
  <c r="P7" i="3"/>
  <c r="L227" i="3"/>
  <c r="G128" i="3"/>
  <c r="M27" i="3"/>
  <c r="R127" i="3"/>
  <c r="R92" i="3"/>
  <c r="G9" i="3"/>
  <c r="R146" i="3"/>
  <c r="O222" i="3"/>
  <c r="H64" i="3"/>
  <c r="O102" i="3"/>
  <c r="O109" i="3"/>
  <c r="P197" i="3"/>
  <c r="O11" i="3"/>
  <c r="P34" i="3"/>
  <c r="N78" i="3"/>
  <c r="R15" i="3"/>
  <c r="M146" i="3"/>
  <c r="G43" i="3"/>
  <c r="Q43" i="3"/>
  <c r="G48" i="3"/>
  <c r="I50" i="3"/>
  <c r="Q114" i="3"/>
  <c r="G114" i="3"/>
  <c r="Q143" i="3"/>
  <c r="L206" i="3"/>
  <c r="L62" i="3"/>
  <c r="I86" i="3"/>
  <c r="O134" i="3"/>
  <c r="O72" i="3"/>
  <c r="N170" i="3"/>
  <c r="G148" i="3"/>
  <c r="F108" i="3"/>
  <c r="M193" i="3"/>
  <c r="N70" i="3"/>
  <c r="Q15" i="3"/>
  <c r="Q194" i="3"/>
  <c r="L204" i="3"/>
  <c r="P9" i="3"/>
  <c r="N143" i="3"/>
  <c r="N10" i="3"/>
  <c r="I30" i="3"/>
  <c r="Q9" i="3"/>
  <c r="Q80" i="3"/>
  <c r="M92" i="3"/>
  <c r="Q174" i="3"/>
  <c r="G129" i="3"/>
  <c r="L109" i="3"/>
  <c r="N88" i="3"/>
  <c r="N61" i="3"/>
  <c r="L169" i="3"/>
  <c r="I91" i="3"/>
  <c r="Q75" i="3"/>
  <c r="Q109" i="3"/>
  <c r="R125" i="3"/>
  <c r="P94" i="3"/>
  <c r="R76" i="3"/>
  <c r="H143" i="3"/>
  <c r="L194" i="3"/>
  <c r="O164" i="3"/>
  <c r="P26" i="3"/>
  <c r="H40" i="3"/>
  <c r="N41" i="3"/>
  <c r="H88" i="3"/>
  <c r="L197" i="3"/>
  <c r="O63" i="3"/>
  <c r="R160" i="3"/>
  <c r="M224" i="3"/>
  <c r="Q89" i="3"/>
  <c r="L153" i="3"/>
  <c r="R96" i="3"/>
  <c r="M124" i="3"/>
  <c r="P179" i="3"/>
  <c r="H11" i="3"/>
  <c r="I37" i="3"/>
  <c r="N12" i="3"/>
  <c r="I141" i="3"/>
  <c r="M107" i="3"/>
  <c r="Q52" i="3"/>
  <c r="M28" i="3"/>
  <c r="M120" i="3"/>
  <c r="M64" i="3"/>
  <c r="L171" i="3"/>
  <c r="O231" i="3"/>
  <c r="L112" i="3"/>
  <c r="I45" i="3"/>
  <c r="L155" i="3"/>
  <c r="N67" i="3"/>
  <c r="Q186" i="3"/>
  <c r="Q107" i="3"/>
  <c r="G95" i="3"/>
  <c r="L207" i="3"/>
  <c r="R169" i="3"/>
  <c r="R109" i="3"/>
  <c r="I154" i="3"/>
  <c r="Q190" i="3"/>
  <c r="H110" i="3"/>
  <c r="L181" i="3"/>
  <c r="L114" i="3"/>
  <c r="P95" i="3"/>
  <c r="M133" i="3"/>
  <c r="I88" i="3"/>
  <c r="N33" i="3"/>
  <c r="I52" i="3"/>
  <c r="M48" i="3"/>
  <c r="M99" i="3"/>
  <c r="M123" i="3"/>
  <c r="Q200" i="3"/>
  <c r="R17" i="3"/>
  <c r="N40" i="3"/>
  <c r="P127" i="3"/>
  <c r="O89" i="3"/>
  <c r="P124" i="3"/>
  <c r="O50" i="3"/>
  <c r="G12" i="3"/>
  <c r="M46" i="3"/>
  <c r="Q212" i="3"/>
  <c r="O122" i="3"/>
  <c r="Q82" i="3"/>
  <c r="I74" i="3"/>
  <c r="O66" i="3"/>
  <c r="I139" i="3"/>
  <c r="M145" i="3"/>
  <c r="N59" i="3"/>
  <c r="M77" i="3"/>
  <c r="P81" i="3"/>
  <c r="O169" i="3"/>
  <c r="N27" i="3"/>
  <c r="G23" i="3"/>
  <c r="I67" i="3"/>
  <c r="Q39" i="3"/>
  <c r="I113" i="3"/>
  <c r="Q4" i="3"/>
  <c r="M165" i="3"/>
  <c r="I21" i="3"/>
  <c r="O71" i="3"/>
  <c r="P18" i="3"/>
  <c r="N231" i="3"/>
  <c r="M87" i="3"/>
  <c r="R12" i="3"/>
  <c r="P61" i="3"/>
  <c r="O207" i="3"/>
  <c r="M210" i="3"/>
  <c r="E62" i="3"/>
  <c r="R7" i="3"/>
  <c r="R189" i="3"/>
  <c r="O173" i="3"/>
  <c r="R89" i="3"/>
  <c r="R101" i="3"/>
  <c r="N36" i="3"/>
  <c r="Q71" i="3"/>
  <c r="I98" i="3"/>
  <c r="Q84" i="3"/>
  <c r="O68" i="3"/>
  <c r="P36" i="3"/>
  <c r="N172" i="3"/>
  <c r="H133" i="3"/>
  <c r="N208" i="3"/>
  <c r="G83" i="3"/>
  <c r="N7" i="3"/>
  <c r="Q105" i="3"/>
  <c r="P78" i="3"/>
  <c r="P122" i="3"/>
  <c r="P224" i="3"/>
  <c r="G117" i="3"/>
  <c r="P87" i="3"/>
  <c r="H8" i="3"/>
  <c r="N56" i="3"/>
  <c r="H69" i="3"/>
  <c r="O184" i="3"/>
  <c r="R73" i="3"/>
  <c r="R147" i="3"/>
  <c r="I29" i="3"/>
  <c r="N186" i="3"/>
  <c r="Q218" i="3"/>
  <c r="H125" i="3"/>
  <c r="N152" i="3"/>
  <c r="R8" i="3"/>
  <c r="I8" i="3"/>
  <c r="L196" i="3"/>
  <c r="M190" i="3"/>
  <c r="O230" i="3"/>
  <c r="L81" i="3"/>
  <c r="I43" i="3"/>
  <c r="L132" i="3"/>
  <c r="L49" i="3"/>
  <c r="M42" i="3"/>
  <c r="H71" i="3"/>
  <c r="L126" i="3"/>
  <c r="G153" i="3"/>
  <c r="I145" i="3"/>
  <c r="N214" i="3"/>
  <c r="G108" i="3"/>
  <c r="M209" i="3"/>
  <c r="N192" i="3"/>
  <c r="Q172" i="3"/>
  <c r="P187" i="3"/>
  <c r="R42" i="3"/>
  <c r="R190" i="3"/>
  <c r="Q49" i="3"/>
  <c r="H10" i="3"/>
  <c r="H111" i="3"/>
  <c r="Q106" i="3"/>
  <c r="L149" i="3"/>
  <c r="O228" i="3"/>
  <c r="P157" i="3"/>
  <c r="N123" i="3"/>
  <c r="M114" i="3"/>
  <c r="L226" i="3"/>
  <c r="N21" i="3"/>
  <c r="H27" i="3"/>
  <c r="L68" i="3"/>
  <c r="O23" i="3"/>
  <c r="O121" i="3"/>
  <c r="O19" i="3"/>
  <c r="Q54" i="3"/>
  <c r="G99" i="3"/>
  <c r="R33" i="3"/>
  <c r="Q158" i="3"/>
  <c r="Q156" i="3"/>
  <c r="O43" i="3"/>
  <c r="I103" i="3"/>
  <c r="M202" i="3"/>
  <c r="P161" i="3"/>
  <c r="M32" i="3"/>
  <c r="L123" i="3"/>
  <c r="M108" i="3"/>
  <c r="H102" i="3"/>
  <c r="H61" i="3"/>
  <c r="R107" i="3"/>
  <c r="P190" i="3"/>
  <c r="M7" i="3"/>
  <c r="R137" i="3"/>
  <c r="N197" i="3"/>
  <c r="N187" i="3"/>
  <c r="Q47" i="3"/>
  <c r="L216" i="3"/>
  <c r="R159" i="3"/>
  <c r="L225" i="3"/>
  <c r="I61" i="3"/>
  <c r="P32" i="3"/>
  <c r="L57" i="3"/>
  <c r="P28" i="3"/>
  <c r="N141" i="3"/>
  <c r="Q159" i="3"/>
  <c r="L86" i="3"/>
  <c r="M49" i="3"/>
  <c r="R30" i="3"/>
  <c r="H153" i="3"/>
  <c r="Q167" i="3"/>
  <c r="R11" i="3"/>
  <c r="M213" i="3"/>
  <c r="G3" i="3"/>
  <c r="R49" i="3"/>
  <c r="H95" i="3"/>
  <c r="M98" i="3"/>
  <c r="N142" i="3"/>
  <c r="N176" i="3"/>
  <c r="L66" i="3"/>
  <c r="O193" i="3"/>
  <c r="L10" i="3"/>
  <c r="R80" i="3"/>
  <c r="L111" i="3"/>
  <c r="I102" i="3"/>
  <c r="P74" i="3"/>
  <c r="G37" i="3"/>
  <c r="P182" i="3"/>
  <c r="M170" i="3"/>
  <c r="N121" i="3"/>
  <c r="P178" i="3"/>
  <c r="H124" i="3"/>
  <c r="L170" i="3"/>
  <c r="Q119" i="3"/>
  <c r="M21" i="3"/>
  <c r="R207" i="3"/>
  <c r="G118" i="3"/>
  <c r="H62" i="3"/>
  <c r="H151" i="3"/>
  <c r="G70" i="3"/>
  <c r="P159" i="3"/>
  <c r="L8" i="3"/>
  <c r="Q22" i="3"/>
  <c r="I111" i="3"/>
  <c r="P200" i="3"/>
  <c r="R181" i="3"/>
  <c r="O56" i="3"/>
  <c r="O99" i="3"/>
  <c r="P160" i="3"/>
  <c r="G151" i="3"/>
  <c r="Q37" i="3"/>
  <c r="L134" i="3"/>
  <c r="N193" i="3"/>
  <c r="O100" i="3"/>
  <c r="M189" i="3"/>
  <c r="H4" i="3"/>
  <c r="O64" i="3"/>
  <c r="O190" i="3"/>
  <c r="N25" i="3"/>
  <c r="R173" i="3"/>
  <c r="N101" i="3"/>
  <c r="L74" i="3"/>
  <c r="R212" i="3"/>
  <c r="L52" i="3"/>
  <c r="M180" i="3"/>
  <c r="H115" i="3"/>
  <c r="Q7" i="3"/>
  <c r="H106" i="3"/>
  <c r="N105" i="3"/>
  <c r="G38" i="3"/>
  <c r="Q26" i="3"/>
  <c r="M215" i="3"/>
  <c r="P41" i="3"/>
  <c r="M47" i="3"/>
  <c r="I23" i="3"/>
  <c r="O40" i="3"/>
  <c r="H67" i="3"/>
  <c r="I40" i="3"/>
  <c r="R142" i="3"/>
  <c r="R150" i="3"/>
  <c r="Q162" i="3"/>
  <c r="P180" i="3"/>
  <c r="Q36" i="3"/>
  <c r="Q73" i="3"/>
  <c r="P218" i="3"/>
  <c r="G84" i="3"/>
  <c r="P135" i="3"/>
  <c r="M195" i="3"/>
  <c r="O38" i="3"/>
  <c r="M50" i="3"/>
  <c r="H112" i="3"/>
  <c r="H90" i="3"/>
  <c r="Q92" i="3"/>
  <c r="H79" i="3"/>
  <c r="M61" i="3"/>
  <c r="P143" i="3"/>
  <c r="L32" i="3"/>
  <c r="H77" i="3"/>
  <c r="H130" i="3"/>
  <c r="H42" i="3"/>
  <c r="N117" i="3"/>
  <c r="R58" i="3"/>
  <c r="M221" i="3"/>
  <c r="R78" i="3"/>
  <c r="R53" i="3"/>
  <c r="R216" i="3"/>
  <c r="P130" i="3"/>
  <c r="P192" i="3"/>
  <c r="R19" i="3"/>
  <c r="N20" i="3"/>
  <c r="G145" i="3"/>
  <c r="L88" i="3"/>
  <c r="R16" i="3"/>
  <c r="I60" i="3"/>
  <c r="O136" i="3"/>
  <c r="P207" i="3"/>
  <c r="O95" i="3"/>
  <c r="G135" i="3"/>
  <c r="M82" i="3"/>
  <c r="M106" i="3"/>
  <c r="M23" i="3"/>
  <c r="I106" i="3"/>
  <c r="M71" i="3"/>
  <c r="M52" i="3"/>
  <c r="R118" i="3"/>
  <c r="M5" i="3"/>
  <c r="M30" i="3"/>
  <c r="Q24" i="3"/>
  <c r="H31" i="3"/>
  <c r="P3" i="3"/>
  <c r="Q42" i="3"/>
  <c r="O133" i="3"/>
  <c r="M231" i="3"/>
  <c r="Q63" i="3"/>
  <c r="Q51" i="3"/>
  <c r="Q145" i="3"/>
  <c r="O106" i="3"/>
  <c r="R175" i="3"/>
  <c r="G97" i="3"/>
  <c r="G125" i="3"/>
  <c r="R6" i="3"/>
  <c r="L121" i="3"/>
  <c r="R158" i="3"/>
  <c r="L27" i="3"/>
  <c r="P175" i="3"/>
  <c r="O211" i="3"/>
  <c r="R23" i="3"/>
  <c r="R67" i="3"/>
  <c r="R112" i="3"/>
  <c r="L24" i="3"/>
  <c r="Q74" i="3"/>
  <c r="P204" i="3"/>
  <c r="P80" i="3"/>
  <c r="G16" i="3"/>
  <c r="Q102" i="3"/>
  <c r="O79" i="3"/>
  <c r="O85" i="3"/>
  <c r="R156" i="3"/>
  <c r="P109" i="3"/>
  <c r="L162" i="3"/>
  <c r="Q13" i="3"/>
  <c r="N42" i="3"/>
  <c r="P132" i="3"/>
  <c r="Q170" i="3"/>
  <c r="G89" i="3"/>
  <c r="I72" i="3"/>
  <c r="Q198" i="3"/>
  <c r="O141" i="3"/>
  <c r="Q161" i="3"/>
  <c r="O213" i="3"/>
  <c r="P215" i="3"/>
  <c r="Q228" i="3"/>
  <c r="G71" i="3"/>
  <c r="N219" i="3"/>
  <c r="L176" i="3"/>
  <c r="E121" i="3"/>
  <c r="O29" i="3"/>
  <c r="L16" i="3"/>
  <c r="H78" i="3"/>
  <c r="O10" i="3"/>
  <c r="N5" i="3"/>
  <c r="Q231" i="3"/>
  <c r="H141" i="3"/>
  <c r="H136" i="3"/>
  <c r="L143" i="3"/>
  <c r="R128" i="3"/>
  <c r="M174" i="3"/>
  <c r="N125" i="3"/>
  <c r="H46" i="3"/>
  <c r="M131" i="3"/>
  <c r="P97" i="3"/>
  <c r="Q31" i="3"/>
  <c r="P79" i="3"/>
  <c r="M222" i="3"/>
  <c r="I107" i="3"/>
  <c r="Q120" i="3"/>
  <c r="L82" i="3"/>
  <c r="I77" i="3"/>
  <c r="H26" i="3"/>
  <c r="H132" i="3"/>
  <c r="Q14" i="3"/>
  <c r="R187" i="3"/>
  <c r="I148" i="3"/>
  <c r="R140" i="3"/>
  <c r="R149" i="3"/>
  <c r="I38" i="3"/>
  <c r="I87" i="3"/>
  <c r="G137" i="3"/>
  <c r="M197" i="3"/>
  <c r="L229" i="3"/>
  <c r="I105" i="3"/>
  <c r="G80" i="3"/>
  <c r="L188" i="3"/>
  <c r="N76" i="3"/>
  <c r="O225" i="3"/>
  <c r="R3" i="3"/>
  <c r="M141" i="3"/>
  <c r="G107" i="3"/>
  <c r="Q133" i="3"/>
  <c r="L146" i="3"/>
  <c r="H7" i="3"/>
  <c r="O120" i="3"/>
  <c r="P50" i="3"/>
  <c r="Q115" i="3"/>
  <c r="Q121" i="3"/>
  <c r="G55" i="3"/>
  <c r="H145" i="3"/>
  <c r="N15" i="3"/>
  <c r="N198" i="3"/>
  <c r="N180" i="3"/>
  <c r="Q153" i="3"/>
  <c r="G25" i="3"/>
  <c r="I123" i="3"/>
  <c r="L180" i="3"/>
  <c r="M216" i="3"/>
  <c r="N23" i="3"/>
  <c r="R123" i="3"/>
  <c r="Q130" i="3"/>
  <c r="G82" i="3"/>
  <c r="H37" i="3"/>
  <c r="O60" i="3"/>
  <c r="Q57" i="3"/>
  <c r="N63" i="3"/>
  <c r="G13" i="3"/>
  <c r="L100" i="3"/>
  <c r="R151" i="3"/>
  <c r="Q122" i="3"/>
  <c r="Q216" i="3"/>
  <c r="L104" i="3"/>
  <c r="M17" i="3"/>
  <c r="O78" i="3"/>
  <c r="P90" i="3"/>
  <c r="Q81" i="3"/>
  <c r="P125" i="3"/>
  <c r="G26" i="3"/>
  <c r="O33" i="3"/>
  <c r="P188" i="3"/>
  <c r="G35" i="3"/>
  <c r="L42" i="3"/>
  <c r="M34" i="3"/>
  <c r="M6" i="3"/>
  <c r="P72" i="3"/>
  <c r="Q62" i="3"/>
  <c r="P169" i="3"/>
  <c r="L147" i="3"/>
  <c r="L160" i="3"/>
  <c r="O151" i="3"/>
  <c r="I112" i="3"/>
  <c r="L185" i="3"/>
  <c r="Q76" i="3"/>
  <c r="M152" i="3"/>
  <c r="R63" i="3"/>
  <c r="L102" i="3"/>
  <c r="P113" i="3"/>
  <c r="R18" i="3"/>
  <c r="O224" i="3"/>
  <c r="O73" i="3"/>
  <c r="O145" i="3"/>
  <c r="N229" i="3"/>
  <c r="R24" i="3"/>
  <c r="R133" i="3"/>
  <c r="G146" i="3"/>
  <c r="N24" i="3"/>
  <c r="I57" i="3"/>
  <c r="N16" i="3"/>
  <c r="G115" i="3"/>
  <c r="M86" i="3"/>
  <c r="O214" i="3"/>
  <c r="Q191" i="3"/>
  <c r="N91" i="3"/>
  <c r="N52" i="3"/>
  <c r="N181" i="3"/>
  <c r="G58" i="3"/>
  <c r="M186" i="3"/>
  <c r="M9" i="3"/>
  <c r="R25" i="3"/>
  <c r="O124" i="3"/>
  <c r="G131" i="3"/>
  <c r="G130" i="3"/>
  <c r="M69" i="3"/>
  <c r="G18" i="3"/>
  <c r="L138" i="3"/>
  <c r="M164" i="3"/>
  <c r="G138" i="3"/>
  <c r="O48" i="3"/>
  <c r="N108" i="3"/>
  <c r="O42" i="3"/>
  <c r="N131" i="3"/>
  <c r="O131" i="3"/>
  <c r="Q117" i="3"/>
  <c r="H28" i="3"/>
  <c r="I90" i="3"/>
  <c r="G62" i="3"/>
  <c r="O137" i="3"/>
  <c r="M51" i="3"/>
  <c r="M134" i="3"/>
  <c r="N103" i="3"/>
  <c r="N75" i="3"/>
  <c r="O115" i="3"/>
  <c r="O139" i="3"/>
  <c r="R204" i="3"/>
  <c r="Q182" i="3"/>
  <c r="I119" i="3"/>
  <c r="I59" i="3"/>
  <c r="P145" i="3"/>
  <c r="M220" i="3"/>
  <c r="Q72" i="3"/>
  <c r="Q46" i="3"/>
  <c r="L93" i="3"/>
  <c r="O127" i="3"/>
  <c r="N120" i="3"/>
  <c r="N220" i="3"/>
  <c r="H57" i="3"/>
  <c r="Q21" i="3"/>
  <c r="O27" i="3"/>
  <c r="H70" i="3"/>
  <c r="N45" i="3"/>
  <c r="O84" i="3"/>
  <c r="O96" i="3"/>
  <c r="I100" i="3"/>
  <c r="M226" i="3"/>
  <c r="P83" i="3"/>
  <c r="R210" i="3"/>
  <c r="G144" i="3"/>
  <c r="P222" i="3"/>
  <c r="P23" i="3"/>
  <c r="I41" i="3"/>
  <c r="R167" i="3"/>
  <c r="N158" i="3"/>
  <c r="O180" i="3"/>
  <c r="N113" i="3"/>
  <c r="M219" i="3"/>
  <c r="O132" i="3"/>
  <c r="Q138" i="3"/>
  <c r="L65" i="3"/>
  <c r="M147" i="3"/>
  <c r="L119" i="3"/>
  <c r="P65" i="3"/>
  <c r="L125" i="3"/>
  <c r="I32" i="3"/>
  <c r="Q222" i="3"/>
  <c r="P217" i="3"/>
  <c r="L192" i="3"/>
  <c r="O24" i="3"/>
  <c r="O119" i="3"/>
  <c r="Q207" i="3"/>
  <c r="O178" i="3"/>
  <c r="I144" i="3"/>
  <c r="I125" i="3"/>
  <c r="G19" i="3"/>
  <c r="G79" i="3"/>
  <c r="N11" i="3"/>
  <c r="L224" i="3"/>
  <c r="L212" i="3"/>
  <c r="L152" i="3"/>
  <c r="H53" i="3"/>
  <c r="L142" i="3"/>
  <c r="P6" i="3"/>
  <c r="N217" i="3"/>
  <c r="L9" i="3"/>
  <c r="L95" i="3"/>
  <c r="N164" i="3"/>
  <c r="R185" i="3"/>
  <c r="R221" i="3"/>
  <c r="H13" i="3"/>
  <c r="O90" i="3"/>
  <c r="N55" i="3"/>
  <c r="R45" i="3"/>
  <c r="G139" i="3"/>
  <c r="N149" i="3"/>
  <c r="P141" i="3"/>
  <c r="P82" i="3"/>
  <c r="R219" i="3"/>
  <c r="Q85" i="3"/>
  <c r="P51" i="3"/>
  <c r="H123" i="3"/>
  <c r="I89" i="3"/>
  <c r="H97" i="3"/>
  <c r="I46" i="3"/>
  <c r="O26" i="3"/>
  <c r="Q166" i="3"/>
  <c r="O35" i="3"/>
  <c r="R102" i="3"/>
  <c r="R183" i="3"/>
  <c r="R119" i="3"/>
  <c r="N218" i="3"/>
  <c r="L128" i="3"/>
  <c r="L19" i="3"/>
  <c r="Q181" i="3"/>
  <c r="R62" i="3"/>
  <c r="L20" i="3"/>
  <c r="R203" i="3"/>
  <c r="P30" i="3"/>
  <c r="P196" i="3"/>
  <c r="P24" i="3"/>
  <c r="O215" i="3"/>
  <c r="Q86" i="3"/>
  <c r="G59" i="3"/>
  <c r="O34" i="3"/>
  <c r="N209" i="3"/>
  <c r="G56" i="3"/>
  <c r="Q79" i="3"/>
  <c r="O83" i="3"/>
  <c r="R202" i="3"/>
  <c r="L154" i="3"/>
  <c r="R163" i="3"/>
  <c r="I3" i="3"/>
  <c r="F113" i="3"/>
  <c r="H43" i="3"/>
  <c r="L122" i="3"/>
  <c r="O182" i="3"/>
  <c r="O39" i="3"/>
  <c r="H105" i="3"/>
  <c r="P140" i="3"/>
  <c r="L18" i="3"/>
  <c r="M177" i="3"/>
  <c r="Q66" i="3"/>
  <c r="G10" i="3"/>
  <c r="G93" i="3"/>
  <c r="R184" i="3"/>
  <c r="O157" i="3"/>
  <c r="O87" i="3"/>
  <c r="Q95" i="3"/>
  <c r="N225" i="3"/>
  <c r="R215" i="3"/>
  <c r="L195" i="3"/>
  <c r="O46" i="3"/>
  <c r="M81" i="3"/>
  <c r="H138" i="3"/>
  <c r="G127" i="3"/>
  <c r="O82" i="3"/>
  <c r="N147" i="3"/>
  <c r="G105" i="3"/>
  <c r="M65" i="3"/>
  <c r="G65" i="3"/>
  <c r="R72" i="3"/>
  <c r="P85" i="3"/>
  <c r="O130" i="3"/>
  <c r="L38" i="3"/>
  <c r="Q131" i="3"/>
  <c r="P166" i="3"/>
  <c r="O45" i="3"/>
  <c r="N202" i="3"/>
  <c r="P102" i="3"/>
  <c r="R26" i="3"/>
  <c r="M91" i="3"/>
  <c r="P21" i="3"/>
  <c r="M53" i="3"/>
  <c r="M100" i="3"/>
  <c r="L222" i="3"/>
  <c r="Q110" i="3"/>
  <c r="R40" i="3"/>
  <c r="R209" i="3"/>
  <c r="N224" i="3"/>
  <c r="I143" i="3"/>
  <c r="L156" i="3"/>
  <c r="M199" i="3"/>
  <c r="L23" i="3"/>
  <c r="R144" i="3"/>
  <c r="G36" i="3"/>
  <c r="L115" i="3"/>
  <c r="N188" i="3"/>
  <c r="L116" i="3"/>
  <c r="N157" i="3"/>
  <c r="O138" i="3"/>
  <c r="Q173" i="3"/>
  <c r="F94" i="3"/>
  <c r="M24" i="3"/>
  <c r="R113" i="3"/>
  <c r="L158" i="3"/>
  <c r="O21" i="3"/>
  <c r="G96" i="3"/>
  <c r="I28" i="3"/>
  <c r="P148" i="3"/>
  <c r="O201" i="3"/>
  <c r="P177" i="3"/>
  <c r="I26" i="3"/>
  <c r="Q135" i="3"/>
  <c r="P42" i="3"/>
  <c r="G32" i="3"/>
  <c r="L131" i="3"/>
  <c r="N118" i="3"/>
  <c r="L58" i="3"/>
  <c r="M40" i="3"/>
  <c r="L163" i="3"/>
  <c r="R90" i="3"/>
  <c r="P103" i="3"/>
  <c r="O54" i="3"/>
  <c r="N203" i="3"/>
  <c r="E113" i="3"/>
  <c r="N44" i="3"/>
  <c r="Q226" i="3"/>
  <c r="M14" i="3"/>
  <c r="E117" i="3"/>
  <c r="H99" i="3"/>
  <c r="R41" i="3"/>
  <c r="P133" i="3"/>
  <c r="Q99" i="3"/>
  <c r="M97" i="3"/>
  <c r="I134" i="3"/>
  <c r="N133" i="3"/>
  <c r="E51" i="3"/>
  <c r="Q180" i="3"/>
  <c r="Q165" i="3"/>
  <c r="I65" i="3"/>
  <c r="B9" i="3"/>
  <c r="H9" i="3"/>
  <c r="R93" i="3"/>
  <c r="L145" i="3"/>
  <c r="P33" i="3"/>
  <c r="N43" i="3"/>
  <c r="P137" i="3"/>
  <c r="I49" i="3"/>
  <c r="P70" i="3"/>
  <c r="L28" i="3"/>
  <c r="N38" i="3"/>
  <c r="M142" i="3"/>
  <c r="P101" i="3"/>
  <c r="M149" i="3"/>
  <c r="P117" i="3"/>
  <c r="O160" i="3"/>
  <c r="R220" i="3"/>
  <c r="M101" i="3"/>
  <c r="L161" i="3"/>
  <c r="P189" i="3"/>
  <c r="I95" i="3"/>
  <c r="O81" i="3"/>
  <c r="O205" i="3"/>
  <c r="O227" i="3"/>
  <c r="G155" i="3"/>
  <c r="I5" i="3"/>
  <c r="G75" i="3"/>
  <c r="H44" i="3"/>
  <c r="N177" i="3"/>
  <c r="Q164" i="3"/>
  <c r="M157" i="3"/>
  <c r="O93" i="3"/>
  <c r="M212" i="3"/>
  <c r="H98" i="3"/>
  <c r="Q45" i="3"/>
  <c r="N173" i="3"/>
  <c r="Q91" i="3"/>
  <c r="P193" i="3"/>
  <c r="H21" i="3"/>
  <c r="M230" i="3"/>
  <c r="G68" i="3"/>
  <c r="P11" i="3"/>
  <c r="H6" i="3"/>
  <c r="R110" i="3"/>
  <c r="L179" i="3"/>
  <c r="L51" i="3"/>
  <c r="H75" i="3"/>
  <c r="I53" i="3"/>
  <c r="M44" i="3"/>
  <c r="P53" i="3"/>
  <c r="G78" i="3"/>
  <c r="R228" i="3"/>
  <c r="R179" i="3"/>
  <c r="O80" i="3"/>
  <c r="P31" i="3"/>
  <c r="I127" i="3"/>
  <c r="I68" i="3"/>
  <c r="L67" i="3"/>
  <c r="I82" i="3"/>
  <c r="P202" i="3"/>
  <c r="R134" i="3"/>
  <c r="N30" i="3"/>
  <c r="H107" i="3"/>
  <c r="L178" i="3"/>
  <c r="M59" i="3"/>
  <c r="L101" i="3"/>
  <c r="M68" i="3"/>
  <c r="P185" i="3"/>
  <c r="L172" i="3"/>
  <c r="R82" i="3"/>
  <c r="E47" i="3"/>
  <c r="R115" i="3"/>
  <c r="L108" i="3"/>
  <c r="I115" i="3"/>
  <c r="M169" i="3"/>
  <c r="I36" i="3"/>
  <c r="Q192" i="3"/>
  <c r="F117" i="3"/>
  <c r="R54" i="3"/>
  <c r="Q19" i="3"/>
  <c r="M167" i="3"/>
  <c r="L75" i="3"/>
  <c r="O179" i="3"/>
  <c r="E23" i="3"/>
  <c r="N102" i="3"/>
  <c r="P59" i="3"/>
  <c r="M144" i="3"/>
  <c r="Q10" i="3"/>
  <c r="M168" i="3"/>
  <c r="M112" i="3"/>
  <c r="L202" i="3"/>
  <c r="N215" i="3"/>
  <c r="G64" i="3"/>
  <c r="Q101" i="3"/>
  <c r="Q141" i="3"/>
  <c r="Q50" i="3"/>
  <c r="Q169" i="3"/>
  <c r="P19" i="3"/>
  <c r="O15" i="3"/>
  <c r="G41" i="3"/>
  <c r="R99" i="3"/>
  <c r="R10" i="3"/>
  <c r="M228" i="3"/>
  <c r="I9" i="3"/>
  <c r="R153" i="3"/>
  <c r="G100" i="3"/>
  <c r="Q220" i="3"/>
  <c r="Q60" i="3"/>
  <c r="G119" i="3"/>
  <c r="L41" i="3"/>
  <c r="N226" i="3"/>
  <c r="G50" i="3"/>
  <c r="G47" i="3"/>
  <c r="Q6" i="3"/>
  <c r="I39" i="3"/>
  <c r="N87" i="3"/>
  <c r="Q55" i="3"/>
  <c r="N212" i="3"/>
  <c r="P146" i="3"/>
  <c r="P203" i="3"/>
  <c r="P107" i="3"/>
  <c r="I17" i="3"/>
  <c r="M66" i="3"/>
  <c r="H89" i="3"/>
  <c r="I22" i="3"/>
  <c r="P228" i="3"/>
  <c r="M85" i="3"/>
  <c r="L56" i="3"/>
  <c r="N69" i="3"/>
  <c r="L186" i="3"/>
  <c r="R97" i="3"/>
  <c r="P55" i="3"/>
  <c r="I69" i="3"/>
  <c r="I85" i="3"/>
  <c r="O168" i="3"/>
  <c r="P181" i="3"/>
  <c r="G49" i="3"/>
  <c r="N151" i="3"/>
  <c r="P77" i="3"/>
  <c r="R59" i="3"/>
  <c r="R124" i="3"/>
  <c r="I137" i="3"/>
  <c r="N162" i="3"/>
  <c r="L219" i="3"/>
  <c r="N71" i="3"/>
  <c r="M80" i="3"/>
  <c r="P44" i="3"/>
  <c r="G33" i="3"/>
  <c r="Q25" i="3"/>
  <c r="P100" i="3"/>
  <c r="R201" i="3"/>
  <c r="M201" i="3"/>
  <c r="H128" i="3"/>
  <c r="N109" i="3"/>
  <c r="R114" i="3"/>
  <c r="H49" i="3"/>
  <c r="H155" i="3"/>
  <c r="P191" i="3"/>
  <c r="Q144" i="3"/>
  <c r="F73" i="3"/>
  <c r="Q142" i="3"/>
  <c r="N211" i="3"/>
  <c r="P63" i="3"/>
  <c r="O75" i="3"/>
  <c r="I136" i="3"/>
  <c r="I99" i="3"/>
  <c r="M104" i="3"/>
  <c r="N60" i="3"/>
  <c r="R46" i="3"/>
  <c r="E75" i="3"/>
  <c r="L182" i="3"/>
  <c r="G149" i="3"/>
  <c r="E109" i="3"/>
  <c r="P172" i="3"/>
  <c r="P147" i="3"/>
  <c r="Q61" i="3"/>
  <c r="H65" i="3"/>
  <c r="I14" i="3"/>
  <c r="M103" i="3"/>
  <c r="N111" i="3"/>
  <c r="H45" i="3"/>
  <c r="M55" i="3"/>
  <c r="N230" i="3"/>
  <c r="G152" i="3"/>
  <c r="H68" i="3"/>
  <c r="I101" i="3"/>
  <c r="L209" i="3"/>
  <c r="L103" i="3"/>
  <c r="P106" i="3"/>
  <c r="G6" i="3"/>
  <c r="Q111" i="3"/>
  <c r="G134" i="3"/>
  <c r="O221" i="3"/>
  <c r="Q201" i="3"/>
  <c r="P183" i="3"/>
  <c r="G121" i="3"/>
  <c r="Q128" i="3"/>
  <c r="M119" i="3"/>
  <c r="Q214" i="3"/>
  <c r="N206" i="3"/>
  <c r="L107" i="3"/>
  <c r="R126" i="3"/>
  <c r="N81" i="3"/>
  <c r="L91" i="3"/>
  <c r="L228" i="3"/>
  <c r="Q103" i="3"/>
  <c r="R130" i="3"/>
  <c r="G42" i="3"/>
  <c r="M206" i="3"/>
  <c r="O158" i="3"/>
  <c r="R105" i="3"/>
  <c r="Q104" i="3"/>
  <c r="R182" i="3"/>
  <c r="L183" i="3"/>
  <c r="N26" i="3"/>
  <c r="Q132" i="3"/>
  <c r="P184" i="3"/>
  <c r="P116" i="3"/>
  <c r="Q210" i="3"/>
  <c r="Q3" i="3"/>
  <c r="O223" i="3"/>
  <c r="I18" i="3"/>
  <c r="R35" i="3"/>
  <c r="O53" i="3"/>
  <c r="Q160" i="3"/>
  <c r="O9" i="3"/>
  <c r="M25" i="3"/>
  <c r="N160" i="3"/>
  <c r="L35" i="3"/>
  <c r="I147" i="3"/>
  <c r="L33" i="3"/>
  <c r="R48" i="3"/>
  <c r="O98" i="3"/>
  <c r="Q56" i="3"/>
  <c r="O94" i="3"/>
  <c r="P60" i="3"/>
  <c r="N110" i="3"/>
  <c r="O142" i="3"/>
  <c r="F21" i="3"/>
  <c r="H139" i="3"/>
  <c r="H32" i="3"/>
  <c r="N83" i="3"/>
  <c r="L37" i="3"/>
  <c r="O162" i="3"/>
  <c r="P86" i="3"/>
  <c r="H92" i="3"/>
  <c r="H41" i="3"/>
  <c r="Q90" i="3"/>
  <c r="G51" i="3"/>
  <c r="P16" i="3"/>
  <c r="L44" i="3"/>
  <c r="R141" i="3"/>
  <c r="H152" i="3"/>
  <c r="L89" i="3"/>
  <c r="M129" i="3"/>
  <c r="L76" i="3"/>
  <c r="H85" i="3"/>
  <c r="H59" i="3"/>
  <c r="I117" i="3"/>
  <c r="P43" i="3"/>
  <c r="N166" i="3"/>
  <c r="G11" i="3"/>
  <c r="G8" i="3"/>
  <c r="P22" i="3"/>
  <c r="M150" i="3"/>
  <c r="N124" i="3"/>
  <c r="R37" i="3"/>
  <c r="N205" i="3"/>
  <c r="L40" i="3"/>
  <c r="O110" i="3"/>
  <c r="M26" i="3"/>
  <c r="P156" i="3"/>
  <c r="P139" i="3"/>
  <c r="R197" i="3"/>
  <c r="M136" i="3"/>
  <c r="R29" i="3"/>
  <c r="N17" i="3"/>
  <c r="P64" i="3"/>
  <c r="G20" i="3"/>
  <c r="N14" i="3"/>
  <c r="Q118" i="3"/>
  <c r="G81" i="3"/>
  <c r="Q28" i="3"/>
  <c r="M102" i="3"/>
  <c r="H104" i="3"/>
  <c r="M183" i="3"/>
  <c r="O105" i="3"/>
  <c r="R32" i="3"/>
  <c r="H116" i="3"/>
  <c r="N196" i="3"/>
  <c r="H22" i="3"/>
  <c r="M20" i="3"/>
  <c r="I55" i="3"/>
  <c r="P67" i="3"/>
  <c r="Q149" i="3"/>
  <c r="M18" i="3"/>
  <c r="P66" i="3"/>
  <c r="P220" i="3"/>
  <c r="P129" i="3"/>
  <c r="I155" i="3"/>
  <c r="G133" i="3"/>
  <c r="Q23" i="3"/>
  <c r="G54" i="3"/>
  <c r="G116" i="3"/>
  <c r="P8" i="3"/>
  <c r="L210" i="3"/>
  <c r="M214" i="3"/>
  <c r="L85" i="3"/>
  <c r="H120" i="3"/>
  <c r="P10" i="3"/>
  <c r="O20" i="3"/>
  <c r="R77" i="3"/>
  <c r="R180" i="3"/>
  <c r="P225" i="3"/>
  <c r="R143" i="3"/>
  <c r="O143" i="3"/>
  <c r="N66" i="3"/>
  <c r="O192" i="3"/>
  <c r="R21" i="3"/>
  <c r="N122" i="3"/>
  <c r="R168" i="3"/>
  <c r="G66" i="3"/>
  <c r="R66" i="3"/>
  <c r="H12" i="3"/>
  <c r="O218" i="3"/>
  <c r="R230" i="3"/>
  <c r="L177" i="3"/>
  <c r="M116" i="3"/>
  <c r="O197" i="3"/>
  <c r="N51" i="3"/>
  <c r="G74" i="3"/>
  <c r="P62" i="3"/>
  <c r="R229" i="3"/>
  <c r="L29" i="3"/>
  <c r="L46" i="3"/>
  <c r="N126" i="3"/>
  <c r="L25" i="3"/>
  <c r="M172" i="3"/>
  <c r="H38" i="3"/>
  <c r="O49" i="3"/>
  <c r="G90" i="3"/>
  <c r="G109" i="3"/>
  <c r="L139" i="3"/>
  <c r="P154" i="3"/>
  <c r="G140" i="3"/>
  <c r="Q33" i="3"/>
  <c r="Q199" i="3"/>
  <c r="O67" i="3"/>
  <c r="G136" i="3"/>
  <c r="R69" i="3"/>
  <c r="N216" i="3"/>
  <c r="P131" i="3"/>
  <c r="P48" i="3"/>
  <c r="N138" i="3"/>
  <c r="M223" i="3"/>
  <c r="Q64" i="3"/>
  <c r="H142" i="3"/>
  <c r="O117" i="3"/>
  <c r="H129" i="3"/>
  <c r="M163" i="3"/>
  <c r="M211" i="3"/>
  <c r="R91" i="3"/>
  <c r="M60" i="3"/>
  <c r="Q29" i="3"/>
  <c r="N92" i="3"/>
  <c r="L127" i="3"/>
  <c r="H25" i="3"/>
  <c r="L39" i="3"/>
  <c r="N191" i="3"/>
  <c r="M84" i="3"/>
  <c r="I92" i="3"/>
  <c r="G27" i="3"/>
  <c r="R148" i="3"/>
  <c r="H84" i="3"/>
  <c r="Q154" i="3"/>
  <c r="O177" i="3"/>
  <c r="Q129" i="3"/>
  <c r="O36" i="3"/>
  <c r="N116" i="3"/>
  <c r="G24" i="3"/>
  <c r="G101" i="3"/>
  <c r="Q68" i="3"/>
  <c r="O161" i="3"/>
  <c r="M12" i="3"/>
  <c r="P211" i="3"/>
  <c r="Q124" i="3"/>
  <c r="P208" i="3"/>
  <c r="N144" i="3"/>
  <c r="P212" i="3"/>
  <c r="P35" i="3"/>
  <c r="Q225" i="3"/>
  <c r="R55" i="3"/>
  <c r="Q20" i="3"/>
  <c r="H35" i="3"/>
  <c r="N114" i="3"/>
  <c r="M43" i="3"/>
  <c r="O13" i="3"/>
  <c r="Q48" i="3"/>
  <c r="O200" i="3"/>
  <c r="N168" i="3"/>
  <c r="P38" i="3"/>
  <c r="M191" i="3"/>
  <c r="N155" i="3"/>
  <c r="M137" i="3"/>
  <c r="L97" i="3"/>
  <c r="I75" i="3"/>
  <c r="G126" i="3"/>
  <c r="Q100" i="3"/>
  <c r="M188" i="3"/>
  <c r="Q202" i="3"/>
  <c r="I110" i="3"/>
  <c r="I15" i="3"/>
  <c r="H51" i="3"/>
  <c r="Q40" i="3"/>
  <c r="Q193" i="3"/>
  <c r="R117" i="3"/>
  <c r="M126" i="3"/>
  <c r="P229" i="3"/>
  <c r="P121" i="3"/>
  <c r="N145" i="3"/>
  <c r="L230" i="3"/>
  <c r="P209" i="3"/>
  <c r="Q12" i="3"/>
  <c r="P186" i="3"/>
  <c r="H96" i="3"/>
  <c r="M39" i="3"/>
  <c r="G150" i="3"/>
  <c r="L15" i="3"/>
  <c r="O170" i="3"/>
  <c r="M75" i="3"/>
  <c r="L22" i="3"/>
  <c r="P75" i="3"/>
  <c r="G22" i="3"/>
  <c r="H56" i="3"/>
  <c r="O181" i="3"/>
  <c r="R50" i="3"/>
  <c r="N179" i="3"/>
  <c r="P134" i="3"/>
  <c r="O76" i="3"/>
  <c r="G39" i="3"/>
  <c r="P118" i="3"/>
  <c r="M128" i="3"/>
  <c r="R13" i="3"/>
  <c r="H126" i="3"/>
  <c r="R206" i="3"/>
  <c r="N68" i="3"/>
  <c r="Q16" i="3"/>
  <c r="O165" i="3"/>
  <c r="L166" i="3"/>
  <c r="N77" i="3"/>
  <c r="P108" i="3"/>
  <c r="O62" i="3"/>
  <c r="M8" i="3"/>
  <c r="P171" i="3"/>
  <c r="R162" i="3"/>
  <c r="R28" i="3"/>
  <c r="M159" i="3"/>
  <c r="P174" i="3"/>
  <c r="O25" i="3"/>
  <c r="G15" i="3"/>
  <c r="M122" i="3"/>
  <c r="P201" i="3"/>
  <c r="I126" i="3"/>
  <c r="P206" i="3"/>
  <c r="L135" i="3"/>
  <c r="R31" i="3"/>
  <c r="I47" i="3"/>
  <c r="R38" i="3"/>
  <c r="M45" i="3"/>
  <c r="M140" i="3"/>
  <c r="O212" i="3"/>
  <c r="O58" i="3"/>
  <c r="O114" i="3"/>
  <c r="R79" i="3"/>
  <c r="G76" i="3"/>
  <c r="O154" i="3"/>
  <c r="M89" i="3"/>
  <c r="N129" i="3"/>
  <c r="M121" i="3"/>
  <c r="M178" i="3"/>
  <c r="Q178" i="3"/>
  <c r="P151" i="3"/>
  <c r="P17" i="3"/>
  <c r="R138" i="3"/>
  <c r="H147" i="3"/>
  <c r="P216" i="3"/>
  <c r="M185" i="3"/>
  <c r="R195" i="3"/>
  <c r="G141" i="3"/>
  <c r="M200" i="3"/>
  <c r="M176" i="3"/>
  <c r="I58" i="3"/>
  <c r="I128" i="3"/>
  <c r="R64" i="3"/>
  <c r="O203" i="3"/>
  <c r="O185" i="3"/>
  <c r="N228" i="3"/>
  <c r="M111" i="3"/>
  <c r="M161" i="3"/>
  <c r="R5" i="3"/>
  <c r="H117" i="3"/>
  <c r="F46" i="3"/>
  <c r="O196" i="3"/>
  <c r="M179" i="3"/>
  <c r="Q83" i="3"/>
  <c r="Q41" i="3"/>
  <c r="N100" i="3"/>
  <c r="O97" i="3"/>
  <c r="M74" i="3"/>
  <c r="Q140" i="3"/>
  <c r="L96" i="3"/>
  <c r="I152" i="3"/>
  <c r="G111" i="3"/>
  <c r="N72" i="3"/>
  <c r="P199" i="3"/>
  <c r="P210" i="3"/>
  <c r="M225" i="3"/>
  <c r="I93" i="3"/>
  <c r="I120" i="3"/>
  <c r="L220" i="3"/>
  <c r="H121" i="3"/>
  <c r="P12" i="3"/>
  <c r="F106" i="3"/>
  <c r="G85" i="3"/>
  <c r="M15" i="3"/>
  <c r="N213" i="3"/>
  <c r="L118" i="3"/>
  <c r="I66" i="3"/>
  <c r="R71" i="3"/>
  <c r="P158" i="3"/>
  <c r="L208" i="3"/>
  <c r="P14" i="3"/>
  <c r="E93" i="3"/>
  <c r="O208" i="3"/>
  <c r="N65" i="3"/>
  <c r="N135" i="3"/>
  <c r="O216" i="3"/>
  <c r="N94" i="3"/>
  <c r="L167" i="3"/>
  <c r="R166" i="3"/>
  <c r="O22" i="3"/>
  <c r="L106" i="3"/>
  <c r="R86" i="3"/>
  <c r="F14" i="3"/>
  <c r="R60" i="3"/>
  <c r="Q224" i="3"/>
  <c r="N86" i="3"/>
  <c r="G91" i="3"/>
  <c r="M139" i="3"/>
  <c r="I83" i="3"/>
  <c r="R157" i="3"/>
  <c r="Q8" i="3"/>
  <c r="P71" i="3"/>
  <c r="R224" i="3"/>
  <c r="M38" i="3"/>
  <c r="O209" i="3"/>
  <c r="M192" i="3"/>
  <c r="N49" i="3"/>
  <c r="Q35" i="3"/>
  <c r="I96" i="3"/>
  <c r="I97" i="3"/>
  <c r="Q108" i="3"/>
  <c r="P221" i="3"/>
  <c r="R135" i="3"/>
  <c r="Q70" i="3"/>
  <c r="H122" i="3"/>
  <c r="O183" i="3"/>
  <c r="M166" i="3"/>
  <c r="R27" i="3"/>
  <c r="Q78" i="3"/>
  <c r="I31" i="3"/>
  <c r="L73" i="3"/>
  <c r="H55" i="3"/>
  <c r="Q113" i="3"/>
  <c r="L26" i="3"/>
  <c r="N204" i="3"/>
  <c r="G17" i="3"/>
  <c r="P165" i="3"/>
  <c r="N54" i="3"/>
  <c r="P153" i="3"/>
  <c r="Q93" i="3"/>
  <c r="L64" i="3"/>
  <c r="H150" i="3"/>
  <c r="R200" i="3"/>
  <c r="M175" i="3"/>
  <c r="M156" i="3"/>
  <c r="M143" i="3"/>
  <c r="O30" i="3"/>
  <c r="O220" i="3"/>
  <c r="O167" i="3"/>
  <c r="O191" i="3"/>
  <c r="O32" i="3"/>
  <c r="N95" i="3"/>
  <c r="G63" i="3"/>
  <c r="P214" i="3"/>
  <c r="Q230" i="3"/>
  <c r="G46" i="3"/>
  <c r="R170" i="3"/>
  <c r="Q58" i="3"/>
  <c r="R193" i="3"/>
  <c r="N222" i="3"/>
  <c r="Q88" i="3"/>
  <c r="F60" i="3"/>
  <c r="G40" i="3"/>
  <c r="P115" i="3"/>
  <c r="Q146" i="3"/>
  <c r="M78" i="3"/>
  <c r="M110" i="3"/>
  <c r="R205" i="3"/>
  <c r="L133" i="3"/>
  <c r="M182" i="3"/>
  <c r="N107" i="3"/>
  <c r="L55" i="3"/>
  <c r="Q219" i="3"/>
  <c r="O113" i="3"/>
  <c r="O146" i="3"/>
  <c r="O166" i="3"/>
  <c r="Q11" i="3"/>
  <c r="G5" i="3"/>
  <c r="H82" i="3"/>
  <c r="G77" i="3"/>
  <c r="N185" i="3"/>
  <c r="Q187" i="3"/>
  <c r="H20" i="3"/>
  <c r="L34" i="3"/>
  <c r="P4" i="3"/>
  <c r="H109" i="3"/>
  <c r="N165" i="3"/>
  <c r="O152" i="3"/>
  <c r="I35" i="3"/>
  <c r="Q59" i="3"/>
  <c r="I138" i="3"/>
  <c r="M33" i="3"/>
  <c r="M67" i="3"/>
  <c r="P231" i="3"/>
  <c r="L71" i="3"/>
  <c r="R108" i="3"/>
  <c r="L99" i="3"/>
  <c r="O107" i="3"/>
  <c r="L11" i="3"/>
  <c r="H47" i="3"/>
  <c r="R129" i="3"/>
  <c r="M127" i="3"/>
  <c r="M196" i="3"/>
  <c r="Q163" i="3"/>
  <c r="R4" i="3"/>
  <c r="M76" i="3"/>
  <c r="L124" i="3"/>
  <c r="G21" i="3"/>
  <c r="P40" i="3"/>
  <c r="Q177" i="3"/>
  <c r="L211" i="3"/>
  <c r="P73" i="3"/>
  <c r="O12" i="3"/>
  <c r="L221" i="3"/>
  <c r="L199" i="3"/>
  <c r="M162" i="3"/>
  <c r="Q183" i="3"/>
  <c r="L201" i="3"/>
  <c r="N150" i="3"/>
  <c r="N178" i="3"/>
  <c r="Q176" i="3"/>
  <c r="R121" i="3"/>
  <c r="H60" i="3"/>
  <c r="P173" i="3"/>
  <c r="H146" i="3"/>
  <c r="O171" i="3"/>
  <c r="P99" i="3"/>
  <c r="H131" i="3"/>
  <c r="N115" i="3"/>
  <c r="G60" i="3"/>
  <c r="G34" i="3"/>
  <c r="O156" i="3"/>
  <c r="N39" i="3"/>
  <c r="L69" i="3"/>
  <c r="P29" i="3"/>
  <c r="E14" i="3"/>
  <c r="I81" i="3"/>
  <c r="I108" i="3"/>
  <c r="N127" i="3"/>
  <c r="R191" i="3"/>
  <c r="I133" i="3"/>
  <c r="R70" i="3"/>
  <c r="N200" i="3"/>
  <c r="B15" i="3"/>
  <c r="R132" i="3"/>
  <c r="N140" i="3"/>
  <c r="L184" i="3"/>
  <c r="O217" i="3"/>
  <c r="N96" i="3"/>
  <c r="P68" i="3"/>
  <c r="Q203" i="3"/>
  <c r="P98" i="3"/>
  <c r="H108" i="3"/>
  <c r="R139" i="3"/>
  <c r="R47" i="3"/>
  <c r="G31" i="3"/>
  <c r="I122" i="3"/>
  <c r="L87" i="3"/>
  <c r="O188" i="3"/>
  <c r="N130" i="3"/>
  <c r="N85" i="3"/>
  <c r="P93" i="3"/>
  <c r="Q195" i="3"/>
  <c r="I114" i="3"/>
  <c r="G122" i="3"/>
  <c r="O153" i="3"/>
  <c r="L150" i="3"/>
  <c r="I24" i="3"/>
  <c r="Q17" i="3"/>
  <c r="I25" i="3"/>
  <c r="R52" i="3"/>
  <c r="Q215" i="3"/>
  <c r="R34" i="3"/>
  <c r="N139" i="3"/>
  <c r="N195" i="3"/>
  <c r="N199" i="3"/>
  <c r="N93" i="3"/>
  <c r="R111" i="3"/>
  <c r="N99" i="3"/>
  <c r="R136" i="3"/>
  <c r="H33" i="3"/>
  <c r="L4" i="3"/>
  <c r="M160" i="3"/>
  <c r="H15" i="3"/>
  <c r="O77" i="3"/>
  <c r="P227" i="3"/>
  <c r="O112" i="3"/>
  <c r="Q185" i="3"/>
  <c r="O74" i="3"/>
  <c r="P92" i="3"/>
  <c r="G45" i="3"/>
  <c r="L120" i="3"/>
  <c r="L164" i="3"/>
  <c r="L187" i="3"/>
  <c r="I7" i="3"/>
  <c r="N223" i="3"/>
  <c r="G102" i="3"/>
  <c r="M62" i="3"/>
  <c r="R174" i="3"/>
  <c r="P114" i="3"/>
  <c r="R214" i="3"/>
  <c r="H140" i="3"/>
  <c r="O65" i="3"/>
  <c r="Q27" i="3"/>
  <c r="G4" i="3"/>
  <c r="G106" i="3"/>
  <c r="Q125" i="3"/>
  <c r="G88" i="3"/>
  <c r="I79" i="3"/>
  <c r="L94" i="3"/>
  <c r="H48" i="3"/>
  <c r="O86" i="3"/>
  <c r="Q139" i="3"/>
  <c r="G142" i="3"/>
  <c r="O52" i="3"/>
  <c r="N136" i="3"/>
  <c r="M217" i="3"/>
  <c r="P57" i="3"/>
  <c r="L136" i="3"/>
  <c r="L140" i="3"/>
  <c r="H36" i="3"/>
  <c r="P46" i="3"/>
  <c r="G52" i="3"/>
  <c r="Q67" i="3"/>
  <c r="O172" i="3"/>
  <c r="M94" i="3"/>
  <c r="H54" i="3"/>
  <c r="Q206" i="3"/>
  <c r="O195" i="3"/>
  <c r="N182" i="3"/>
  <c r="N29" i="3"/>
  <c r="O51" i="3"/>
  <c r="I73" i="3"/>
  <c r="R217" i="3"/>
  <c r="N35" i="3"/>
  <c r="G57" i="3"/>
  <c r="M90" i="3"/>
  <c r="R188" i="3"/>
  <c r="I76" i="3"/>
  <c r="Q98" i="3"/>
  <c r="P138" i="3"/>
  <c r="M203" i="3"/>
  <c r="O7" i="3"/>
  <c r="N34" i="3"/>
  <c r="P56" i="3"/>
  <c r="I104" i="3"/>
  <c r="M73" i="3"/>
  <c r="R198" i="3"/>
  <c r="R103" i="3"/>
  <c r="P150" i="3"/>
  <c r="Q127" i="3"/>
  <c r="M148" i="3"/>
  <c r="G132" i="3"/>
  <c r="E19" i="3"/>
  <c r="P76" i="3"/>
  <c r="M56" i="3"/>
  <c r="I12" i="3"/>
  <c r="N161" i="3"/>
  <c r="H134" i="3"/>
  <c r="N184" i="3"/>
  <c r="O59" i="3"/>
  <c r="Q18" i="3"/>
  <c r="Q229" i="3"/>
  <c r="I129" i="3"/>
  <c r="M109" i="3"/>
  <c r="R98" i="3"/>
  <c r="H86" i="3"/>
  <c r="M19" i="3"/>
  <c r="Q196" i="3"/>
  <c r="R85" i="3"/>
  <c r="I78" i="3"/>
  <c r="M130" i="3"/>
  <c r="M154" i="3"/>
  <c r="M36" i="3"/>
  <c r="N89" i="3"/>
  <c r="G103" i="3"/>
  <c r="P120" i="3"/>
  <c r="O229" i="3"/>
  <c r="O70" i="3"/>
  <c r="N104" i="3"/>
  <c r="I13" i="3"/>
  <c r="N13" i="3"/>
  <c r="H100" i="3"/>
  <c r="N194" i="3"/>
  <c r="Q96" i="3"/>
  <c r="O37" i="3"/>
  <c r="L173" i="3"/>
  <c r="P111" i="3"/>
  <c r="Q150" i="3"/>
  <c r="H73" i="3"/>
  <c r="L168" i="3"/>
  <c r="O135" i="3"/>
  <c r="P88" i="3"/>
  <c r="L137" i="3"/>
  <c r="Q223" i="3"/>
  <c r="N64" i="3"/>
  <c r="H93" i="3"/>
  <c r="N221" i="3"/>
  <c r="G14" i="3"/>
  <c r="R39" i="3"/>
  <c r="Q126" i="3"/>
  <c r="L203" i="3"/>
  <c r="Q30" i="3"/>
  <c r="P13" i="3"/>
  <c r="O204" i="3"/>
  <c r="N97" i="3"/>
  <c r="R57" i="3"/>
  <c r="R177" i="3"/>
  <c r="R145" i="3"/>
  <c r="O101" i="3"/>
  <c r="N169" i="3"/>
  <c r="N62" i="3"/>
  <c r="L110" i="3"/>
  <c r="L213" i="3"/>
  <c r="O155" i="3"/>
  <c r="Q34" i="3"/>
  <c r="O111" i="3"/>
  <c r="P105" i="3"/>
  <c r="N207" i="3"/>
  <c r="Q87" i="3"/>
  <c r="R61" i="3"/>
  <c r="O219" i="3"/>
  <c r="O140" i="3"/>
  <c r="I142" i="3"/>
  <c r="L90" i="3"/>
  <c r="R192" i="3"/>
  <c r="L60" i="3"/>
  <c r="N28" i="3"/>
  <c r="Q136" i="3"/>
  <c r="N6" i="3"/>
  <c r="Q123" i="3"/>
  <c r="O148" i="3"/>
  <c r="L80" i="3"/>
  <c r="O128" i="3"/>
  <c r="R225" i="3"/>
  <c r="I27" i="3"/>
  <c r="P112" i="3"/>
  <c r="H66" i="3"/>
  <c r="M218" i="3"/>
  <c r="N53" i="3"/>
  <c r="H154" i="3"/>
  <c r="P176" i="3"/>
  <c r="N46" i="3"/>
  <c r="R36" i="3"/>
  <c r="I149" i="3"/>
  <c r="P39" i="3"/>
  <c r="H18" i="3"/>
  <c r="L223" i="3"/>
  <c r="N48" i="3"/>
  <c r="M88" i="3"/>
  <c r="L165" i="3"/>
  <c r="O187" i="3"/>
  <c r="G29" i="3"/>
  <c r="M37" i="3"/>
  <c r="I140" i="3"/>
  <c r="M29" i="3"/>
  <c r="Q221" i="3"/>
  <c r="O125" i="3"/>
  <c r="I121" i="3"/>
  <c r="Q205" i="3"/>
  <c r="O189" i="3"/>
  <c r="M13" i="3"/>
  <c r="P58" i="3"/>
  <c r="Q217" i="3"/>
  <c r="I19" i="3"/>
  <c r="P223" i="3"/>
  <c r="G154" i="3"/>
  <c r="O88" i="3"/>
  <c r="N73" i="3"/>
  <c r="I63" i="3"/>
  <c r="M54" i="3"/>
  <c r="Q179" i="3"/>
  <c r="N201" i="3"/>
  <c r="I130" i="3"/>
  <c r="I118" i="3"/>
  <c r="O149" i="3"/>
  <c r="Q69" i="3"/>
  <c r="R226" i="3"/>
  <c r="R178" i="3"/>
  <c r="P213" i="3"/>
  <c r="N84" i="3"/>
  <c r="L43" i="3"/>
  <c r="N22" i="3"/>
  <c r="O108" i="3"/>
  <c r="R223" i="3"/>
  <c r="B5" i="3"/>
  <c r="D15" i="3"/>
  <c r="E42" i="3"/>
  <c r="F105" i="3"/>
  <c r="F43" i="3"/>
  <c r="F56" i="3"/>
  <c r="F139" i="3"/>
  <c r="E80" i="3"/>
  <c r="U10" i="3" l="1"/>
  <c r="X9" i="3"/>
  <c r="W9" i="3"/>
  <c r="V9" i="3"/>
  <c r="U11" i="3" l="1"/>
  <c r="V10" i="3"/>
  <c r="W10" i="3"/>
  <c r="X10" i="3"/>
  <c r="B10" i="3"/>
  <c r="U12" i="3" l="1"/>
  <c r="X11" i="3"/>
  <c r="W11" i="3"/>
  <c r="V11" i="3"/>
  <c r="F85" i="3"/>
  <c r="F19" i="3"/>
  <c r="B13" i="3"/>
  <c r="F103" i="3"/>
  <c r="E31" i="3"/>
  <c r="U13" i="3" l="1"/>
  <c r="V12" i="3"/>
  <c r="X12" i="3"/>
  <c r="W12" i="3"/>
  <c r="E116" i="3"/>
  <c r="E44" i="3"/>
  <c r="E60" i="3"/>
  <c r="C12" i="3"/>
  <c r="F124" i="3"/>
  <c r="F90" i="3"/>
  <c r="U14" i="3" l="1"/>
  <c r="X13" i="3"/>
  <c r="V13" i="3"/>
  <c r="W13" i="3"/>
  <c r="F18" i="3"/>
  <c r="F122" i="3"/>
  <c r="B16" i="3"/>
  <c r="U15" i="3" l="1"/>
  <c r="X14" i="3"/>
  <c r="W14" i="3"/>
  <c r="V14" i="3"/>
  <c r="F130" i="3"/>
  <c r="U16" i="3" l="1"/>
  <c r="V15" i="3"/>
  <c r="W15" i="3"/>
  <c r="X15" i="3"/>
  <c r="E15" i="3"/>
  <c r="E131" i="3"/>
  <c r="F123" i="3"/>
  <c r="E139" i="3"/>
  <c r="D12" i="3"/>
  <c r="E49" i="3"/>
  <c r="E118" i="3"/>
  <c r="F9" i="3"/>
  <c r="D16" i="3"/>
  <c r="E97" i="3"/>
  <c r="F91" i="3"/>
  <c r="U17" i="3" l="1"/>
  <c r="X16" i="3"/>
  <c r="W16" i="3"/>
  <c r="V16" i="3"/>
  <c r="E127" i="3"/>
  <c r="F49" i="3"/>
  <c r="E7" i="3"/>
  <c r="C6" i="3"/>
  <c r="E55" i="3"/>
  <c r="B4" i="3"/>
  <c r="C4" i="3"/>
  <c r="D14" i="3"/>
  <c r="F25" i="3"/>
  <c r="F138" i="3"/>
  <c r="F59" i="3"/>
  <c r="F37" i="3"/>
  <c r="E8" i="3"/>
  <c r="U18" i="3" l="1"/>
  <c r="W17" i="3"/>
  <c r="V17" i="3"/>
  <c r="X17" i="3"/>
  <c r="B12" i="3"/>
  <c r="E30" i="3"/>
  <c r="E132" i="3"/>
  <c r="E34" i="3"/>
  <c r="E22" i="3"/>
  <c r="E107" i="3"/>
  <c r="E137" i="3"/>
  <c r="U19" i="3" l="1"/>
  <c r="V18" i="3"/>
  <c r="X18" i="3"/>
  <c r="W18" i="3"/>
  <c r="E133" i="3"/>
  <c r="U20" i="3" l="1"/>
  <c r="X19" i="3"/>
  <c r="W19" i="3"/>
  <c r="V19" i="3"/>
  <c r="E124" i="3"/>
  <c r="C7" i="3"/>
  <c r="F107" i="3"/>
  <c r="F112" i="3"/>
  <c r="E9" i="3"/>
  <c r="F54" i="3"/>
  <c r="E86" i="3"/>
  <c r="F78" i="3"/>
  <c r="F132" i="3"/>
  <c r="U21" i="3" l="1"/>
  <c r="V20" i="3"/>
  <c r="X20" i="3"/>
  <c r="W20" i="3"/>
  <c r="C11" i="3"/>
  <c r="E36" i="3"/>
  <c r="E126" i="3"/>
  <c r="E87" i="3"/>
  <c r="E39" i="3"/>
  <c r="U22" i="3" l="1"/>
  <c r="V21" i="3"/>
  <c r="X21" i="3"/>
  <c r="W21" i="3"/>
  <c r="F137" i="3"/>
  <c r="E50" i="3"/>
  <c r="E40" i="3"/>
  <c r="F70" i="3"/>
  <c r="F38" i="3"/>
  <c r="U23" i="3" l="1"/>
  <c r="X22" i="3"/>
  <c r="W22" i="3"/>
  <c r="V22" i="3"/>
  <c r="C15" i="3"/>
  <c r="F101" i="3"/>
  <c r="O3" i="3"/>
  <c r="U24" i="3" l="1"/>
  <c r="X23" i="3"/>
  <c r="W23" i="3"/>
  <c r="V23" i="3"/>
  <c r="F65" i="3"/>
  <c r="F115" i="3"/>
  <c r="E128" i="3"/>
  <c r="F57" i="3"/>
  <c r="E37" i="3"/>
  <c r="U25" i="3" l="1"/>
  <c r="V24" i="3"/>
  <c r="X24" i="3"/>
  <c r="W24" i="3"/>
  <c r="F7" i="3"/>
  <c r="F62" i="3"/>
  <c r="C13" i="3"/>
  <c r="U26" i="3" l="1"/>
  <c r="X25" i="3"/>
  <c r="V25" i="3"/>
  <c r="W25" i="3"/>
  <c r="L3" i="3"/>
  <c r="E85" i="3"/>
  <c r="U27" i="3" l="1"/>
  <c r="V26" i="3"/>
  <c r="X26" i="3"/>
  <c r="W26" i="3"/>
  <c r="E35" i="3"/>
  <c r="F128" i="3"/>
  <c r="F84" i="3"/>
  <c r="E106" i="3"/>
  <c r="F34" i="3"/>
  <c r="F114" i="3"/>
  <c r="U28" i="3" l="1"/>
  <c r="X27" i="3"/>
  <c r="W27" i="3"/>
  <c r="V27" i="3"/>
  <c r="F17" i="3"/>
  <c r="F53" i="3"/>
  <c r="E136" i="3"/>
  <c r="E76" i="3"/>
  <c r="E18" i="3"/>
  <c r="C3" i="3"/>
  <c r="F68" i="3"/>
  <c r="M3" i="3"/>
  <c r="E104" i="3"/>
  <c r="F95" i="3"/>
  <c r="F3" i="3"/>
  <c r="E24" i="3"/>
  <c r="F79" i="3"/>
  <c r="F121" i="3"/>
  <c r="E99" i="3"/>
  <c r="E78" i="3"/>
  <c r="E33" i="3"/>
  <c r="U29" i="3" l="1"/>
  <c r="V28" i="3"/>
  <c r="W28" i="3"/>
  <c r="X28" i="3"/>
  <c r="F40" i="3"/>
  <c r="E27" i="3"/>
  <c r="E105" i="3"/>
  <c r="F67" i="3"/>
  <c r="E134" i="3"/>
  <c r="E102" i="3"/>
  <c r="E79" i="3"/>
  <c r="F96" i="3"/>
  <c r="E135" i="3"/>
  <c r="E110" i="3"/>
  <c r="D86" i="3"/>
  <c r="U30" i="3" l="1"/>
  <c r="W29" i="3"/>
  <c r="X29" i="3"/>
  <c r="V29" i="3"/>
  <c r="F74" i="3"/>
  <c r="E56" i="3"/>
  <c r="F100" i="3"/>
  <c r="F51" i="3"/>
  <c r="E130" i="3"/>
  <c r="D4" i="3"/>
  <c r="E125" i="3"/>
  <c r="B8" i="3"/>
  <c r="F52" i="3"/>
  <c r="F22" i="3"/>
  <c r="E98" i="3"/>
  <c r="F104" i="3"/>
  <c r="E92" i="3"/>
  <c r="D8" i="3"/>
  <c r="F24" i="3"/>
  <c r="D9" i="3"/>
  <c r="E48" i="3"/>
  <c r="C14" i="3"/>
  <c r="F23" i="3"/>
  <c r="E13" i="3"/>
  <c r="F39" i="3"/>
  <c r="F120" i="3"/>
  <c r="F135" i="3"/>
  <c r="F111" i="3"/>
  <c r="D5" i="3"/>
  <c r="F41" i="3"/>
  <c r="C86" i="3"/>
  <c r="C9" i="3"/>
  <c r="E100" i="3"/>
  <c r="E52" i="3"/>
  <c r="F88" i="3"/>
  <c r="E74" i="3"/>
  <c r="B3" i="3"/>
  <c r="C8" i="3"/>
  <c r="U31" i="3" l="1"/>
  <c r="X30" i="3"/>
  <c r="W30" i="3"/>
  <c r="V30" i="3"/>
  <c r="E25" i="3"/>
  <c r="F82" i="3"/>
  <c r="F77" i="3"/>
  <c r="E68" i="3"/>
  <c r="F125" i="3"/>
  <c r="E81" i="3"/>
  <c r="F30" i="3"/>
  <c r="F27" i="3"/>
  <c r="F93" i="3"/>
  <c r="E29" i="3"/>
  <c r="E84" i="3"/>
  <c r="F55" i="3"/>
  <c r="F36" i="3"/>
  <c r="E12" i="3"/>
  <c r="F35" i="3"/>
  <c r="E96" i="3"/>
  <c r="F126" i="3"/>
  <c r="E45" i="3"/>
  <c r="F134" i="3"/>
  <c r="F61" i="3"/>
  <c r="F32" i="3"/>
  <c r="E57" i="3"/>
  <c r="E73" i="3"/>
  <c r="F99" i="3"/>
  <c r="U32" i="3" l="1"/>
  <c r="W31" i="3"/>
  <c r="V31" i="3"/>
  <c r="X31" i="3"/>
  <c r="F119" i="3"/>
  <c r="F44" i="3"/>
  <c r="B6" i="3"/>
  <c r="F118" i="3"/>
  <c r="F92" i="3"/>
  <c r="F133" i="3"/>
  <c r="F31" i="3"/>
  <c r="F64" i="3"/>
  <c r="F81" i="3"/>
  <c r="U33" i="3" l="1"/>
  <c r="X32" i="3"/>
  <c r="W32" i="3"/>
  <c r="V32" i="3"/>
  <c r="E91" i="3"/>
  <c r="F83" i="3"/>
  <c r="E111" i="3"/>
  <c r="E10" i="3"/>
  <c r="F10" i="3"/>
  <c r="F116" i="3"/>
  <c r="B7" i="3"/>
  <c r="E119" i="3"/>
  <c r="F136" i="3"/>
  <c r="D3" i="3"/>
  <c r="F13" i="3"/>
  <c r="E59" i="3"/>
  <c r="F5" i="3"/>
  <c r="E77" i="3"/>
  <c r="E72" i="3"/>
  <c r="Z3" i="3" l="1"/>
  <c r="U34" i="3"/>
  <c r="W33" i="3"/>
  <c r="V33" i="3"/>
  <c r="X33" i="3"/>
  <c r="E21" i="3"/>
  <c r="F42" i="3"/>
  <c r="F47" i="3"/>
  <c r="F72" i="3"/>
  <c r="E95" i="3"/>
  <c r="E94" i="3"/>
  <c r="F63" i="3"/>
  <c r="F129" i="3"/>
  <c r="E6" i="3"/>
  <c r="E38" i="3"/>
  <c r="E28" i="3"/>
  <c r="F16" i="3"/>
  <c r="F97" i="3"/>
  <c r="F48" i="3"/>
  <c r="E123" i="3"/>
  <c r="E69" i="3"/>
  <c r="U35" i="3" l="1"/>
  <c r="W34" i="3"/>
  <c r="V34" i="3"/>
  <c r="X34" i="3"/>
  <c r="E108" i="3"/>
  <c r="E54" i="3"/>
  <c r="E32" i="3"/>
  <c r="E67" i="3"/>
  <c r="E71" i="3"/>
  <c r="F66" i="3"/>
  <c r="F131" i="3"/>
  <c r="E63" i="3"/>
  <c r="E3" i="3"/>
  <c r="F20" i="3"/>
  <c r="E58" i="3"/>
  <c r="E5" i="3"/>
  <c r="C16" i="3"/>
  <c r="E46" i="3"/>
  <c r="E43" i="3"/>
  <c r="E89" i="3"/>
  <c r="E65" i="3"/>
  <c r="F4" i="3"/>
  <c r="E129" i="3"/>
  <c r="E66" i="3"/>
  <c r="D13" i="3"/>
  <c r="D7" i="3"/>
  <c r="E83" i="3"/>
  <c r="B14" i="3"/>
  <c r="U36" i="3" l="1"/>
  <c r="W35" i="3"/>
  <c r="X35" i="3"/>
  <c r="V35" i="3"/>
  <c r="F76" i="3"/>
  <c r="E115" i="3"/>
  <c r="E20" i="3"/>
  <c r="F86" i="3"/>
  <c r="F109" i="3"/>
  <c r="E88" i="3"/>
  <c r="E41" i="3"/>
  <c r="F50" i="3"/>
  <c r="F11" i="3"/>
  <c r="E101" i="3"/>
  <c r="F71" i="3"/>
  <c r="D11" i="3"/>
  <c r="D6" i="3"/>
  <c r="F6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7" i="3"/>
  <c r="E114" i="3"/>
  <c r="E122" i="3"/>
  <c r="F80" i="3"/>
  <c r="E120" i="3"/>
  <c r="D10" i="3"/>
  <c r="C5" i="3"/>
  <c r="U41" i="3" l="1"/>
  <c r="W40" i="3"/>
  <c r="V40" i="3"/>
  <c r="X40" i="3"/>
  <c r="F89" i="3"/>
  <c r="C10" i="3"/>
  <c r="E138" i="3"/>
  <c r="F26" i="3"/>
  <c r="E11" i="3"/>
  <c r="F33" i="3"/>
  <c r="N3" i="3"/>
  <c r="E64" i="3"/>
  <c r="E16" i="3"/>
  <c r="F8" i="3"/>
  <c r="F45" i="3"/>
  <c r="E90" i="3"/>
  <c r="F102" i="3"/>
  <c r="U42" i="3" l="1"/>
  <c r="V41" i="3"/>
  <c r="X41" i="3"/>
  <c r="W41" i="3"/>
  <c r="F69" i="3"/>
  <c r="E17" i="3"/>
  <c r="F15" i="3"/>
  <c r="F28" i="3"/>
  <c r="F75" i="3"/>
  <c r="E61" i="3"/>
  <c r="E82" i="3"/>
  <c r="F98" i="3"/>
  <c r="U43" i="3" l="1"/>
  <c r="V42" i="3"/>
  <c r="W42" i="3"/>
  <c r="X42" i="3"/>
  <c r="C17" i="3"/>
  <c r="E26" i="3"/>
  <c r="F127" i="3"/>
  <c r="F29" i="3"/>
  <c r="D17" i="3"/>
  <c r="B11" i="3"/>
  <c r="B17" i="3"/>
  <c r="E112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G153" i="1"/>
  <c r="H153" i="1"/>
  <c r="G22" i="1"/>
  <c r="H22" i="1"/>
  <c r="C18" i="3"/>
  <c r="B18" i="3"/>
  <c r="D18" i="3"/>
  <c r="AA43" i="3" l="1"/>
  <c r="U45" i="3"/>
  <c r="V44" i="3"/>
  <c r="W44" i="3"/>
  <c r="X44" i="3"/>
  <c r="F154" i="1"/>
  <c r="Z18" i="3"/>
  <c r="G154" i="1"/>
  <c r="G23" i="1"/>
  <c r="H154" i="1"/>
  <c r="H23" i="1"/>
  <c r="B19" i="3"/>
  <c r="C19" i="3"/>
  <c r="D19" i="3"/>
  <c r="AA44" i="3" l="1"/>
  <c r="U46" i="3"/>
  <c r="V45" i="3"/>
  <c r="X45" i="3"/>
  <c r="W45" i="3"/>
  <c r="F155" i="1"/>
  <c r="Z19" i="3"/>
  <c r="H24" i="1"/>
  <c r="G155" i="1"/>
  <c r="G24" i="1"/>
  <c r="H155" i="1"/>
  <c r="C20" i="3"/>
  <c r="D20" i="3"/>
  <c r="B20" i="3"/>
  <c r="AA45" i="3" l="1"/>
  <c r="U47" i="3"/>
  <c r="X46" i="3"/>
  <c r="W46" i="3"/>
  <c r="V46" i="3"/>
  <c r="F156" i="1"/>
  <c r="Z20" i="3"/>
  <c r="H25" i="1"/>
  <c r="G25" i="1"/>
  <c r="G156" i="1"/>
  <c r="H156" i="1"/>
  <c r="D21" i="3"/>
  <c r="C21" i="3"/>
  <c r="B21" i="3"/>
  <c r="AA46" i="3" l="1"/>
  <c r="U48" i="3"/>
  <c r="X47" i="3"/>
  <c r="W47" i="3"/>
  <c r="V47" i="3"/>
  <c r="Z21" i="3"/>
  <c r="H26" i="1"/>
  <c r="G26" i="1"/>
  <c r="B22" i="3"/>
  <c r="D22" i="3"/>
  <c r="C22" i="3"/>
  <c r="AA47" i="3" l="1"/>
  <c r="U49" i="3"/>
  <c r="X48" i="3"/>
  <c r="W48" i="3"/>
  <c r="V48" i="3"/>
  <c r="Z22" i="3"/>
  <c r="G27" i="1"/>
  <c r="H27" i="1"/>
  <c r="C23" i="3"/>
  <c r="B23" i="3"/>
  <c r="D23" i="3"/>
  <c r="AA48" i="3" l="1"/>
  <c r="U50" i="3"/>
  <c r="W49" i="3"/>
  <c r="V49" i="3"/>
  <c r="X49" i="3"/>
  <c r="Z23" i="3"/>
  <c r="G28" i="1"/>
  <c r="H28" i="1"/>
  <c r="D24" i="3"/>
  <c r="B24" i="3"/>
  <c r="C24" i="3"/>
  <c r="AA49" i="3" l="1"/>
  <c r="U51" i="3"/>
  <c r="X50" i="3"/>
  <c r="W50" i="3"/>
  <c r="V50" i="3"/>
  <c r="Z24" i="3"/>
  <c r="G29" i="1"/>
  <c r="H29" i="1"/>
  <c r="C25" i="3"/>
  <c r="D25" i="3"/>
  <c r="B25" i="3"/>
  <c r="AA50" i="3" l="1"/>
  <c r="U52" i="3"/>
  <c r="X51" i="3"/>
  <c r="W51" i="3"/>
  <c r="V51" i="3"/>
  <c r="Z25" i="3"/>
  <c r="H30" i="1"/>
  <c r="G30" i="1"/>
  <c r="C26" i="3"/>
  <c r="B26" i="3"/>
  <c r="D26" i="3"/>
  <c r="AA51" i="3" l="1"/>
  <c r="U53" i="3"/>
  <c r="V52" i="3"/>
  <c r="X52" i="3"/>
  <c r="W52" i="3"/>
  <c r="Z26" i="3"/>
  <c r="H31" i="1"/>
  <c r="G31" i="1"/>
  <c r="D27" i="3"/>
  <c r="B27" i="3"/>
  <c r="C27" i="3"/>
  <c r="AA52" i="3" l="1"/>
  <c r="U54" i="3"/>
  <c r="V53" i="3"/>
  <c r="X53" i="3"/>
  <c r="W53" i="3"/>
  <c r="Z27" i="3"/>
  <c r="G32" i="1"/>
  <c r="H32" i="1"/>
  <c r="B28" i="3"/>
  <c r="D28" i="3"/>
  <c r="C28" i="3"/>
  <c r="AA53" i="3" l="1"/>
  <c r="U55" i="3"/>
  <c r="X54" i="3"/>
  <c r="W54" i="3"/>
  <c r="V54" i="3"/>
  <c r="Z28" i="3"/>
  <c r="H33" i="1"/>
  <c r="G33" i="1"/>
  <c r="C29" i="3"/>
  <c r="D29" i="3"/>
  <c r="B29" i="3"/>
  <c r="AA54" i="3" l="1"/>
  <c r="U56" i="3"/>
  <c r="W55" i="3"/>
  <c r="X55" i="3"/>
  <c r="V55" i="3"/>
  <c r="Z29" i="3"/>
  <c r="H34" i="1"/>
  <c r="G34" i="1"/>
  <c r="C30" i="3"/>
  <c r="D30" i="3"/>
  <c r="B30" i="3"/>
  <c r="AA55" i="3" l="1"/>
  <c r="U57" i="3"/>
  <c r="X56" i="3"/>
  <c r="W56" i="3"/>
  <c r="V56" i="3"/>
  <c r="Z30" i="3"/>
  <c r="H35" i="1"/>
  <c r="G35" i="1"/>
  <c r="B31" i="3"/>
  <c r="D31" i="3"/>
  <c r="C31" i="3"/>
  <c r="AA56" i="3" l="1"/>
  <c r="U58" i="3"/>
  <c r="X57" i="3"/>
  <c r="W57" i="3"/>
  <c r="V57" i="3"/>
  <c r="Z31" i="3"/>
  <c r="H36" i="1"/>
  <c r="G36" i="1"/>
  <c r="B32" i="3"/>
  <c r="C32" i="3"/>
  <c r="D32" i="3"/>
  <c r="AA57" i="3" l="1"/>
  <c r="U59" i="3"/>
  <c r="X58" i="3"/>
  <c r="W58" i="3"/>
  <c r="V58" i="3"/>
  <c r="Z32" i="3"/>
  <c r="G37" i="1"/>
  <c r="H37" i="1"/>
  <c r="D33" i="3"/>
  <c r="B33" i="3"/>
  <c r="C33" i="3"/>
  <c r="AA58" i="3" l="1"/>
  <c r="U60" i="3"/>
  <c r="X59" i="3"/>
  <c r="W59" i="3"/>
  <c r="V59" i="3"/>
  <c r="Z33" i="3"/>
  <c r="H38" i="1"/>
  <c r="G38" i="1"/>
  <c r="C34" i="3"/>
  <c r="B34" i="3"/>
  <c r="D34" i="3"/>
  <c r="AA59" i="3" l="1"/>
  <c r="U61" i="3"/>
  <c r="V60" i="3"/>
  <c r="W60" i="3"/>
  <c r="X60" i="3"/>
  <c r="Z34" i="3"/>
  <c r="H39" i="1"/>
  <c r="G39" i="1"/>
  <c r="D35" i="3"/>
  <c r="C35" i="3"/>
  <c r="B35" i="3"/>
  <c r="AA60" i="3" l="1"/>
  <c r="U62" i="3"/>
  <c r="X61" i="3"/>
  <c r="V61" i="3"/>
  <c r="W61" i="3"/>
  <c r="Z35" i="3"/>
  <c r="H40" i="1"/>
  <c r="G40" i="1"/>
  <c r="B36" i="3"/>
  <c r="D36" i="3"/>
  <c r="C36" i="3"/>
  <c r="AA61" i="3" l="1"/>
  <c r="U63" i="3"/>
  <c r="W62" i="3"/>
  <c r="V62" i="3"/>
  <c r="X62" i="3"/>
  <c r="Z36" i="3"/>
  <c r="H41" i="1"/>
  <c r="G41" i="1"/>
  <c r="D37" i="3"/>
  <c r="C37" i="3"/>
  <c r="B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H43" i="1"/>
  <c r="G43" i="1"/>
  <c r="B39" i="3"/>
  <c r="D39" i="3"/>
  <c r="C39" i="3"/>
  <c r="AA64" i="3" l="1"/>
  <c r="U66" i="3"/>
  <c r="W65" i="3"/>
  <c r="V65" i="3"/>
  <c r="X65" i="3"/>
  <c r="Z39" i="3"/>
  <c r="G44" i="1"/>
  <c r="H44" i="1"/>
  <c r="D40" i="3"/>
  <c r="B40" i="3"/>
  <c r="C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G46" i="1"/>
  <c r="H46" i="1"/>
  <c r="B42" i="3"/>
  <c r="C42" i="3"/>
  <c r="D42" i="3"/>
  <c r="AA67" i="3" l="1"/>
  <c r="U69" i="3"/>
  <c r="V68" i="3"/>
  <c r="W68" i="3"/>
  <c r="X68" i="3"/>
  <c r="Z42" i="3"/>
  <c r="G47" i="1"/>
  <c r="H47" i="1"/>
  <c r="B43" i="3"/>
  <c r="D43" i="3"/>
  <c r="C43" i="3"/>
  <c r="AA68" i="3" l="1"/>
  <c r="U70" i="3"/>
  <c r="X69" i="3"/>
  <c r="W69" i="3"/>
  <c r="V69" i="3"/>
  <c r="Z43" i="3"/>
  <c r="H48" i="1"/>
  <c r="G48" i="1"/>
  <c r="D44" i="3"/>
  <c r="B44" i="3"/>
  <c r="C44" i="3"/>
  <c r="AA69" i="3" l="1"/>
  <c r="U71" i="3"/>
  <c r="X70" i="3"/>
  <c r="W70" i="3"/>
  <c r="V70" i="3"/>
  <c r="Z44" i="3"/>
  <c r="G49" i="1"/>
  <c r="H49" i="1"/>
  <c r="D45" i="3"/>
  <c r="B45" i="3"/>
  <c r="C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D47" i="3"/>
  <c r="B47" i="3"/>
  <c r="C47" i="3"/>
  <c r="AA72" i="3" l="1"/>
  <c r="U74" i="3"/>
  <c r="W73" i="3"/>
  <c r="V73" i="3"/>
  <c r="X73" i="3"/>
  <c r="Z47" i="3"/>
  <c r="H52" i="1"/>
  <c r="G52" i="1"/>
  <c r="C48" i="3"/>
  <c r="D48" i="3"/>
  <c r="B48" i="3"/>
  <c r="AA73" i="3" l="1"/>
  <c r="U75" i="3"/>
  <c r="V74" i="3"/>
  <c r="W74" i="3"/>
  <c r="X74" i="3"/>
  <c r="Z48" i="3"/>
  <c r="G53" i="1"/>
  <c r="H53" i="1"/>
  <c r="D49" i="3"/>
  <c r="B49" i="3"/>
  <c r="C49" i="3"/>
  <c r="AA74" i="3" l="1"/>
  <c r="U76" i="3"/>
  <c r="X75" i="3"/>
  <c r="W75" i="3"/>
  <c r="V75" i="3"/>
  <c r="Z49" i="3"/>
  <c r="G54" i="1"/>
  <c r="H54" i="1"/>
  <c r="D50" i="3"/>
  <c r="B50" i="3"/>
  <c r="C50" i="3"/>
  <c r="AA75" i="3" l="1"/>
  <c r="U77" i="3"/>
  <c r="X76" i="3"/>
  <c r="W76" i="3"/>
  <c r="V76" i="3"/>
  <c r="Z50" i="3"/>
  <c r="G55" i="1"/>
  <c r="H55" i="1"/>
  <c r="C51" i="3"/>
  <c r="B51" i="3"/>
  <c r="D51" i="3"/>
  <c r="AA76" i="3" l="1"/>
  <c r="U78" i="3"/>
  <c r="X77" i="3"/>
  <c r="W77" i="3"/>
  <c r="V77" i="3"/>
  <c r="Z51" i="3"/>
  <c r="H56" i="1"/>
  <c r="G56" i="1"/>
  <c r="B52" i="3"/>
  <c r="D52" i="3"/>
  <c r="C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H58" i="1"/>
  <c r="G58" i="1"/>
  <c r="C54" i="3"/>
  <c r="B54" i="3"/>
  <c r="D54" i="3"/>
  <c r="AA79" i="3" l="1"/>
  <c r="U81" i="3"/>
  <c r="X80" i="3"/>
  <c r="W80" i="3"/>
  <c r="V80" i="3"/>
  <c r="Z54" i="3"/>
  <c r="G59" i="1"/>
  <c r="H59" i="1"/>
  <c r="D55" i="3"/>
  <c r="B55" i="3"/>
  <c r="C55" i="3"/>
  <c r="AA80" i="3" l="1"/>
  <c r="U82" i="3"/>
  <c r="X81" i="3"/>
  <c r="W81" i="3"/>
  <c r="V81" i="3"/>
  <c r="Z55" i="3"/>
  <c r="H60" i="1"/>
  <c r="G60" i="1"/>
  <c r="D56" i="3"/>
  <c r="B56" i="3"/>
  <c r="C56" i="3"/>
  <c r="AA81" i="3" l="1"/>
  <c r="U83" i="3"/>
  <c r="X82" i="3"/>
  <c r="W82" i="3"/>
  <c r="V82" i="3"/>
  <c r="Z56" i="3"/>
  <c r="G61" i="1"/>
  <c r="H61" i="1"/>
  <c r="B57" i="3"/>
  <c r="D57" i="3"/>
  <c r="C57" i="3"/>
  <c r="AA82" i="3" l="1"/>
  <c r="U84" i="3"/>
  <c r="X83" i="3"/>
  <c r="W83" i="3"/>
  <c r="V83" i="3"/>
  <c r="Z57" i="3"/>
  <c r="G62" i="1"/>
  <c r="H62" i="1"/>
  <c r="B58" i="3"/>
  <c r="C58" i="3"/>
  <c r="D58" i="3"/>
  <c r="AA83" i="3" l="1"/>
  <c r="U85" i="3"/>
  <c r="X84" i="3"/>
  <c r="V84" i="3"/>
  <c r="W84" i="3"/>
  <c r="Z58" i="3"/>
  <c r="G63" i="1"/>
  <c r="H63" i="1"/>
  <c r="D59" i="3"/>
  <c r="C59" i="3"/>
  <c r="B59" i="3"/>
  <c r="AA84" i="3" l="1"/>
  <c r="U86" i="3"/>
  <c r="V85" i="3"/>
  <c r="X85" i="3"/>
  <c r="W85" i="3"/>
  <c r="Z59" i="3"/>
  <c r="G64" i="1"/>
  <c r="H64" i="1"/>
  <c r="C60" i="3"/>
  <c r="B60" i="3"/>
  <c r="D60" i="3"/>
  <c r="AA85" i="3" l="1"/>
  <c r="U87" i="3"/>
  <c r="X86" i="3"/>
  <c r="W86" i="3"/>
  <c r="V86" i="3"/>
  <c r="Z60" i="3"/>
  <c r="H65" i="1"/>
  <c r="G65" i="1"/>
  <c r="D61" i="3"/>
  <c r="B61" i="3"/>
  <c r="C61" i="3"/>
  <c r="AA86" i="3" l="1"/>
  <c r="U88" i="3"/>
  <c r="X87" i="3"/>
  <c r="W87" i="3"/>
  <c r="V87" i="3"/>
  <c r="Z61" i="3"/>
  <c r="H66" i="1"/>
  <c r="G66" i="1"/>
  <c r="B62" i="3"/>
  <c r="D62" i="3"/>
  <c r="C62" i="3"/>
  <c r="AA87" i="3" l="1"/>
  <c r="U89" i="3"/>
  <c r="X88" i="3"/>
  <c r="W88" i="3"/>
  <c r="V88" i="3"/>
  <c r="Z62" i="3"/>
  <c r="G67" i="1"/>
  <c r="H67" i="1"/>
  <c r="D63" i="3"/>
  <c r="B63" i="3"/>
  <c r="C63" i="3"/>
  <c r="AA88" i="3" l="1"/>
  <c r="U90" i="3"/>
  <c r="X89" i="3"/>
  <c r="W89" i="3"/>
  <c r="V89" i="3"/>
  <c r="Z63" i="3"/>
  <c r="H68" i="1"/>
  <c r="G68" i="1"/>
  <c r="D64" i="3"/>
  <c r="C64" i="3"/>
  <c r="B64" i="3"/>
  <c r="AA89" i="3" l="1"/>
  <c r="U91" i="3"/>
  <c r="W90" i="3"/>
  <c r="V90" i="3"/>
  <c r="X90" i="3"/>
  <c r="Z64" i="3"/>
  <c r="G69" i="1"/>
  <c r="H69" i="1"/>
  <c r="B65" i="3"/>
  <c r="D65" i="3"/>
  <c r="C65" i="3"/>
  <c r="AA90" i="3" l="1"/>
  <c r="U92" i="3"/>
  <c r="X91" i="3"/>
  <c r="V91" i="3"/>
  <c r="W91" i="3"/>
  <c r="Z65" i="3"/>
  <c r="H70" i="1"/>
  <c r="G70" i="1"/>
  <c r="C66" i="3"/>
  <c r="D66" i="3"/>
  <c r="B66" i="3"/>
  <c r="AA91" i="3" l="1"/>
  <c r="U93" i="3"/>
  <c r="X92" i="3"/>
  <c r="W92" i="3"/>
  <c r="V92" i="3"/>
  <c r="Z66" i="3"/>
  <c r="G71" i="1"/>
  <c r="H71" i="1"/>
  <c r="C67" i="3"/>
  <c r="D67" i="3"/>
  <c r="B67" i="3"/>
  <c r="AA92" i="3" l="1"/>
  <c r="U94" i="3"/>
  <c r="X93" i="3"/>
  <c r="W93" i="3"/>
  <c r="V93" i="3"/>
  <c r="Z67" i="3"/>
  <c r="G72" i="1"/>
  <c r="H72" i="1"/>
  <c r="B68" i="3"/>
  <c r="D68" i="3"/>
  <c r="C68" i="3"/>
  <c r="AA93" i="3" l="1"/>
  <c r="U95" i="3"/>
  <c r="X94" i="3"/>
  <c r="W94" i="3"/>
  <c r="V94" i="3"/>
  <c r="Z68" i="3"/>
  <c r="G73" i="1"/>
  <c r="H73" i="1"/>
  <c r="B69" i="3"/>
  <c r="C69" i="3"/>
  <c r="D69" i="3"/>
  <c r="AA94" i="3" l="1"/>
  <c r="U96" i="3"/>
  <c r="X95" i="3"/>
  <c r="W95" i="3"/>
  <c r="V95" i="3"/>
  <c r="Z69" i="3"/>
  <c r="G74" i="1"/>
  <c r="H74" i="1"/>
  <c r="D70" i="3"/>
  <c r="B70" i="3"/>
  <c r="C70" i="3"/>
  <c r="AA95" i="3" l="1"/>
  <c r="U97" i="3"/>
  <c r="X96" i="3"/>
  <c r="W96" i="3"/>
  <c r="V96" i="3"/>
  <c r="Z70" i="3"/>
  <c r="H75" i="1"/>
  <c r="G75" i="1"/>
  <c r="C71" i="3"/>
  <c r="D71" i="3"/>
  <c r="B71" i="3"/>
  <c r="AA96" i="3" l="1"/>
  <c r="U98" i="3"/>
  <c r="X97" i="3"/>
  <c r="W97" i="3"/>
  <c r="V97" i="3"/>
  <c r="Z71" i="3"/>
  <c r="G76" i="1"/>
  <c r="H76" i="1"/>
  <c r="C72" i="3"/>
  <c r="B72" i="3"/>
  <c r="D72" i="3"/>
  <c r="AA97" i="3" l="1"/>
  <c r="U99" i="3"/>
  <c r="X98" i="3"/>
  <c r="W98" i="3"/>
  <c r="V98" i="3"/>
  <c r="Z72" i="3"/>
  <c r="H77" i="1"/>
  <c r="G77" i="1"/>
  <c r="C73" i="3"/>
  <c r="D73" i="3"/>
  <c r="B73" i="3"/>
  <c r="AA98" i="3" l="1"/>
  <c r="U100" i="3"/>
  <c r="X99" i="3"/>
  <c r="W99" i="3"/>
  <c r="V99" i="3"/>
  <c r="Z73" i="3"/>
  <c r="H78" i="1"/>
  <c r="G78" i="1"/>
  <c r="B74" i="3"/>
  <c r="D74" i="3"/>
  <c r="C74" i="3"/>
  <c r="AA99" i="3" l="1"/>
  <c r="U101" i="3"/>
  <c r="X100" i="3"/>
  <c r="W100" i="3"/>
  <c r="V100" i="3"/>
  <c r="Z74" i="3"/>
  <c r="G79" i="1"/>
  <c r="H79" i="1"/>
  <c r="B75" i="3"/>
  <c r="D75" i="3"/>
  <c r="C75" i="3"/>
  <c r="AA100" i="3" l="1"/>
  <c r="U102" i="3"/>
  <c r="V101" i="3"/>
  <c r="W101" i="3"/>
  <c r="X101" i="3"/>
  <c r="Z75" i="3"/>
  <c r="G80" i="1"/>
  <c r="H80" i="1"/>
  <c r="B76" i="3"/>
  <c r="C76" i="3"/>
  <c r="D76" i="3"/>
  <c r="AA101" i="3" l="1"/>
  <c r="U103" i="3"/>
  <c r="X102" i="3"/>
  <c r="W102" i="3"/>
  <c r="V102" i="3"/>
  <c r="Z76" i="3"/>
  <c r="G81" i="1"/>
  <c r="H81" i="1"/>
  <c r="C77" i="3"/>
  <c r="D77" i="3"/>
  <c r="B77" i="3"/>
  <c r="AA102" i="3" l="1"/>
  <c r="U104" i="3"/>
  <c r="X103" i="3"/>
  <c r="W103" i="3"/>
  <c r="V103" i="3"/>
  <c r="Z77" i="3"/>
  <c r="H82" i="1"/>
  <c r="G82" i="1"/>
  <c r="B78" i="3"/>
  <c r="D78" i="3"/>
  <c r="C78" i="3"/>
  <c r="AA103" i="3" l="1"/>
  <c r="U105" i="3"/>
  <c r="X104" i="3"/>
  <c r="W104" i="3"/>
  <c r="V104" i="3"/>
  <c r="Z78" i="3"/>
  <c r="G83" i="1"/>
  <c r="H83" i="1"/>
  <c r="D79" i="3"/>
  <c r="C79" i="3"/>
  <c r="B79" i="3"/>
  <c r="AA104" i="3" l="1"/>
  <c r="U106" i="3"/>
  <c r="X105" i="3"/>
  <c r="W105" i="3"/>
  <c r="V105" i="3"/>
  <c r="Z79" i="3"/>
  <c r="H84" i="1"/>
  <c r="G84" i="1"/>
  <c r="B80" i="3"/>
  <c r="D80" i="3"/>
  <c r="C80" i="3"/>
  <c r="AA105" i="3" l="1"/>
  <c r="U107" i="3"/>
  <c r="W106" i="3"/>
  <c r="V106" i="3"/>
  <c r="X106" i="3"/>
  <c r="Z80" i="3"/>
  <c r="B81" i="3"/>
  <c r="D81" i="3"/>
  <c r="C81" i="3"/>
  <c r="AA106" i="3" l="1"/>
  <c r="U108" i="3"/>
  <c r="X107" i="3"/>
  <c r="W107" i="3"/>
  <c r="V107" i="3"/>
  <c r="Z81" i="3"/>
  <c r="B82" i="3"/>
  <c r="C82" i="3"/>
  <c r="D82" i="3"/>
  <c r="AA107" i="3" l="1"/>
  <c r="U109" i="3"/>
  <c r="X108" i="3"/>
  <c r="W108" i="3"/>
  <c r="V108" i="3"/>
  <c r="Z82" i="3"/>
  <c r="B83" i="3"/>
  <c r="D83" i="3"/>
  <c r="C83" i="3"/>
  <c r="AA108" i="3" l="1"/>
  <c r="U110" i="3"/>
  <c r="X109" i="3"/>
  <c r="W109" i="3"/>
  <c r="V109" i="3"/>
  <c r="Z83" i="3"/>
  <c r="C84" i="3"/>
  <c r="B84" i="3"/>
  <c r="D84" i="3"/>
  <c r="AA109" i="3" l="1"/>
  <c r="U111" i="3"/>
  <c r="X110" i="3"/>
  <c r="W110" i="3"/>
  <c r="V110" i="3"/>
  <c r="Z84" i="3"/>
  <c r="C85" i="3"/>
  <c r="B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D88" i="3"/>
  <c r="C88" i="3"/>
  <c r="B88" i="3"/>
  <c r="AA113" i="3" l="1"/>
  <c r="U115" i="3"/>
  <c r="X114" i="3"/>
  <c r="W114" i="3"/>
  <c r="V114" i="3"/>
  <c r="Z88" i="3"/>
  <c r="D89" i="3"/>
  <c r="B89" i="3"/>
  <c r="C89" i="3"/>
  <c r="AA114" i="3" l="1"/>
  <c r="U116" i="3"/>
  <c r="X115" i="3"/>
  <c r="W115" i="3"/>
  <c r="V115" i="3"/>
  <c r="Z89" i="3"/>
  <c r="B90" i="3"/>
  <c r="C90" i="3"/>
  <c r="D90" i="3"/>
  <c r="AA115" i="3" l="1"/>
  <c r="U117" i="3"/>
  <c r="X116" i="3"/>
  <c r="W116" i="3"/>
  <c r="V116" i="3"/>
  <c r="Z90" i="3"/>
  <c r="D91" i="3"/>
  <c r="C91" i="3"/>
  <c r="B91" i="3"/>
  <c r="AA116" i="3" l="1"/>
  <c r="U118" i="3"/>
  <c r="V117" i="3"/>
  <c r="W117" i="3"/>
  <c r="X117" i="3"/>
  <c r="Z91" i="3"/>
  <c r="C92" i="3"/>
  <c r="D92" i="3"/>
  <c r="B92" i="3"/>
  <c r="AA117" i="3" l="1"/>
  <c r="U119" i="3"/>
  <c r="X118" i="3"/>
  <c r="W118" i="3"/>
  <c r="V118" i="3"/>
  <c r="Z92" i="3"/>
  <c r="B93" i="3"/>
  <c r="D93" i="3"/>
  <c r="C93" i="3"/>
  <c r="AA118" i="3" l="1"/>
  <c r="U120" i="3"/>
  <c r="X119" i="3"/>
  <c r="W119" i="3"/>
  <c r="V119" i="3"/>
  <c r="Z93" i="3"/>
  <c r="C94" i="3"/>
  <c r="D94" i="3"/>
  <c r="B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B97" i="3"/>
  <c r="D97" i="3"/>
  <c r="C97" i="3"/>
  <c r="AA122" i="3" l="1"/>
  <c r="U124" i="3"/>
  <c r="X123" i="3"/>
  <c r="W123" i="3"/>
  <c r="V123" i="3"/>
  <c r="Z97" i="3"/>
  <c r="B98" i="3"/>
  <c r="D98" i="3"/>
  <c r="C98" i="3"/>
  <c r="AA123" i="3" l="1"/>
  <c r="U125" i="3"/>
  <c r="X124" i="3"/>
  <c r="W124" i="3"/>
  <c r="V124" i="3"/>
  <c r="Z98" i="3"/>
  <c r="D99" i="3"/>
  <c r="B99" i="3"/>
  <c r="C99" i="3"/>
  <c r="AA124" i="3" l="1"/>
  <c r="U126" i="3"/>
  <c r="X125" i="3"/>
  <c r="W125" i="3"/>
  <c r="V125" i="3"/>
  <c r="Z99" i="3"/>
  <c r="B100" i="3"/>
  <c r="C100" i="3"/>
  <c r="D100" i="3"/>
  <c r="AA125" i="3" l="1"/>
  <c r="U127" i="3"/>
  <c r="X126" i="3"/>
  <c r="W126" i="3"/>
  <c r="V126" i="3"/>
  <c r="Z100" i="3"/>
  <c r="D101" i="3"/>
  <c r="C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C103" i="3"/>
  <c r="B103" i="3"/>
  <c r="D103" i="3"/>
  <c r="AA128" i="3" l="1"/>
  <c r="U130" i="3"/>
  <c r="X129" i="3"/>
  <c r="W129" i="3"/>
  <c r="V129" i="3"/>
  <c r="Z103" i="3"/>
  <c r="B104" i="3"/>
  <c r="C104" i="3"/>
  <c r="D104" i="3"/>
  <c r="AA129" i="3" l="1"/>
  <c r="U131" i="3"/>
  <c r="X130" i="3"/>
  <c r="W130" i="3"/>
  <c r="V130" i="3"/>
  <c r="Z104" i="3"/>
  <c r="D105" i="3"/>
  <c r="B105" i="3"/>
  <c r="C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B108" i="3"/>
  <c r="C108" i="3"/>
  <c r="D108" i="3"/>
  <c r="AA133" i="3" l="1"/>
  <c r="U135" i="3"/>
  <c r="X134" i="3"/>
  <c r="W134" i="3"/>
  <c r="V134" i="3"/>
  <c r="Z108" i="3"/>
  <c r="C109" i="3"/>
  <c r="B109" i="3"/>
  <c r="D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D111" i="3"/>
  <c r="B111" i="3"/>
  <c r="C111" i="3"/>
  <c r="AA136" i="3" l="1"/>
  <c r="U138" i="3"/>
  <c r="X137" i="3"/>
  <c r="W137" i="3"/>
  <c r="V137" i="3"/>
  <c r="Z111" i="3"/>
  <c r="D112" i="3"/>
  <c r="C112" i="3"/>
  <c r="B112" i="3"/>
  <c r="AA137" i="3" l="1"/>
  <c r="U139" i="3"/>
  <c r="W138" i="3"/>
  <c r="V138" i="3"/>
  <c r="X138" i="3"/>
  <c r="Z112" i="3"/>
  <c r="B113" i="3"/>
  <c r="D113" i="3"/>
  <c r="C113" i="3"/>
  <c r="AA138" i="3" l="1"/>
  <c r="U140" i="3"/>
  <c r="X139" i="3"/>
  <c r="W139" i="3"/>
  <c r="V139" i="3"/>
  <c r="Z113" i="3"/>
  <c r="B114" i="3"/>
  <c r="D114" i="3"/>
  <c r="C114" i="3"/>
  <c r="AA139" i="3" l="1"/>
  <c r="U141" i="3"/>
  <c r="X140" i="3"/>
  <c r="W140" i="3"/>
  <c r="V140" i="3"/>
  <c r="Z114" i="3"/>
  <c r="B115" i="3"/>
  <c r="C115" i="3"/>
  <c r="D115" i="3"/>
  <c r="AA140" i="3" l="1"/>
  <c r="Z140" i="3"/>
  <c r="U142" i="3"/>
  <c r="X141" i="3"/>
  <c r="W141" i="3"/>
  <c r="V141" i="3"/>
  <c r="Z115" i="3"/>
  <c r="D116" i="3"/>
  <c r="B116" i="3"/>
  <c r="C116" i="3"/>
  <c r="AA141" i="3" l="1"/>
  <c r="Z141" i="3"/>
  <c r="U143" i="3"/>
  <c r="X142" i="3"/>
  <c r="W142" i="3"/>
  <c r="V142" i="3"/>
  <c r="Z116" i="3"/>
  <c r="D117" i="3"/>
  <c r="C117" i="3"/>
  <c r="B117" i="3"/>
  <c r="AA142" i="3" l="1"/>
  <c r="Z142" i="3"/>
  <c r="U144" i="3"/>
  <c r="X143" i="3"/>
  <c r="W143" i="3"/>
  <c r="V143" i="3"/>
  <c r="Z117" i="3"/>
  <c r="B118" i="3"/>
  <c r="C118" i="3"/>
  <c r="D118" i="3"/>
  <c r="AA143" i="3" l="1"/>
  <c r="Z143" i="3"/>
  <c r="U145" i="3"/>
  <c r="W144" i="3"/>
  <c r="X144" i="3"/>
  <c r="V144" i="3"/>
  <c r="Z118" i="3"/>
  <c r="D119" i="3"/>
  <c r="C119" i="3"/>
  <c r="B119" i="3"/>
  <c r="Z144" i="3" l="1"/>
  <c r="U146" i="3"/>
  <c r="X145" i="3"/>
  <c r="W145" i="3"/>
  <c r="V145" i="3"/>
  <c r="AA144" i="3"/>
  <c r="Z119" i="3"/>
  <c r="D120" i="3"/>
  <c r="B120" i="3"/>
  <c r="C120" i="3"/>
  <c r="AA145" i="3" l="1"/>
  <c r="Z145" i="3"/>
  <c r="U147" i="3"/>
  <c r="X146" i="3"/>
  <c r="W146" i="3"/>
  <c r="V146" i="3"/>
  <c r="Z120" i="3"/>
  <c r="B121" i="3"/>
  <c r="D121" i="3"/>
  <c r="C121" i="3"/>
  <c r="Z146" i="3" l="1"/>
  <c r="AA146" i="3"/>
  <c r="U148" i="3"/>
  <c r="X147" i="3"/>
  <c r="W147" i="3"/>
  <c r="V147" i="3"/>
  <c r="Z121" i="3"/>
  <c r="C122" i="3"/>
  <c r="B122" i="3"/>
  <c r="D122" i="3"/>
  <c r="AA147" i="3" l="1"/>
  <c r="Z147" i="3"/>
  <c r="U149" i="3"/>
  <c r="X148" i="3"/>
  <c r="W148" i="3"/>
  <c r="V148" i="3"/>
  <c r="Z122" i="3"/>
  <c r="B123" i="3"/>
  <c r="D123" i="3"/>
  <c r="C123" i="3"/>
  <c r="AA148" i="3" l="1"/>
  <c r="Z148" i="3"/>
  <c r="U150" i="3"/>
  <c r="V149" i="3"/>
  <c r="X149" i="3"/>
  <c r="W149" i="3"/>
  <c r="Z123" i="3"/>
  <c r="C124" i="3"/>
  <c r="B124" i="3"/>
  <c r="D124" i="3"/>
  <c r="AA149" i="3" l="1"/>
  <c r="Z149" i="3"/>
  <c r="U151" i="3"/>
  <c r="X150" i="3"/>
  <c r="W150" i="3"/>
  <c r="V150" i="3"/>
  <c r="Z124" i="3"/>
  <c r="D125" i="3"/>
  <c r="B125" i="3"/>
  <c r="C125" i="3"/>
  <c r="Z150" i="3" l="1"/>
  <c r="AA150" i="3"/>
  <c r="U152" i="3"/>
  <c r="X151" i="3"/>
  <c r="W151" i="3"/>
  <c r="V151" i="3"/>
  <c r="Z125" i="3"/>
  <c r="B126" i="3"/>
  <c r="D126" i="3"/>
  <c r="C126" i="3"/>
  <c r="Z151" i="3" l="1"/>
  <c r="AA151" i="3"/>
  <c r="U153" i="3"/>
  <c r="X152" i="3"/>
  <c r="W152" i="3"/>
  <c r="V152" i="3"/>
  <c r="Z126" i="3"/>
  <c r="C127" i="3"/>
  <c r="B127" i="3"/>
  <c r="D127" i="3"/>
  <c r="AA152" i="3" l="1"/>
  <c r="Z152" i="3"/>
  <c r="U154" i="3"/>
  <c r="X153" i="3"/>
  <c r="W153" i="3"/>
  <c r="V153" i="3"/>
  <c r="Z127" i="3"/>
  <c r="D128" i="3"/>
  <c r="C128" i="3"/>
  <c r="B128" i="3"/>
  <c r="AA153" i="3" l="1"/>
  <c r="Z153" i="3"/>
  <c r="U155" i="3"/>
  <c r="W154" i="3"/>
  <c r="V154" i="3"/>
  <c r="X154" i="3"/>
  <c r="Z128" i="3"/>
  <c r="B129" i="3"/>
  <c r="C129" i="3"/>
  <c r="D129" i="3"/>
  <c r="AA154" i="3" l="1"/>
  <c r="Z154" i="3"/>
  <c r="U156" i="3"/>
  <c r="X155" i="3"/>
  <c r="V155" i="3"/>
  <c r="W155" i="3"/>
  <c r="Z129" i="3"/>
  <c r="D130" i="3"/>
  <c r="C130" i="3"/>
  <c r="B130" i="3"/>
  <c r="AA155" i="3" l="1"/>
  <c r="Z155" i="3"/>
  <c r="U157" i="3"/>
  <c r="X156" i="3"/>
  <c r="W156" i="3"/>
  <c r="V156" i="3"/>
  <c r="Z130" i="3"/>
  <c r="D131" i="3"/>
  <c r="C131" i="3"/>
  <c r="B131" i="3"/>
  <c r="Z156" i="3" l="1"/>
  <c r="AA156" i="3"/>
  <c r="U158" i="3"/>
  <c r="X157" i="3"/>
  <c r="W157" i="3"/>
  <c r="V157" i="3"/>
  <c r="Z131" i="3"/>
  <c r="C132" i="3"/>
  <c r="D132" i="3"/>
  <c r="B132" i="3"/>
  <c r="AA157" i="3" l="1"/>
  <c r="Z157" i="3"/>
  <c r="U159" i="3"/>
  <c r="X158" i="3"/>
  <c r="W158" i="3"/>
  <c r="V158" i="3"/>
  <c r="Z132" i="3"/>
  <c r="H137" i="1"/>
  <c r="G137" i="1"/>
  <c r="B133" i="3"/>
  <c r="C133" i="3"/>
  <c r="D133" i="3"/>
  <c r="AA158" i="3" l="1"/>
  <c r="Z158" i="3"/>
  <c r="U160" i="3"/>
  <c r="X159" i="3"/>
  <c r="W159" i="3"/>
  <c r="V159" i="3"/>
  <c r="Z133" i="3"/>
  <c r="G138" i="1"/>
  <c r="H138" i="1"/>
  <c r="C134" i="3"/>
  <c r="D134" i="3"/>
  <c r="B134" i="3"/>
  <c r="AA159" i="3" l="1"/>
  <c r="Z159" i="3"/>
  <c r="U161" i="3"/>
  <c r="W160" i="3"/>
  <c r="X160" i="3"/>
  <c r="V160" i="3"/>
  <c r="Z134" i="3"/>
  <c r="G139" i="1"/>
  <c r="H139" i="1"/>
  <c r="C135" i="3"/>
  <c r="B135" i="3"/>
  <c r="D135" i="3"/>
  <c r="Z160" i="3" l="1"/>
  <c r="AA160" i="3"/>
  <c r="U162" i="3"/>
  <c r="X161" i="3"/>
  <c r="W161" i="3"/>
  <c r="V161" i="3"/>
  <c r="Z135" i="3"/>
  <c r="G140" i="1"/>
  <c r="H140" i="1"/>
  <c r="C136" i="3"/>
  <c r="D136" i="3"/>
  <c r="B136" i="3"/>
  <c r="AA161" i="3" l="1"/>
  <c r="Z161" i="3"/>
  <c r="U163" i="3"/>
  <c r="X162" i="3"/>
  <c r="W162" i="3"/>
  <c r="V162" i="3"/>
  <c r="Z136" i="3"/>
  <c r="H141" i="1"/>
  <c r="G141" i="1"/>
  <c r="B137" i="3"/>
  <c r="D137" i="3"/>
  <c r="C137" i="3"/>
  <c r="AA162" i="3" l="1"/>
  <c r="Z162" i="3"/>
  <c r="U164" i="3"/>
  <c r="X163" i="3"/>
  <c r="W163" i="3"/>
  <c r="V163" i="3"/>
  <c r="Z137" i="3"/>
  <c r="G142" i="1"/>
  <c r="H142" i="1"/>
  <c r="C138" i="3"/>
  <c r="D138" i="3"/>
  <c r="B138" i="3"/>
  <c r="AA163" i="3" l="1"/>
  <c r="Z163" i="3"/>
  <c r="U165" i="3"/>
  <c r="X164" i="3"/>
  <c r="W164" i="3"/>
  <c r="V164" i="3"/>
  <c r="Z138" i="3"/>
  <c r="H143" i="1"/>
  <c r="G143" i="1"/>
  <c r="B139" i="3"/>
  <c r="D139" i="3"/>
  <c r="C139" i="3"/>
  <c r="AA164" i="3" l="1"/>
  <c r="Z164" i="3"/>
  <c r="U166" i="3"/>
  <c r="V165" i="3"/>
  <c r="X165" i="3"/>
  <c r="W165" i="3"/>
  <c r="Z139" i="3"/>
  <c r="G144" i="1"/>
  <c r="H145" i="1"/>
  <c r="G148" i="1"/>
  <c r="G147" i="1"/>
  <c r="G145" i="1"/>
  <c r="H147" i="1"/>
  <c r="H146" i="1"/>
  <c r="H148" i="1"/>
  <c r="G146" i="1"/>
  <c r="H144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<sst xmlns="http://schemas.openxmlformats.org/spreadsheetml/2006/main" count="4213" uniqueCount="1525">
  <si>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</si>
  <si>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</si>
  <si>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</si>
  <si>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</si>
  <si>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</si>
  <si>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</si>
  <si>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</si>
  <si>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</si>
  <si>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</si>
  <si>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</si>
  <si>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</si>
  <si>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</si>
  <si>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</si>
  <si>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</si>
  <si>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</si>
  <si>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</si>
  <si>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</si>
  <si>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</si>
  <si>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</si>
  <si>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</si>
  <si>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</si>
  <si>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</si>
  <si>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</si>
  <si>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</si>
  <si>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</si>
  <si>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</si>
  <si>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</si>
  <si>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</si>
  <si>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</si>
  <si>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</si>
  <si>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</si>
  <si>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</si>
  <si>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</si>
  <si>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</si>
  <si>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</si>
  <si>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</si>
  <si>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</si>
  <si>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</si>
  <si>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</si>
  <si>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</si>
  <si>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</si>
  <si>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</si>
  <si>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</si>
  <si>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</si>
  <si>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</si>
  <si>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</si>
  <si>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</si>
  <si>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</si>
  <si>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</si>
  <si>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</si>
  <si>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</si>
  <si>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</si>
  <si>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</si>
  <si>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</si>
  <si>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</si>
  <si>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</si>
  <si>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</si>
  <si>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</si>
  <si>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</si>
  <si>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</si>
  <si>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</si>
  <si>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</si>
  <si>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</si>
  <si>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</si>
  <si>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</si>
  <si>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</si>
  <si>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</si>
  <si>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</si>
  <si>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</si>
  <si>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</si>
  <si>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</si>
  <si>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</si>
  <si>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</si>
  <si>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</si>
  <si>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</si>
  <si>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</si>
  <si>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</si>
  <si>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</si>
  <si>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</si>
  <si>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</si>
  <si>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</si>
  <si>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</si>
  <si>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</si>
  <si>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</si>
  <si>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</si>
  <si>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</si>
  <si>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</si>
  <si>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</si>
  <si>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</si>
  <si>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</si>
  <si>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</si>
  <si>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</si>
  <si>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</si>
  <si>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</si>
  <si>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</si>
  <si>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</si>
  <si>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</si>
  <si>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</si>
  <si>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</si>
  <si>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</si>
  <si>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</si>
  <si>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</si>
  <si>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</si>
  <si>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</si>
  <si>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</si>
  <si>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</si>
  <si>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</si>
  <si>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</si>
  <si>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</si>
  <si>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</si>
  <si>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</si>
  <si>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</si>
  <si>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</si>
  <si>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</si>
  <si>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</si>
  <si>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</si>
  <si>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</si>
  <si>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</si>
  <si>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</si>
  <si>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</si>
  <si>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</si>
  <si>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</si>
  <si>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</si>
  <si>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</si>
  <si>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</si>
  <si>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</si>
  <si>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</si>
  <si>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</si>
  <si>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</si>
  <si>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</si>
  <si>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</si>
  <si>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</si>
  <si>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</si>
  <si>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</si>
  <si>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</si>
  <si>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</si>
  <si>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</si>
  <si>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</si>
  <si>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</si>
  <si>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</si>
  <si>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</si>
  <si>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</si>
  <si>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</si>
  <si>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</si>
  <si>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</si>
  <si>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</si>
  <si>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</si>
  <si>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</si>
  <si>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</si>
  <si>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</si>
  <si>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</si>
  <si>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</si>
  <si>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</si>
  <si>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</si>
  <si>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</si>
  <si>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</si>
  <si>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</si>
  <si>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</si>
  <si>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</si>
  <si>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</si>
  <si>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</si>
  <si>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</si>
  <si>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</si>
  <si>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</si>
  <si>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</si>
  <si>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</si>
  <si>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</si>
  <si>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</si>
  <si>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</si>
  <si>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</si>
  <si>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</si>
  <si>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</si>
  <si>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</si>
  <si>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</si>
  <si>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</si>
  <si>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</si>
  <si>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</si>
  <si>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</si>
  <si>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</si>
  <si>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</si>
  <si>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</si>
  <si>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</si>
  <si>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</si>
  <si>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</si>
  <si>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</si>
  <si>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</si>
  <si>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</si>
  <si>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</si>
  <si>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</si>
  <si>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</si>
  <si>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</si>
  <si>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</si>
  <si>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</si>
  <si>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</si>
  <si>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</si>
  <si>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</si>
  <si>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</si>
  <si>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</si>
  <si>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</si>
  <si>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</si>
  <si>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</si>
  <si>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</si>
  <si>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</si>
  <si>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</si>
  <si>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</si>
  <si>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</si>
  <si>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</si>
  <si>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</si>
  <si>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</si>
  <si>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</si>
  <si>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</si>
  <si>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</si>
  <si>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</si>
  <si>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</si>
  <si>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</si>
  <si>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</si>
  <si>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</si>
  <si>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</si>
  <si>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</si>
  <si>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</si>
  <si>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</si>
  <si>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</si>
  <si>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</si>
  <si>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</si>
  <si>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</si>
  <si>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</si>
  <si>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</si>
  <si>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</si>
  <si>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</si>
  <si>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</si>
  <si>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</si>
  <si>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</si>
  <si>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</si>
  <si>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</si>
  <si>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</si>
  <si>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</si>
  <si>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</si>
  <si>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</si>
  <si>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</si>
  <si>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</si>
  <si>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</si>
  <si>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</si>
  <si>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</si>
  <si>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</si>
  <si>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</si>
  <si>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</si>
  <si>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</si>
  <si>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</si>
  <si>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</si>
  <si>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</si>
  <si>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</si>
  <si>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</si>
  <si>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</si>
  <si>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</si>
  <si>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</si>
  <si>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</si>
  <si>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</si>
  <si>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</si>
  <si>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</si>
  <si>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</si>
  <si>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</si>
  <si>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</si>
  <si>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</si>
  <si>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</si>
  <si>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</si>
  <si>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</si>
  <si>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</si>
  <si>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</si>
  <si>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</si>
  <si>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</si>
  <si>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</si>
  <si>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</si>
  <si>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</si>
  <si>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</si>
  <si>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</si>
  <si>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</si>
  <si>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</si>
  <si>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</si>
  <si>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</si>
  <si>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</si>
  <si>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</si>
  <si>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</si>
  <si>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</si>
  <si>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</si>
  <si>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</si>
  <si>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</si>
  <si>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</si>
  <si>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</si>
  <si>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</si>
  <si>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</si>
  <si>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</si>
  <si>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</si>
  <si>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</si>
  <si>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</si>
  <si>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</si>
  <si>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</si>
  <si>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</si>
  <si>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</si>
  <si>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</si>
  <si>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</si>
  <si>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</si>
  <si>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</si>
  <si>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</si>
  <si>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</si>
  <si>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</si>
  <si>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</si>
  <si>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</si>
  <si>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</si>
  <si>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</si>
  <si>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</si>
  <si>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</si>
  <si>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</si>
  <si>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</si>
  <si>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</si>
  <si>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</si>
  <si>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</si>
  <si>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</si>
  <si>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</si>
  <si>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</si>
  <si>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</si>
  <si>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</si>
  <si>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</si>
  <si>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</si>
  <si>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</si>
  <si>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</si>
  <si>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</si>
  <si>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</si>
  <si>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</si>
  <si>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</si>
  <si>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</si>
  <si>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</si>
  <si>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</si>
  <si>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</si>
  <si>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</si>
  <si>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</si>
  <si>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</si>
  <si>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</si>
  <si>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</si>
  <si>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</si>
  <si>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</si>
  <si>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</si>
  <si>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</si>
  <si>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</si>
  <si>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</si>
  <si>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</si>
  <si>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</si>
  <si>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</si>
  <si>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</si>
  <si>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</si>
  <si>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</si>
  <si>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</si>
  <si>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</si>
  <si>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</si>
  <si>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</si>
  <si>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</si>
  <si>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</si>
  <si>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</si>
  <si>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</si>
  <si>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</si>
  <si>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</si>
  <si>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</si>
  <si>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</si>
  <si>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</si>
  <si>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</si>
  <si>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</si>
  <si>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</si>
  <si>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</si>
  <si>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</si>
  <si>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</si>
  <si>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</si>
  <si>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</si>
  <si>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</si>
  <si>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</si>
  <si>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</si>
  <si>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</si>
  <si>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</si>
  <si>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</si>
  <si>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</si>
  <si>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</si>
  <si>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</si>
  <si>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</si>
  <si>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</si>
  <si>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</si>
  <si>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</si>
  <si>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</si>
  <si>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</si>
  <si>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</si>
  <si>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</si>
  <si>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</si>
  <si>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</si>
  <si>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</si>
  <si>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</si>
  <si>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</si>
  <si>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</si>
  <si>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</si>
  <si>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</si>
  <si>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</si>
  <si>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</si>
  <si>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</si>
  <si>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</si>
  <si>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</si>
  <si>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</si>
  <si>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</si>
  <si>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</si>
  <si>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</si>
  <si>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</si>
  <si>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</si>
  <si>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</si>
  <si>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</si>
  <si>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</si>
  <si>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</si>
  <si>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</si>
  <si>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</si>
  <si>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</si>
  <si>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</si>
  <si>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</si>
  <si>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</si>
  <si>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</si>
  <si>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</si>
  <si>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</si>
  <si>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</si>
  <si>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</si>
  <si>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</si>
  <si>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</si>
  <si>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</si>
  <si>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</si>
  <si>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</si>
  <si>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</si>
  <si>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</si>
  <si>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</si>
  <si>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</si>
  <si>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</si>
  <si>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</si>
  <si>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</si>
  <si>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</si>
  <si>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</si>
  <si>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</si>
  <si>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</si>
  <si>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</si>
  <si>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</si>
  <si>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</si>
  <si>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</si>
  <si>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</si>
  <si>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</si>
  <si>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</si>
  <si>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</si>
  <si>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</si>
  <si>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</si>
  <si>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</si>
  <si>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</si>
  <si>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</si>
  <si>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</si>
  <si>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</si>
  <si>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</si>
  <si>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</si>
  <si>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</si>
  <si>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</si>
  <si>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</si>
  <si>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</si>
  <si>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</si>
  <si>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</si>
  <si>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</si>
  <si>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</si>
  <si>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</si>
  <si>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</si>
  <si>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</si>
  <si>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</si>
  <si>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</si>
  <si>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</si>
  <si>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</si>
  <si>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</si>
  <si>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</si>
  <si>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</si>
  <si>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</si>
  <si>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</si>
  <si>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</si>
  <si>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</si>
  <si>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</si>
  <si>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</si>
  <si>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</si>
  <si>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</si>
  <si>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</si>
  <si>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</si>
  <si>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</si>
  <si>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</si>
  <si>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</si>
  <si>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</si>
  <si>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</si>
  <si>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</si>
  <si>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</si>
  <si>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</si>
  <si>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</si>
  <si>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</si>
  <si>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</si>
  <si>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</si>
  <si>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</si>
  <si>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</si>
  <si>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</si>
  <si>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</si>
  <si>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</si>
  <si>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</si>
  <si>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</si>
  <si>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</si>
  <si>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</si>
  <si>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</si>
  <si>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</si>
  <si>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</si>
  <si>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</si>
  <si>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</si>
  <si>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</si>
  <si>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</si>
  <si>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</si>
  <si>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</si>
  <si>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</si>
  <si>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</si>
  <si>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</si>
  <si>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</si>
  <si>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</si>
  <si>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</si>
  <si>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</si>
  <si>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</si>
  <si>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</si>
  <si>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</si>
  <si>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</si>
  <si>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</si>
  <si>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</si>
  <si>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</si>
  <si>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</si>
  <si>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</si>
  <si>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</si>
  <si>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</si>
  <si>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</si>
  <si>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</si>
  <si>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</si>
  <si>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</si>
  <si>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</si>
  <si>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</si>
  <si>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</si>
  <si>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</si>
  <si>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</si>
  <si>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</si>
  <si>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</si>
  <si>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</si>
  <si>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</si>
  <si>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</si>
  <si>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</si>
  <si>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</si>
  <si>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</si>
  <si>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</si>
  <si>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</si>
  <si>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</si>
  <si>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</si>
  <si>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</si>
  <si>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</si>
  <si>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</si>
  <si>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</si>
  <si>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</si>
  <si>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</si>
  <si>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</si>
  <si>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</si>
  <si>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</si>
  <si>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</si>
  <si>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</si>
  <si>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</si>
  <si>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</si>
  <si>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</si>
  <si>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</si>
  <si>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</si>
  <si>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</si>
  <si>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</si>
  <si>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</si>
  <si>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</si>
  <si>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</si>
  <si>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</si>
  <si>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</si>
  <si>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</si>
  <si>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</si>
  <si>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</si>
  <si>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</si>
  <si>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</si>
  <si>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</si>
  <si>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</si>
  <si>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</si>
  <si>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</si>
  <si>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</si>
  <si>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</si>
  <si>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</si>
  <si>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</si>
  <si>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</si>
  <si>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</si>
  <si>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</si>
  <si>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</si>
  <si>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</si>
  <si>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</si>
  <si>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</si>
  <si>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</si>
  <si>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</si>
  <si>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</si>
  <si>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</si>
  <si>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</si>
  <si>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</si>
  <si>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</si>
  <si>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</si>
  <si>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</si>
  <si>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</si>
  <si>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</si>
  <si>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</si>
  <si>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</si>
  <si>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</si>
  <si>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</si>
  <si>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</si>
  <si>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</si>
  <si>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</si>
  <si>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</si>
  <si>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</si>
  <si>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</si>
  <si>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</si>
  <si>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</si>
  <si>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</si>
  <si>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</si>
  <si>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</si>
  <si>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</si>
  <si>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</si>
  <si>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</si>
  <si>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</si>
  <si>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</si>
  <si>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</si>
  <si>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</si>
  <si>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</si>
  <si>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</si>
  <si>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</si>
  <si>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</si>
  <si>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</si>
  <si>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</si>
  <si>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</si>
  <si>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</si>
  <si>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</si>
  <si>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</si>
  <si>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</si>
  <si>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</si>
  <si>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</si>
  <si>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</si>
  <si>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</si>
  <si>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</si>
  <si>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</si>
  <si>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</si>
  <si>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</si>
  <si>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</si>
  <si>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</si>
  <si>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</si>
  <si>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</si>
  <si>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</si>
  <si>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</si>
  <si>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</si>
  <si>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</si>
  <si>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</si>
  <si>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</si>
  <si>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</si>
  <si>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</si>
  <si>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</si>
  <si>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</si>
  <si>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</si>
  <si>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</si>
  <si>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</si>
  <si>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</si>
  <si>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</si>
  <si>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</si>
  <si>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</si>
  <si>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</si>
  <si>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</si>
  <si>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</si>
  <si>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</si>
  <si>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</si>
  <si>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</si>
  <si>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</si>
  <si>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</si>
  <si>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</si>
  <si>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</si>
  <si>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</si>
  <si>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</si>
  <si>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</si>
  <si>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</si>
  <si>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</si>
  <si>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</si>
  <si>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</si>
  <si>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</si>
  <si>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</si>
  <si>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</si>
  <si>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</si>
  <si>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</si>
  <si>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</si>
  <si>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</si>
  <si>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</si>
  <si>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</si>
  <si>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</si>
  <si>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</si>
  <si>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</si>
  <si>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</si>
  <si>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</si>
  <si>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</si>
  <si>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</si>
  <si>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</si>
  <si>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</si>
  <si>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</si>
  <si>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</si>
  <si>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</si>
  <si>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</si>
  <si>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</si>
  <si>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</si>
  <si>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</si>
  <si>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</si>
  <si>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</si>
  <si>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</si>
  <si>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</si>
  <si>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</si>
  <si>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</si>
  <si>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</si>
  <si>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</si>
  <si>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</si>
  <si>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</si>
  <si>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</si>
  <si>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</si>
  <si>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</si>
  <si>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</si>
  <si>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</si>
  <si>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</si>
  <si>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</si>
  <si>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</si>
  <si>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</si>
  <si>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</si>
  <si>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</si>
  <si>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</si>
  <si>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</si>
  <si>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</si>
  <si>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</si>
  <si>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</si>
  <si>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</si>
  <si>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</si>
  <si>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</si>
  <si>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</si>
  <si>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</si>
  <si>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</si>
  <si>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</si>
  <si>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</si>
  <si>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</si>
  <si>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</si>
  <si>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</si>
  <si>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</si>
  <si>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</si>
  <si>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</si>
  <si>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</si>
  <si>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</si>
  <si>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</si>
  <si>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</si>
  <si>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</si>
  <si>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</si>
  <si>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</si>
  <si>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</si>
  <si>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</si>
  <si>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</si>
  <si>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</si>
  <si>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</si>
  <si>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</si>
  <si>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</si>
  <si>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</si>
  <si>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</si>
  <si>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</si>
  <si>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</si>
  <si>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</si>
  <si>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</si>
  <si>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</si>
  <si>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</si>
  <si>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</si>
  <si>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</si>
  <si>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</si>
  <si>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</si>
  <si>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</si>
  <si>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</si>
  <si>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</si>
  <si>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</si>
  <si>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</si>
  <si>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</si>
  <si>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</si>
  <si>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</si>
  <si>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</si>
  <si>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</si>
  <si>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</si>
  <si>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</si>
  <si>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</si>
  <si>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</si>
  <si>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</si>
  <si>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</si>
  <si>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</si>
  <si>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</si>
  <si>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</si>
  <si>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</si>
  <si>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</si>
  <si>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</si>
  <si>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</si>
  <si>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</si>
  <si>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</si>
  <si>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</si>
  <si>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</si>
  <si>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</si>
  <si>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</si>
  <si>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</si>
  <si>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</si>
  <si>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</si>
  <si>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</si>
  <si>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</si>
  <si>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</si>
  <si>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</si>
  <si>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</si>
  <si>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</si>
  <si>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</si>
  <si>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</si>
  <si>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</si>
  <si>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</si>
  <si>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</si>
  <si>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</si>
  <si>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</si>
  <si>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</si>
  <si>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</si>
  <si>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</si>
  <si>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</si>
  <si>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</si>
  <si>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</si>
  <si>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</si>
  <si>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</si>
  <si>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</si>
  <si>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</si>
  <si>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</si>
  <si>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</si>
  <si>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</si>
  <si>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</si>
  <si>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</si>
  <si>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</si>
  <si>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</si>
  <si>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</si>
  <si>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</si>
  <si>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</si>
  <si>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</si>
  <si>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</si>
  <si>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</si>
  <si>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</si>
  <si>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</si>
  <si>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</si>
  <si>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</si>
  <si>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</si>
  <si>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</si>
  <si>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</si>
  <si>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</si>
  <si>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</si>
  <si>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</si>
  <si>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</si>
  <si>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</si>
  <si>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</si>
  <si>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</si>
  <si>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</si>
  <si>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</si>
  <si>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</si>
  <si>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</si>
  <si>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</si>
  <si>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</si>
  <si>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</si>
  <si>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</si>
  <si>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</si>
  <si>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</si>
  <si>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</si>
  <si>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</si>
  <si>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</si>
  <si>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</si>
  <si>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</si>
  <si>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</si>
  <si>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</si>
  <si>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</si>
  <si>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</si>
  <si>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</si>
  <si>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</si>
  <si>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</si>
  <si>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</si>
  <si>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</si>
  <si>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</si>
  <si>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</si>
  <si>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</si>
  <si>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</si>
  <si>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</si>
  <si>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</si>
  <si>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</si>
  <si>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</si>
  <si>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</si>
  <si>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</si>
  <si>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</si>
  <si>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</si>
  <si>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</si>
  <si>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</si>
  <si>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</si>
  <si>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</si>
  <si>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</si>
  <si>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</si>
  <si>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</si>
  <si>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</si>
  <si>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</si>
  <si>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</si>
  <si>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</si>
  <si>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</si>
  <si>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</si>
  <si>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</si>
  <si>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</si>
  <si>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</si>
  <si>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</si>
  <si>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</si>
  <si>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</si>
  <si>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</si>
  <si>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</si>
  <si>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</si>
  <si>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</si>
  <si>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</si>
  <si>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</si>
  <si>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</si>
  <si>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</si>
  <si>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</si>
  <si>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</si>
  <si>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</si>
  <si>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</si>
  <si>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</si>
  <si>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</si>
  <si>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</si>
  <si>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</si>
  <si>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</si>
  <si>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</si>
  <si>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</si>
  <si>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</si>
  <si>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</si>
  <si>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</si>
  <si>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</si>
  <si>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</si>
  <si>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</si>
  <si>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</si>
  <si>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</si>
  <si>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</si>
  <si>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</si>
  <si>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</si>
  <si>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</si>
  <si>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</si>
  <si>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</si>
  <si>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</si>
  <si>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</si>
  <si>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</si>
  <si>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</si>
  <si>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</si>
  <si>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</si>
  <si>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</si>
  <si>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</si>
  <si>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</si>
  <si>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</si>
  <si>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</si>
  <si>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</si>
  <si>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</si>
  <si>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</si>
  <si>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</si>
  <si>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</si>
  <si>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</si>
  <si>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</si>
  <si>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</si>
  <si>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</si>
  <si>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</si>
  <si>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</si>
  <si>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</si>
  <si>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</si>
  <si>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</si>
  <si>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</si>
  <si>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</si>
  <si>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</si>
  <si>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</si>
  <si>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</si>
  <si>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</si>
  <si>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</si>
  <si>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</si>
  <si>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</si>
  <si>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</si>
  <si>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</si>
  <si>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</si>
  <si>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</si>
  <si>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</si>
  <si>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</si>
  <si>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</si>
  <si>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</si>
  <si>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</si>
  <si>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</si>
  <si>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</si>
  <si>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</si>
  <si>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</si>
  <si>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</si>
  <si>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</si>
  <si>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</si>
  <si>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</si>
  <si>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</si>
  <si>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</si>
  <si>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</si>
  <si>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</si>
  <si>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</si>
  <si>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</si>
  <si>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</si>
  <si>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</si>
  <si>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</si>
  <si>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</si>
  <si>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</si>
  <si>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</si>
  <si>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</si>
  <si>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</si>
  <si>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</si>
  <si>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</si>
  <si>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</si>
  <si>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</si>
  <si>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</si>
  <si>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</si>
  <si>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</si>
  <si>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</si>
  <si>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</si>
  <si>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</si>
  <si>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</si>
  <si>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</si>
  <si>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</si>
  <si>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</si>
  <si>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</si>
  <si>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</si>
  <si>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</si>
  <si>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</si>
  <si>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</si>
  <si>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</si>
  <si>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</si>
  <si>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</si>
  <si>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</si>
  <si>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</si>
  <si>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</si>
  <si>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</si>
  <si>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</si>
  <si>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</si>
  <si>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</si>
  <si>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</si>
  <si>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</si>
  <si>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</si>
  <si>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</si>
  <si>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</si>
  <si>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</si>
  <si>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</si>
  <si>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</si>
  <si>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</si>
  <si>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</si>
  <si>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</si>
  <si>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</si>
  <si>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</si>
  <si>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</si>
  <si>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</si>
  <si>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</si>
  <si>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</si>
  <si>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</si>
  <si>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</si>
  <si>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</si>
  <si>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</si>
  <si>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</si>
  <si>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</si>
  <si>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</si>
  <si>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</si>
  <si>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</si>
  <si>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</si>
  <si>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</si>
  <si>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</si>
  <si>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</si>
  <si>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</si>
  <si>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</si>
  <si>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</si>
  <si>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</si>
  <si>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</si>
  <si>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</si>
  <si>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</si>
  <si>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</si>
  <si>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</si>
  <si>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</si>
  <si>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</si>
  <si>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</si>
  <si>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</si>
  <si>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</si>
  <si>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</si>
  <si>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</si>
  <si>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</si>
  <si>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</si>
  <si>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</si>
  <si>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</si>
  <si>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</si>
  <si>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</si>
  <si>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</si>
  <si>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</si>
  <si>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</si>
  <si>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</si>
  <si>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</si>
  <si>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</si>
  <si>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</si>
  <si>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</si>
  <si>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</si>
  <si>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</si>
  <si>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</si>
  <si>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</si>
  <si>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</si>
  <si>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</si>
  <si>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</si>
  <si>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</si>
  <si>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</si>
  <si>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</si>
  <si>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</si>
  <si>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</si>
  <si>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</si>
  <si>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</si>
  <si>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</si>
  <si>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</si>
  <si>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</si>
  <si>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</si>
  <si>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</si>
  <si>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</si>
  <si>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</si>
  <si>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</si>
  <si>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</si>
  <si>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</si>
  <si>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</si>
  <si>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</si>
  <si>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</si>
  <si>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</si>
  <si>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</si>
  <si>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</si>
  <si>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</si>
  <si>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</si>
  <si>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</si>
  <si>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</si>
  <si>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</si>
  <si>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</si>
  <si>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</si>
  <si>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</si>
  <si>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</si>
  <si>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</si>
  <si>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</si>
  <si>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</si>
  <si>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</si>
  <si>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</si>
  <si>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</si>
  <si>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</si>
  <si>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</si>
  <si>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</si>
  <si>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</si>
  <si>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</si>
  <si>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</si>
  <si>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</si>
  <si>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</si>
  <si>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</si>
  <si>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</si>
  <si>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</si>
  <si>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</si>
  <si>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</si>
  <si>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</si>
  <si>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</si>
  <si>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</si>
  <si>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</si>
  <si>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</si>
  <si>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</si>
  <si>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</si>
  <si>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</si>
  <si>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</si>
  <si>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</si>
  <si>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</si>
  <si>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</si>
  <si>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</si>
  <si>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</si>
  <si>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</si>
  <si>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</si>
  <si>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</si>
  <si>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</si>
  <si>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</si>
  <si>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</si>
  <si>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</si>
  <si>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</si>
  <si>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</si>
  <si>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</si>
  <si>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</si>
  <si>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</si>
  <si>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</si>
  <si>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</si>
  <si>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</si>
  <si>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</si>
  <si>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</si>
  <si>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</si>
  <si>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</si>
  <si>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</si>
  <si>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</si>
  <si>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</si>
  <si>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</si>
  <si>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</si>
  <si>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</si>
  <si>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</si>
  <si>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</si>
  <si>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</si>
  <si>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</si>
  <si>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</si>
  <si>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</si>
  <si>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</si>
  <si>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</si>
  <si>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</si>
  <si>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</si>
  <si>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</si>
  <si>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</si>
  <si>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</si>
  <si>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</si>
  <si>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</si>
  <si>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</si>
  <si>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</si>
  <si>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</si>
  <si>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</si>
  <si>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</si>
  <si>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</si>
  <si>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</si>
  <si>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</si>
  <si>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</si>
  <si>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</si>
  <si>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</si>
  <si>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</si>
  <si>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</si>
  <si>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</si>
  <si>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</si>
  <si>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</si>
  <si>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</si>
  <si>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</si>
  <si>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</si>
  <si>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</si>
  <si>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</si>
  <si>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</si>
  <si>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</si>
  <si>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</si>
  <si>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</si>
  <si>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</si>
  <si>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</si>
  <si>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</si>
  <si>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</si>
  <si>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</si>
  <si>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</si>
  <si>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</si>
  <si>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</si>
  <si>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</si>
  <si>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</si>
  <si>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</si>
  <si>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</si>
  <si>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</si>
  <si>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</si>
  <si>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</si>
  <si>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</si>
  <si>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</si>
  <si>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</si>
  <si>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</si>
  <si>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</si>
  <si>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</si>
  <si>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</si>
  <si>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</si>
  <si>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</si>
  <si>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</si>
  <si>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</si>
  <si>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</si>
  <si>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</si>
  <si>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</si>
  <si>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</si>
  <si>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</si>
  <si>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</si>
  <si>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</si>
  <si>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</si>
  <si>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</si>
  <si>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</si>
  <si>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</si>
  <si>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</si>
  <si>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</si>
  <si>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</si>
  <si>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</si>
  <si>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</si>
  <si>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</si>
  <si>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</si>
  <si>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</si>
  <si>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</si>
  <si>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</si>
  <si>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</si>
  <si>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</si>
  <si>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</si>
  <si>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</si>
  <si>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</si>
  <si>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</si>
  <si>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</si>
  <si>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</si>
  <si>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</si>
  <si>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</si>
  <si>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</si>
  <si>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</si>
  <si>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</si>
  <si>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</si>
  <si>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</si>
  <si>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</si>
  <si>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</si>
  <si>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</si>
  <si>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</si>
  <si>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</si>
  <si>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</si>
  <si>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</si>
  <si>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</si>
  <si>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</si>
  <si>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</si>
  <si>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</si>
  <si>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</si>
  <si>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</si>
  <si>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</si>
  <si>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</si>
  <si>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</si>
  <si>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</si>
  <si>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</si>
  <si>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</si>
  <si>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</si>
  <si>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</si>
  <si>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</si>
  <si>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</si>
  <si>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</si>
  <si>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</si>
  <si>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</si>
  <si>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</si>
  <si>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</si>
  <si>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</si>
  <si>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</si>
  <si>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</si>
  <si>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</si>
  <si>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</si>
  <si>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</si>
  <si>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</si>
  <si>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</si>
  <si>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</si>
  <si>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</si>
  <si>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</si>
  <si>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</si>
  <si>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</si>
  <si>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</si>
  <si>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</si>
  <si>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</si>
  <si>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</si>
  <si>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</si>
  <si>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</si>
  <si>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</si>
  <si>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</si>
  <si>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</si>
  <si>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</si>
  <si>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</si>
  <si>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</si>
  <si>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</si>
  <si>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</si>
  <si>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</si>
  <si>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</si>
  <si>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</si>
  <si>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</si>
  <si>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</si>
  <si>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</si>
  <si>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</si>
  <si>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</si>
  <si>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</si>
  <si>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</si>
  <si>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</si>
  <si>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</si>
  <si>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</si>
  <si>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</si>
  <si>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</si>
  <si>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</si>
  <si>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</si>
  <si>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</si>
  <si>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</si>
  <si>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</si>
  <si>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</si>
  <si>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</si>
  <si>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</si>
  <si>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</si>
  <si>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</si>
  <si>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</si>
  <si>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C1</t>
  </si>
  <si>
    <t>C2</t>
  </si>
  <si>
    <t>C3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</si>
  <si>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</si>
  <si>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</si>
  <si>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</si>
  <si>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</si>
  <si>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</si>
  <si>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</si>
  <si>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</si>
  <si>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</si>
  <si>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</si>
  <si>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</si>
  <si>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</si>
  <si>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</si>
  <si>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</si>
  <si>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</si>
  <si>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</si>
  <si>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</si>
  <si>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</si>
  <si>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</si>
  <si>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</si>
  <si>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</si>
  <si>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</si>
  <si>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</si>
  <si>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</si>
  <si>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</si>
  <si>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</si>
  <si>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</si>
  <si>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</si>
  <si>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</si>
  <si>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</si>
  <si>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</si>
  <si>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</si>
  <si>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</si>
  <si>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</si>
  <si>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</si>
  <si>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</si>
  <si>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</si>
  <si>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</si>
  <si>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</si>
  <si>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</si>
  <si>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</si>
  <si>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</si>
  <si>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</si>
  <si>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</si>
  <si>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</si>
  <si>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</si>
  <si>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</si>
  <si>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</si>
  <si>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</si>
  <si>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</si>
  <si>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</si>
  <si>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</si>
  <si>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</si>
  <si>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</si>
  <si>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</si>
  <si>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</si>
  <si>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</si>
  <si>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</si>
  <si>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</si>
  <si>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</si>
  <si>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</si>
  <si>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</si>
  <si>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</si>
  <si>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</si>
  <si>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</si>
  <si>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</si>
  <si>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</si>
  <si>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</si>
  <si>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</si>
  <si>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</si>
  <si>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</si>
  <si>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</si>
  <si>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</si>
  <si>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</si>
  <si>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</si>
  <si>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</si>
  <si>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</si>
  <si>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</si>
  <si>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</si>
  <si>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</si>
  <si>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</si>
  <si>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</si>
  <si>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</si>
  <si>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</si>
  <si>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</si>
  <si>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</si>
  <si>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</si>
  <si>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</si>
  <si>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</si>
  <si>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</si>
  <si>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</si>
  <si>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</si>
  <si>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</si>
  <si>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</si>
  <si>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</si>
  <si>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</si>
  <si>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</si>
  <si>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</si>
  <si>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</si>
  <si>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</si>
  <si>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</si>
  <si>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</si>
  <si>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</si>
  <si>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</si>
  <si>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</si>
  <si>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</si>
  <si>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</si>
  <si>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</si>
  <si>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</si>
  <si>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</si>
  <si>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</si>
  <si>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</si>
  <si>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</si>
  <si>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</si>
  <si>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</si>
  <si>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</si>
  <si>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</si>
  <si>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</si>
  <si>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</si>
  <si>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</si>
  <si>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</si>
  <si>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</si>
  <si>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</si>
  <si>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</si>
  <si>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</si>
  <si>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</si>
  <si>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</si>
  <si>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</si>
  <si>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</si>
  <si>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</si>
  <si>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</si>
  <si>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</si>
  <si>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</si>
  <si>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</si>
  <si>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</si>
  <si>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</si>
  <si>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009,010,011,012,013,014,015,016,058,059,060,061,062,063,064,065,066,097</t>
  </si>
  <si>
    <t>#607D8B</t>
  </si>
  <si>
    <t>TVSIM</t>
  </si>
  <si>
    <t>018,144,145,146,147,148</t>
  </si>
  <si>
    <t>#78909C</t>
  </si>
  <si>
    <t>ARAB</t>
  </si>
  <si>
    <t>142,143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</si>
</sst>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K121" workbookViewId="0">
      <selection activeCell="X11" sqref="X11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1383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1380</v>
      </c>
      <c r="V7" s="17" t="s">
        <v>1390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1385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1386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1387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1381</v>
      </c>
      <c r="V12" s="17" t="s">
        <v>1393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1382</v>
      </c>
      <c r="V13" s="17" t="s">
        <v>1394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1384</v>
      </c>
      <c r="V14" s="17" t="s">
        <v>1395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1391</v>
      </c>
      <c r="V15" s="17" t="s">
        <v>1392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1380</v>
      </c>
      <c r="E20" s="22" t="s">
        <v>16</v>
      </c>
      <c r="F20" s="18">
        <f t="shared" si="7"/>
        <v>2026</v>
      </c>
      <c r="G20" s="18">
        <f t="shared" si="3"/>
        <v>2</v>
      </c>
      <c r="H20" s="18">
        <f t="shared" si="4"/>
        <v>15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1380</v>
      </c>
      <c r="E21" s="22" t="s">
        <v>17</v>
      </c>
      <c r="F21" s="18">
        <f t="shared" si="7"/>
        <v>2027</v>
      </c>
      <c r="G21" s="18">
        <f t="shared" si="3"/>
        <v>2</v>
      </c>
      <c r="H21" s="18">
        <f t="shared" si="4"/>
        <v>7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1380</v>
      </c>
      <c r="E22" s="22" t="s">
        <v>18</v>
      </c>
      <c r="F22" s="18">
        <f t="shared" si="7"/>
        <v>2028</v>
      </c>
      <c r="G22" s="18">
        <f t="shared" si="3"/>
        <v>2</v>
      </c>
      <c r="H22" s="18">
        <f t="shared" si="4"/>
        <v>27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1380</v>
      </c>
      <c r="E23" s="22" t="s">
        <v>1389</v>
      </c>
      <c r="F23" s="18">
        <f t="shared" si="7"/>
        <v>2029</v>
      </c>
      <c r="G23" s="18">
        <f t="shared" si="3"/>
        <v>2</v>
      </c>
      <c r="H23" s="18">
        <f t="shared" si="4"/>
        <v>11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1380</v>
      </c>
      <c r="E24" s="22" t="s">
        <v>16</v>
      </c>
      <c r="F24" s="18">
        <f t="shared" si="7"/>
        <v>2030</v>
      </c>
      <c r="G24" s="18">
        <f t="shared" si="3"/>
        <v>3</v>
      </c>
      <c r="H24" s="18">
        <f t="shared" si="4"/>
        <v>3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1380</v>
      </c>
      <c r="E25" s="22" t="s">
        <v>17</v>
      </c>
      <c r="F25" s="18">
        <f t="shared" si="7"/>
        <v>2031</v>
      </c>
      <c r="G25" s="18">
        <f t="shared" si="3"/>
        <v>2</v>
      </c>
      <c r="H25" s="18">
        <f t="shared" si="4"/>
        <v>23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1380</v>
      </c>
      <c r="E26" s="22" t="s">
        <v>18</v>
      </c>
      <c r="F26" s="18">
        <f t="shared" si="7"/>
        <v>2032</v>
      </c>
      <c r="G26" s="18">
        <f t="shared" si="3"/>
        <v>2</v>
      </c>
      <c r="H26" s="18">
        <f t="shared" si="4"/>
        <v>8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1380</v>
      </c>
      <c r="E27" s="22" t="s">
        <v>1389</v>
      </c>
      <c r="F27" s="18">
        <f t="shared" si="7"/>
        <v>2033</v>
      </c>
      <c r="G27" s="18">
        <f t="shared" si="3"/>
        <v>2</v>
      </c>
      <c r="H27" s="18">
        <f t="shared" si="4"/>
        <v>27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1380</v>
      </c>
      <c r="E28" s="22" t="s">
        <v>16</v>
      </c>
      <c r="F28" s="18">
        <f t="shared" si="7"/>
        <v>2034</v>
      </c>
      <c r="G28" s="18">
        <f t="shared" si="3"/>
        <v>2</v>
      </c>
      <c r="H28" s="18">
        <f t="shared" si="4"/>
        <v>19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1380</v>
      </c>
      <c r="E29" s="22" t="s">
        <v>17</v>
      </c>
      <c r="F29" s="18">
        <f t="shared" si="7"/>
        <v>2035</v>
      </c>
      <c r="G29" s="18">
        <f t="shared" si="3"/>
        <v>2</v>
      </c>
      <c r="H29" s="18">
        <f t="shared" si="4"/>
        <v>4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1380</v>
      </c>
      <c r="E30" s="22" t="s">
        <v>18</v>
      </c>
      <c r="F30" s="18">
        <f t="shared" si="7"/>
        <v>2036</v>
      </c>
      <c r="G30" s="18">
        <f t="shared" si="3"/>
        <v>2</v>
      </c>
      <c r="H30" s="18">
        <f t="shared" si="4"/>
        <v>24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1380</v>
      </c>
      <c r="E31" s="22" t="s">
        <v>1389</v>
      </c>
      <c r="F31" s="18">
        <f t="shared" si="7"/>
        <v>2037</v>
      </c>
      <c r="G31" s="18">
        <f t="shared" si="3"/>
        <v>2</v>
      </c>
      <c r="H31" s="18">
        <f t="shared" si="4"/>
        <v>15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1380</v>
      </c>
      <c r="E32" s="22" t="s">
        <v>19</v>
      </c>
      <c r="F32" s="18">
        <f t="shared" si="7"/>
        <v>2038</v>
      </c>
      <c r="G32" s="18">
        <f t="shared" si="3"/>
        <v>3</v>
      </c>
      <c r="H32" s="18">
        <f t="shared" si="4"/>
        <v>7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1385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1385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1385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1385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1385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1385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1385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1385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1385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1385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1385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1385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1385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1386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1386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1386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1386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1386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1386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1386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1386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1386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1386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1386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1386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1386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1383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1383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1383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1383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1383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1383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1383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1383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1383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1383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1383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1383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1383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1387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1387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1387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1387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1387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1387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1387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1387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1387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1387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1387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1387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1387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1380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1380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1380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1380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1380</v>
      </c>
      <c r="E89" s="22" t="s">
        <v>1389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1380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1380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1380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1380</v>
      </c>
      <c r="E93" s="22" t="s">
        <v>1389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1380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1380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1380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1380</v>
      </c>
      <c r="E97" s="22" t="s">
        <v>1389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1381</v>
      </c>
      <c r="E98" s="22" t="s">
        <v>1389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1381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1381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1381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1381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1381</v>
      </c>
      <c r="E103" s="22" t="s">
        <v>1389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1381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1381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1381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1381</v>
      </c>
      <c r="E107" s="22" t="s">
        <v>1389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1381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1381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1381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1384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1384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1384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1384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1384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1384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1384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1384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1384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1384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1384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1384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1384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1391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56" si="33">IF(D137="","",VLOOKUP($D137,$U$5:$AA$30,I$4,0))</f>
        <v>GUITAR</v>
      </c>
      <c r="J137" s="18" t="str">
        <f t="shared" ref="J137:J156" si="34">IF(D137="","",VLOOKUP($D137,$U$5:$AA$30,J$4,0))</f>
        <v>Warm Sunset</v>
      </c>
      <c r="K137" s="18" t="str">
        <f t="shared" ref="K137:K156" si="35">IF(D137="","",VLOOKUP($D137,$U$5:$AA$30,K$4,0))</f>
        <v>Radiant Glow</v>
      </c>
      <c r="L137" s="18">
        <f t="shared" ref="L137:L156" si="36">IF(ISNA(VLOOKUP($D137,$U$5:$AA$30,L$4,0)),"",INT(VLOOKUP($D137,$U$5:$AA$30,L$4,0)*(1+$L$2*SIN(ROW($D137)))))</f>
        <v>171</v>
      </c>
      <c r="M137" s="19" t="str">
        <f t="shared" ref="M137:M156" si="37">IF(D137="","",VLOOKUP($D137,$U$5:$AA$30,M$4,0)&amp;IF(E137="","",", "&amp;E137))</f>
        <v>Suikerfeest</v>
      </c>
    </row>
    <row r="138" spans="4:13" x14ac:dyDescent="0.25">
      <c r="D138" s="21" t="s">
        <v>1391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1391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1391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1391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1391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1391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1391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1391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1391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1391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1391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1391</v>
      </c>
      <c r="E149" s="23"/>
      <c r="F149" s="18">
        <f t="shared" ref="F149:F156" si="40">IF(F148=$F$3,$F$2,IF(D149=D148,F148+1,$F$2))</f>
        <v>2038</v>
      </c>
      <c r="G149" s="18">
        <f t="shared" ref="G149:G156" si="41">FeestMaand(D149,F149)</f>
        <v>10</v>
      </c>
      <c r="H149" s="18">
        <f t="shared" ref="H149:H156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/>
      <c r="E150" s="23"/>
      <c r="F150" s="18">
        <f t="shared" si="40"/>
        <v>2026</v>
      </c>
      <c r="G150" s="18">
        <f t="shared" si="41"/>
        <v>0</v>
      </c>
      <c r="H150" s="18">
        <f t="shared" si="42"/>
        <v>0</v>
      </c>
      <c r="I150" s="18" t="str">
        <f t="shared" si="33"/>
        <v/>
      </c>
      <c r="J150" s="18" t="str">
        <f t="shared" si="34"/>
        <v/>
      </c>
      <c r="K150" s="18" t="str">
        <f t="shared" si="35"/>
        <v/>
      </c>
      <c r="L150" s="18" t="str">
        <f t="shared" si="36"/>
        <v/>
      </c>
      <c r="M150" s="19" t="str">
        <f t="shared" si="37"/>
        <v/>
      </c>
    </row>
    <row r="151" spans="4:13" x14ac:dyDescent="0.25">
      <c r="D151" s="21"/>
      <c r="E151" s="23"/>
      <c r="F151" s="18">
        <f t="shared" si="40"/>
        <v>2027</v>
      </c>
      <c r="G151" s="18">
        <f t="shared" si="41"/>
        <v>0</v>
      </c>
      <c r="H151" s="18">
        <f t="shared" si="42"/>
        <v>0</v>
      </c>
      <c r="I151" s="18" t="str">
        <f t="shared" si="33"/>
        <v/>
      </c>
      <c r="J151" s="18" t="str">
        <f t="shared" si="34"/>
        <v/>
      </c>
      <c r="K151" s="18" t="str">
        <f t="shared" si="35"/>
        <v/>
      </c>
      <c r="L151" s="18" t="str">
        <f t="shared" si="36"/>
        <v/>
      </c>
      <c r="M151" s="19" t="str">
        <f t="shared" si="37"/>
        <v/>
      </c>
    </row>
    <row r="152" spans="4:13" x14ac:dyDescent="0.25">
      <c r="D152" s="21"/>
      <c r="E152" s="23"/>
      <c r="F152" s="18">
        <f t="shared" si="40"/>
        <v>2028</v>
      </c>
      <c r="G152" s="18">
        <f t="shared" si="41"/>
        <v>0</v>
      </c>
      <c r="H152" s="18">
        <f t="shared" si="42"/>
        <v>0</v>
      </c>
      <c r="I152" s="18" t="str">
        <f t="shared" si="33"/>
        <v/>
      </c>
      <c r="J152" s="18" t="str">
        <f t="shared" si="34"/>
        <v/>
      </c>
      <c r="K152" s="18" t="str">
        <f t="shared" si="35"/>
        <v/>
      </c>
      <c r="L152" s="18" t="str">
        <f t="shared" si="36"/>
        <v/>
      </c>
      <c r="M152" s="19" t="str">
        <f t="shared" si="37"/>
        <v/>
      </c>
    </row>
    <row r="153" spans="4:13" x14ac:dyDescent="0.25">
      <c r="D153" s="21"/>
      <c r="E153" s="23"/>
      <c r="F153" s="18">
        <f t="shared" si="40"/>
        <v>2029</v>
      </c>
      <c r="G153" s="18">
        <f t="shared" si="41"/>
        <v>0</v>
      </c>
      <c r="H153" s="18">
        <f t="shared" si="42"/>
        <v>0</v>
      </c>
      <c r="I153" s="18" t="str">
        <f t="shared" si="33"/>
        <v/>
      </c>
      <c r="J153" s="18" t="str">
        <f t="shared" si="34"/>
        <v/>
      </c>
      <c r="K153" s="18" t="str">
        <f t="shared" si="35"/>
        <v/>
      </c>
      <c r="L153" s="18" t="str">
        <f t="shared" si="36"/>
        <v/>
      </c>
      <c r="M153" s="19" t="str">
        <f t="shared" si="37"/>
        <v/>
      </c>
    </row>
    <row r="154" spans="4:13" x14ac:dyDescent="0.25">
      <c r="D154" s="21"/>
      <c r="E154" s="23"/>
      <c r="F154" s="18">
        <f t="shared" si="40"/>
        <v>2030</v>
      </c>
      <c r="G154" s="18">
        <f t="shared" si="41"/>
        <v>0</v>
      </c>
      <c r="H154" s="18">
        <f t="shared" si="42"/>
        <v>0</v>
      </c>
      <c r="I154" s="18" t="str">
        <f t="shared" si="33"/>
        <v/>
      </c>
      <c r="J154" s="18" t="str">
        <f t="shared" si="34"/>
        <v/>
      </c>
      <c r="K154" s="18" t="str">
        <f t="shared" si="35"/>
        <v/>
      </c>
      <c r="L154" s="18" t="str">
        <f t="shared" si="36"/>
        <v/>
      </c>
      <c r="M154" s="19" t="str">
        <f t="shared" si="37"/>
        <v/>
      </c>
    </row>
    <row r="155" spans="4:13" x14ac:dyDescent="0.25">
      <c r="D155" s="21"/>
      <c r="E155" s="23"/>
      <c r="F155" s="18">
        <f t="shared" si="40"/>
        <v>2031</v>
      </c>
      <c r="G155" s="18">
        <f t="shared" si="41"/>
        <v>0</v>
      </c>
      <c r="H155" s="18">
        <f t="shared" si="42"/>
        <v>0</v>
      </c>
      <c r="I155" s="18" t="str">
        <f t="shared" si="33"/>
        <v/>
      </c>
      <c r="J155" s="18" t="str">
        <f t="shared" si="34"/>
        <v/>
      </c>
      <c r="K155" s="18" t="str">
        <f t="shared" si="35"/>
        <v/>
      </c>
      <c r="L155" s="18" t="str">
        <f t="shared" si="36"/>
        <v/>
      </c>
      <c r="M155" s="19" t="str">
        <f t="shared" si="37"/>
        <v/>
      </c>
    </row>
    <row r="156" spans="4:13" x14ac:dyDescent="0.25">
      <c r="D156" s="21"/>
      <c r="E156" s="23"/>
      <c r="F156" s="18">
        <f t="shared" si="40"/>
        <v>2032</v>
      </c>
      <c r="G156" s="18">
        <f t="shared" si="41"/>
        <v>0</v>
      </c>
      <c r="H156" s="18">
        <f t="shared" si="42"/>
        <v>0</v>
      </c>
      <c r="I156" s="18" t="str">
        <f t="shared" si="33"/>
        <v/>
      </c>
      <c r="J156" s="18" t="str">
        <f t="shared" si="34"/>
        <v/>
      </c>
      <c r="K156" s="18" t="str">
        <f t="shared" si="35"/>
        <v/>
      </c>
      <c r="L156" s="18" t="str">
        <f t="shared" si="36"/>
        <v/>
      </c>
      <c r="M156" s="19" t="str">
        <f t="shared" si="37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1415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1417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1415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1416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1396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1417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1415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1415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1415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1415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1415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1415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1415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1415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1415</v>
      </c>
      <c r="Z27">
        <v>88</v>
      </c>
    </row>
    <row r="28" spans="4:26" x14ac:dyDescent="0.25">
      <c r="D28" s="10" t="s">
        <v>1375</v>
      </c>
      <c r="E28" s="10" t="s">
        <v>1388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1415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1415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1415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topLeftCell="Y7" workbookViewId="0">
      <selection activeCell="AM21" sqref="AM21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46093.610673842595</v>
      </c>
      <c r="V3">
        <f ca="1">YEAR(U3)</f>
        <v>2026</v>
      </c>
      <c r="W3">
        <f ca="1">MONTH(U3)</f>
        <v>3</v>
      </c>
      <c r="X3">
        <f ca="1">DAY(U3)</f>
        <v>12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46094.610673842595</v>
      </c>
      <c r="V4">
        <f t="shared" ref="V4:V67" ca="1" si="12">YEAR(U4)</f>
        <v>2026</v>
      </c>
      <c r="W4">
        <f t="shared" ref="W4:W67" ca="1" si="13">MONTH(U4)</f>
        <v>3</v>
      </c>
      <c r="X4">
        <f t="shared" ref="X4:X67" ca="1" si="14">DAY(U4)</f>
        <v>13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46095.610673842595</v>
      </c>
      <c r="V5">
        <f t="shared" ca="1" si="12"/>
        <v>2026</v>
      </c>
      <c r="W5">
        <f t="shared" ca="1" si="13"/>
        <v>3</v>
      </c>
      <c r="X5">
        <f t="shared" ca="1" si="14"/>
        <v>14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1500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46096.610673842595</v>
      </c>
      <c r="V6">
        <f t="shared" ca="1" si="12"/>
        <v>2026</v>
      </c>
      <c r="W6">
        <f t="shared" ca="1" si="13"/>
        <v>3</v>
      </c>
      <c r="X6">
        <f t="shared" ca="1" si="14"/>
        <v>15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1396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46097.610673842595</v>
      </c>
      <c r="V7">
        <f t="shared" ca="1" si="12"/>
        <v>2026</v>
      </c>
      <c r="W7">
        <f t="shared" ca="1" si="13"/>
        <v>3</v>
      </c>
      <c r="X7">
        <f t="shared" ca="1" si="14"/>
        <v>16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1501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46098.610673842595</v>
      </c>
      <c r="V8">
        <f t="shared" ca="1" si="12"/>
        <v>2026</v>
      </c>
      <c r="W8">
        <f t="shared" ca="1" si="13"/>
        <v>3</v>
      </c>
      <c r="X8">
        <f t="shared" ca="1" si="14"/>
        <v>17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1502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46099.610673842595</v>
      </c>
      <c r="V9">
        <f t="shared" ca="1" si="12"/>
        <v>2026</v>
      </c>
      <c r="W9">
        <f t="shared" ca="1" si="13"/>
        <v>3</v>
      </c>
      <c r="X9">
        <f t="shared" ca="1" si="14"/>
        <v>18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1503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46100.610673842595</v>
      </c>
      <c r="V10">
        <f t="shared" ca="1" si="12"/>
        <v>2026</v>
      </c>
      <c r="W10">
        <f t="shared" ca="1" si="13"/>
        <v>3</v>
      </c>
      <c r="X10">
        <f t="shared" ca="1" si="14"/>
        <v>19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46101.610673842595</v>
      </c>
      <c r="V11">
        <f t="shared" ca="1" si="12"/>
        <v>2026</v>
      </c>
      <c r="W11">
        <f t="shared" ca="1" si="13"/>
        <v>3</v>
      </c>
      <c r="X11">
        <f t="shared" ca="1" si="14"/>
        <v>20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46102.610673842595</v>
      </c>
      <c r="V12">
        <f t="shared" ca="1" si="12"/>
        <v>2026</v>
      </c>
      <c r="W12">
        <f t="shared" ca="1" si="13"/>
        <v>3</v>
      </c>
      <c r="X12">
        <f t="shared" ca="1" si="14"/>
        <v>21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1417</v>
      </c>
      <c r="AO12" s="1">
        <v>95</v>
      </c>
      <c r="AP12" t="s">
        <v>1504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46103.610673842595</v>
      </c>
      <c r="V13">
        <f t="shared" ca="1" si="12"/>
        <v>2026</v>
      </c>
      <c r="W13">
        <f t="shared" ca="1" si="13"/>
        <v>3</v>
      </c>
      <c r="X13">
        <f t="shared" ca="1" si="14"/>
        <v>22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1392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46104.610673842595</v>
      </c>
      <c r="V14">
        <f t="shared" ca="1" si="12"/>
        <v>2026</v>
      </c>
      <c r="W14">
        <f t="shared" ca="1" si="13"/>
        <v>3</v>
      </c>
      <c r="X14">
        <f t="shared" ca="1" si="14"/>
        <v>23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46105.610673842595</v>
      </c>
      <c r="V15">
        <f t="shared" ca="1" si="12"/>
        <v>2026</v>
      </c>
      <c r="W15">
        <f t="shared" ca="1" si="13"/>
        <v>3</v>
      </c>
      <c r="X15">
        <f t="shared" ca="1" si="14"/>
        <v>24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46106.610673842595</v>
      </c>
      <c r="V16">
        <f t="shared" ca="1" si="12"/>
        <v>2026</v>
      </c>
      <c r="W16">
        <f t="shared" ca="1" si="13"/>
        <v>3</v>
      </c>
      <c r="X16">
        <f t="shared" ca="1" si="14"/>
        <v>25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46107.610673842595</v>
      </c>
      <c r="V17">
        <f t="shared" ca="1" si="12"/>
        <v>2026</v>
      </c>
      <c r="W17">
        <f t="shared" ca="1" si="13"/>
        <v>3</v>
      </c>
      <c r="X17">
        <f t="shared" ca="1" si="14"/>
        <v>26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46108.610673842595</v>
      </c>
      <c r="V18">
        <f t="shared" ca="1" si="12"/>
        <v>2026</v>
      </c>
      <c r="W18">
        <f t="shared" ca="1" si="13"/>
        <v>3</v>
      </c>
      <c r="X18">
        <f t="shared" ca="1" si="14"/>
        <v>27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1379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46109.610673842595</v>
      </c>
      <c r="V19">
        <f t="shared" ca="1" si="12"/>
        <v>2026</v>
      </c>
      <c r="W19">
        <f t="shared" ca="1" si="13"/>
        <v>3</v>
      </c>
      <c r="X19">
        <f t="shared" ca="1" si="14"/>
        <v>28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46110.610673842595</v>
      </c>
      <c r="V20">
        <f t="shared" ca="1" si="12"/>
        <v>2026</v>
      </c>
      <c r="W20">
        <f t="shared" ca="1" si="13"/>
        <v>3</v>
      </c>
      <c r="X20">
        <f t="shared" ca="1" si="14"/>
        <v>29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46111.610673842595</v>
      </c>
      <c r="V21">
        <f t="shared" ca="1" si="12"/>
        <v>2026</v>
      </c>
      <c r="W21">
        <f t="shared" ca="1" si="13"/>
        <v>3</v>
      </c>
      <c r="X21">
        <f t="shared" ca="1" si="14"/>
        <v>30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1366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46112.610673842595</v>
      </c>
      <c r="V22">
        <f t="shared" ca="1" si="12"/>
        <v>2026</v>
      </c>
      <c r="W22">
        <f t="shared" ca="1" si="13"/>
        <v>3</v>
      </c>
      <c r="X22">
        <f t="shared" ca="1" si="14"/>
        <v>31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46113.610673842595</v>
      </c>
      <c r="V23">
        <f t="shared" ca="1" si="12"/>
        <v>2026</v>
      </c>
      <c r="W23">
        <f t="shared" ca="1" si="13"/>
        <v>4</v>
      </c>
      <c r="X23">
        <f t="shared" ca="1" si="14"/>
        <v>1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46114.610673842595</v>
      </c>
      <c r="V24">
        <f t="shared" ca="1" si="12"/>
        <v>2026</v>
      </c>
      <c r="W24">
        <f t="shared" ca="1" si="13"/>
        <v>4</v>
      </c>
      <c r="X24">
        <f t="shared" ca="1" si="14"/>
        <v>2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46115.610673842595</v>
      </c>
      <c r="V25">
        <f t="shared" ca="1" si="12"/>
        <v>2026</v>
      </c>
      <c r="W25">
        <f t="shared" ca="1" si="13"/>
        <v>4</v>
      </c>
      <c r="X25">
        <f t="shared" ca="1" si="14"/>
        <v>3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46116.610673842595</v>
      </c>
      <c r="V26">
        <f t="shared" ca="1" si="12"/>
        <v>2026</v>
      </c>
      <c r="W26">
        <f t="shared" ca="1" si="13"/>
        <v>4</v>
      </c>
      <c r="X26">
        <f t="shared" ca="1" si="14"/>
        <v>4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1505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46117.610673842595</v>
      </c>
      <c r="V27">
        <f t="shared" ca="1" si="12"/>
        <v>2026</v>
      </c>
      <c r="W27">
        <f t="shared" ca="1" si="13"/>
        <v>4</v>
      </c>
      <c r="X27">
        <f t="shared" ca="1" si="14"/>
        <v>5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46118.610673842595</v>
      </c>
      <c r="V28">
        <f t="shared" ca="1" si="12"/>
        <v>2026</v>
      </c>
      <c r="W28">
        <f t="shared" ca="1" si="13"/>
        <v>4</v>
      </c>
      <c r="X28">
        <f t="shared" ca="1" si="14"/>
        <v>6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1416</v>
      </c>
      <c r="AO28" s="1">
        <v>61</v>
      </c>
      <c r="AP28" t="s">
        <v>1372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46119.610673842595</v>
      </c>
      <c r="V29">
        <f t="shared" ca="1" si="12"/>
        <v>2026</v>
      </c>
      <c r="W29">
        <f t="shared" ca="1" si="13"/>
        <v>4</v>
      </c>
      <c r="X29">
        <f t="shared" ca="1" si="14"/>
        <v>7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46120.610673842595</v>
      </c>
      <c r="V30">
        <f t="shared" ca="1" si="12"/>
        <v>2026</v>
      </c>
      <c r="W30">
        <f t="shared" ca="1" si="13"/>
        <v>4</v>
      </c>
      <c r="X30">
        <f t="shared" ca="1" si="14"/>
        <v>8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46121.610673842595</v>
      </c>
      <c r="V31">
        <f t="shared" ca="1" si="12"/>
        <v>2026</v>
      </c>
      <c r="W31">
        <f t="shared" ca="1" si="13"/>
        <v>4</v>
      </c>
      <c r="X31">
        <f t="shared" ca="1" si="14"/>
        <v>9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46122.610673842595</v>
      </c>
      <c r="V32">
        <f t="shared" ca="1" si="12"/>
        <v>2026</v>
      </c>
      <c r="W32">
        <f t="shared" ca="1" si="13"/>
        <v>4</v>
      </c>
      <c r="X32">
        <f t="shared" ca="1" si="14"/>
        <v>10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46123.610673842595</v>
      </c>
      <c r="V33">
        <f t="shared" ca="1" si="12"/>
        <v>2026</v>
      </c>
      <c r="W33">
        <f t="shared" ca="1" si="13"/>
        <v>4</v>
      </c>
      <c r="X33">
        <f t="shared" ca="1" si="14"/>
        <v>11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46124.610673842595</v>
      </c>
      <c r="V34">
        <f t="shared" ca="1" si="12"/>
        <v>2026</v>
      </c>
      <c r="W34">
        <f t="shared" ca="1" si="13"/>
        <v>4</v>
      </c>
      <c r="X34">
        <f t="shared" ca="1" si="14"/>
        <v>12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46125.610673842595</v>
      </c>
      <c r="V35">
        <f t="shared" ca="1" si="12"/>
        <v>2026</v>
      </c>
      <c r="W35">
        <f t="shared" ca="1" si="13"/>
        <v>4</v>
      </c>
      <c r="X35">
        <f t="shared" ca="1" si="14"/>
        <v>13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46126.610673842595</v>
      </c>
      <c r="V36">
        <f t="shared" ca="1" si="12"/>
        <v>2026</v>
      </c>
      <c r="W36">
        <f t="shared" ca="1" si="13"/>
        <v>4</v>
      </c>
      <c r="X36">
        <f t="shared" ca="1" si="14"/>
        <v>14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46127.610673842595</v>
      </c>
      <c r="V37">
        <f t="shared" ca="1" si="12"/>
        <v>2026</v>
      </c>
      <c r="W37">
        <f t="shared" ca="1" si="13"/>
        <v>4</v>
      </c>
      <c r="X37">
        <f t="shared" ca="1" si="14"/>
        <v>15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46128.610673842595</v>
      </c>
      <c r="V38">
        <f t="shared" ca="1" si="12"/>
        <v>2026</v>
      </c>
      <c r="W38">
        <f t="shared" ca="1" si="13"/>
        <v>4</v>
      </c>
      <c r="X38">
        <f t="shared" ca="1" si="14"/>
        <v>16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1415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46129.610673842595</v>
      </c>
      <c r="V39">
        <f t="shared" ca="1" si="12"/>
        <v>2026</v>
      </c>
      <c r="W39">
        <f t="shared" ca="1" si="13"/>
        <v>4</v>
      </c>
      <c r="X39">
        <f t="shared" ca="1" si="14"/>
        <v>17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46130.610673842595</v>
      </c>
      <c r="V40">
        <f t="shared" ca="1" si="12"/>
        <v>2026</v>
      </c>
      <c r="W40">
        <f t="shared" ca="1" si="13"/>
        <v>4</v>
      </c>
      <c r="X40">
        <f t="shared" ca="1" si="14"/>
        <v>18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1415</v>
      </c>
      <c r="AO40" s="1">
        <v>77</v>
      </c>
      <c r="AP40" t="s">
        <v>1370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46131.610673842595</v>
      </c>
      <c r="V41">
        <f t="shared" ca="1" si="12"/>
        <v>2026</v>
      </c>
      <c r="W41">
        <f t="shared" ca="1" si="13"/>
        <v>4</v>
      </c>
      <c r="X41">
        <f t="shared" ca="1" si="14"/>
        <v>19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46132.610673842595</v>
      </c>
      <c r="V42">
        <f t="shared" ca="1" si="12"/>
        <v>2026</v>
      </c>
      <c r="W42">
        <f t="shared" ca="1" si="13"/>
        <v>4</v>
      </c>
      <c r="X42">
        <f t="shared" ca="1" si="14"/>
        <v>20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1500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46133.610673842595</v>
      </c>
      <c r="V43">
        <f t="shared" ca="1" si="12"/>
        <v>2026</v>
      </c>
      <c r="W43">
        <f t="shared" ca="1" si="13"/>
        <v>4</v>
      </c>
      <c r="X43">
        <f t="shared" ca="1" si="14"/>
        <v>21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1506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46134.610673842595</v>
      </c>
      <c r="V44">
        <f t="shared" ca="1" si="12"/>
        <v>2026</v>
      </c>
      <c r="W44">
        <f t="shared" ca="1" si="13"/>
        <v>4</v>
      </c>
      <c r="X44">
        <f t="shared" ca="1" si="14"/>
        <v>22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1502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46135.610673842595</v>
      </c>
      <c r="V45">
        <f t="shared" ca="1" si="12"/>
        <v>2026</v>
      </c>
      <c r="W45">
        <f t="shared" ca="1" si="13"/>
        <v>4</v>
      </c>
      <c r="X45">
        <f t="shared" ca="1" si="14"/>
        <v>23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1507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46136.610673842595</v>
      </c>
      <c r="V46">
        <f t="shared" ca="1" si="12"/>
        <v>2026</v>
      </c>
      <c r="W46">
        <f t="shared" ca="1" si="13"/>
        <v>4</v>
      </c>
      <c r="X46">
        <f t="shared" ca="1" si="14"/>
        <v>24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46137.610673842595</v>
      </c>
      <c r="V47">
        <f t="shared" ca="1" si="12"/>
        <v>2026</v>
      </c>
      <c r="W47">
        <f t="shared" ca="1" si="13"/>
        <v>4</v>
      </c>
      <c r="X47">
        <f t="shared" ca="1" si="14"/>
        <v>25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1396</v>
      </c>
      <c r="AN47" t="s">
        <v>258</v>
      </c>
      <c r="AO47" s="1">
        <v>70</v>
      </c>
      <c r="AP47" t="s">
        <v>1374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46138.610673842595</v>
      </c>
      <c r="V48">
        <f t="shared" ca="1" si="12"/>
        <v>2026</v>
      </c>
      <c r="W48">
        <f t="shared" ca="1" si="13"/>
        <v>4</v>
      </c>
      <c r="X48">
        <f t="shared" ca="1" si="14"/>
        <v>26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46139.610673842595</v>
      </c>
      <c r="V49">
        <f t="shared" ca="1" si="12"/>
        <v>2026</v>
      </c>
      <c r="W49">
        <f t="shared" ca="1" si="13"/>
        <v>4</v>
      </c>
      <c r="X49">
        <f t="shared" ca="1" si="14"/>
        <v>27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1392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46140.610673842595</v>
      </c>
      <c r="V50">
        <f t="shared" ca="1" si="12"/>
        <v>2026</v>
      </c>
      <c r="W50">
        <f t="shared" ca="1" si="13"/>
        <v>4</v>
      </c>
      <c r="X50">
        <f t="shared" ca="1" si="14"/>
        <v>28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1417</v>
      </c>
      <c r="AO50" s="1">
        <v>95</v>
      </c>
      <c r="AP50" t="s">
        <v>1504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46141.610673842595</v>
      </c>
      <c r="V51">
        <f t="shared" ca="1" si="12"/>
        <v>2026</v>
      </c>
      <c r="W51">
        <f t="shared" ca="1" si="13"/>
        <v>4</v>
      </c>
      <c r="X51">
        <f t="shared" ca="1" si="14"/>
        <v>29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46142.610673842595</v>
      </c>
      <c r="V52">
        <f t="shared" ca="1" si="12"/>
        <v>2026</v>
      </c>
      <c r="W52">
        <f t="shared" ca="1" si="13"/>
        <v>4</v>
      </c>
      <c r="X52">
        <f t="shared" ca="1" si="14"/>
        <v>30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46143.610673842595</v>
      </c>
      <c r="V53">
        <f t="shared" ca="1" si="12"/>
        <v>2026</v>
      </c>
      <c r="W53">
        <f t="shared" ca="1" si="13"/>
        <v>5</v>
      </c>
      <c r="X53">
        <f t="shared" ca="1" si="14"/>
        <v>1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46144.610673842595</v>
      </c>
      <c r="V54">
        <f t="shared" ca="1" si="12"/>
        <v>2026</v>
      </c>
      <c r="W54">
        <f t="shared" ca="1" si="13"/>
        <v>5</v>
      </c>
      <c r="X54">
        <f t="shared" ca="1" si="14"/>
        <v>2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1508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46145.610673842595</v>
      </c>
      <c r="V55">
        <f t="shared" ca="1" si="12"/>
        <v>2026</v>
      </c>
      <c r="W55">
        <f t="shared" ca="1" si="13"/>
        <v>5</v>
      </c>
      <c r="X55">
        <f t="shared" ca="1" si="14"/>
        <v>3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46146.610673842595</v>
      </c>
      <c r="V56">
        <f t="shared" ca="1" si="12"/>
        <v>2026</v>
      </c>
      <c r="W56">
        <f t="shared" ca="1" si="13"/>
        <v>5</v>
      </c>
      <c r="X56">
        <f t="shared" ca="1" si="14"/>
        <v>4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46147.610673842595</v>
      </c>
      <c r="V57">
        <f t="shared" ca="1" si="12"/>
        <v>2026</v>
      </c>
      <c r="W57">
        <f t="shared" ca="1" si="13"/>
        <v>5</v>
      </c>
      <c r="X57">
        <f t="shared" ca="1" si="14"/>
        <v>5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46148.610673842595</v>
      </c>
      <c r="V58">
        <f t="shared" ca="1" si="12"/>
        <v>2026</v>
      </c>
      <c r="W58">
        <f t="shared" ca="1" si="13"/>
        <v>5</v>
      </c>
      <c r="X58">
        <f t="shared" ca="1" si="14"/>
        <v>6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46149.610673842595</v>
      </c>
      <c r="V59">
        <f t="shared" ca="1" si="12"/>
        <v>2026</v>
      </c>
      <c r="W59">
        <f t="shared" ca="1" si="13"/>
        <v>5</v>
      </c>
      <c r="X59">
        <f t="shared" ca="1" si="14"/>
        <v>7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46150.610673842595</v>
      </c>
      <c r="V60">
        <f t="shared" ca="1" si="12"/>
        <v>2026</v>
      </c>
      <c r="W60">
        <f t="shared" ca="1" si="13"/>
        <v>5</v>
      </c>
      <c r="X60">
        <f t="shared" ca="1" si="14"/>
        <v>8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46151.610673842595</v>
      </c>
      <c r="V61">
        <f t="shared" ca="1" si="12"/>
        <v>2026</v>
      </c>
      <c r="W61">
        <f t="shared" ca="1" si="13"/>
        <v>5</v>
      </c>
      <c r="X61">
        <f t="shared" ca="1" si="14"/>
        <v>9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46152.610673842595</v>
      </c>
      <c r="V62">
        <f t="shared" ca="1" si="12"/>
        <v>2026</v>
      </c>
      <c r="W62">
        <f t="shared" ca="1" si="13"/>
        <v>5</v>
      </c>
      <c r="X62">
        <f t="shared" ca="1" si="14"/>
        <v>10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46153.610673842595</v>
      </c>
      <c r="V63">
        <f t="shared" ca="1" si="12"/>
        <v>2026</v>
      </c>
      <c r="W63">
        <f t="shared" ca="1" si="13"/>
        <v>5</v>
      </c>
      <c r="X63">
        <f t="shared" ca="1" si="14"/>
        <v>11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1509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46154.610673842595</v>
      </c>
      <c r="V64">
        <f t="shared" ca="1" si="12"/>
        <v>2026</v>
      </c>
      <c r="W64">
        <f t="shared" ca="1" si="13"/>
        <v>5</v>
      </c>
      <c r="X64">
        <f t="shared" ca="1" si="14"/>
        <v>12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46155.610673842595</v>
      </c>
      <c r="V65">
        <f t="shared" ca="1" si="12"/>
        <v>2026</v>
      </c>
      <c r="W65">
        <f t="shared" ca="1" si="13"/>
        <v>5</v>
      </c>
      <c r="X65">
        <f t="shared" ca="1" si="14"/>
        <v>13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1416</v>
      </c>
      <c r="AO65" s="1">
        <v>61</v>
      </c>
      <c r="AP65" t="s">
        <v>1372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46156.610673842595</v>
      </c>
      <c r="V66">
        <f t="shared" ca="1" si="12"/>
        <v>2026</v>
      </c>
      <c r="W66">
        <f t="shared" ca="1" si="13"/>
        <v>5</v>
      </c>
      <c r="X66">
        <f t="shared" ca="1" si="14"/>
        <v>14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46157.610673842595</v>
      </c>
      <c r="V67">
        <f t="shared" ca="1" si="12"/>
        <v>2026</v>
      </c>
      <c r="W67">
        <f t="shared" ca="1" si="13"/>
        <v>5</v>
      </c>
      <c r="X67">
        <f t="shared" ca="1" si="14"/>
        <v>15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46158.610673842595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16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46159.610673842595</v>
      </c>
      <c r="V69">
        <f t="shared" ca="1" si="34"/>
        <v>2026</v>
      </c>
      <c r="W69">
        <f t="shared" ca="1" si="35"/>
        <v>5</v>
      </c>
      <c r="X69">
        <f t="shared" ca="1" si="36"/>
        <v>17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46160.610673842595</v>
      </c>
      <c r="V70">
        <f t="shared" ca="1" si="34"/>
        <v>2026</v>
      </c>
      <c r="W70">
        <f t="shared" ca="1" si="35"/>
        <v>5</v>
      </c>
      <c r="X70">
        <f t="shared" ca="1" si="36"/>
        <v>18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46161.610673842595</v>
      </c>
      <c r="V71">
        <f t="shared" ca="1" si="34"/>
        <v>2026</v>
      </c>
      <c r="W71">
        <f t="shared" ca="1" si="35"/>
        <v>5</v>
      </c>
      <c r="X71">
        <f t="shared" ca="1" si="36"/>
        <v>19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46162.610673842595</v>
      </c>
      <c r="V72">
        <f t="shared" ca="1" si="34"/>
        <v>2026</v>
      </c>
      <c r="W72">
        <f t="shared" ca="1" si="35"/>
        <v>5</v>
      </c>
      <c r="X72">
        <f t="shared" ca="1" si="36"/>
        <v>20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46163.610673842595</v>
      </c>
      <c r="V73">
        <f t="shared" ca="1" si="34"/>
        <v>2026</v>
      </c>
      <c r="W73">
        <f t="shared" ca="1" si="35"/>
        <v>5</v>
      </c>
      <c r="X73">
        <f t="shared" ca="1" si="36"/>
        <v>21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46164.610673842595</v>
      </c>
      <c r="V74">
        <f t="shared" ca="1" si="34"/>
        <v>2026</v>
      </c>
      <c r="W74">
        <f t="shared" ca="1" si="35"/>
        <v>5</v>
      </c>
      <c r="X74">
        <f t="shared" ca="1" si="36"/>
        <v>22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46165.610673842595</v>
      </c>
      <c r="V75">
        <f t="shared" ca="1" si="34"/>
        <v>2026</v>
      </c>
      <c r="W75">
        <f t="shared" ca="1" si="35"/>
        <v>5</v>
      </c>
      <c r="X75">
        <f t="shared" ca="1" si="36"/>
        <v>23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1415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46166.610673842595</v>
      </c>
      <c r="V76">
        <f t="shared" ca="1" si="34"/>
        <v>2026</v>
      </c>
      <c r="W76">
        <f t="shared" ca="1" si="35"/>
        <v>5</v>
      </c>
      <c r="X76">
        <f t="shared" ca="1" si="36"/>
        <v>24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46167.610673842595</v>
      </c>
      <c r="V77">
        <f t="shared" ca="1" si="34"/>
        <v>2026</v>
      </c>
      <c r="W77">
        <f t="shared" ca="1" si="35"/>
        <v>5</v>
      </c>
      <c r="X77">
        <f t="shared" ca="1" si="36"/>
        <v>25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1415</v>
      </c>
      <c r="AO77" s="1">
        <v>77</v>
      </c>
      <c r="AP77" t="s">
        <v>1370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46168.610673842595</v>
      </c>
      <c r="V78">
        <f t="shared" ca="1" si="34"/>
        <v>2026</v>
      </c>
      <c r="W78">
        <f t="shared" ca="1" si="35"/>
        <v>5</v>
      </c>
      <c r="X78">
        <f t="shared" ca="1" si="36"/>
        <v>26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46169.610673842595</v>
      </c>
      <c r="V79">
        <f t="shared" ca="1" si="34"/>
        <v>2026</v>
      </c>
      <c r="W79">
        <f t="shared" ca="1" si="35"/>
        <v>5</v>
      </c>
      <c r="X79">
        <f t="shared" ca="1" si="36"/>
        <v>27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1500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46170.610673842595</v>
      </c>
      <c r="V80">
        <f t="shared" ca="1" si="34"/>
        <v>2026</v>
      </c>
      <c r="W80">
        <f t="shared" ca="1" si="35"/>
        <v>5</v>
      </c>
      <c r="X80">
        <f t="shared" ca="1" si="36"/>
        <v>28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1396</v>
      </c>
      <c r="AN80" t="s">
        <v>258</v>
      </c>
      <c r="AO80" s="1">
        <v>70</v>
      </c>
      <c r="AP80" t="s">
        <v>1374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46171.610673842595</v>
      </c>
      <c r="V81">
        <f t="shared" ca="1" si="34"/>
        <v>2026</v>
      </c>
      <c r="W81">
        <f t="shared" ca="1" si="35"/>
        <v>5</v>
      </c>
      <c r="X81">
        <f t="shared" ca="1" si="36"/>
        <v>29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1392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46172.610673842595</v>
      </c>
      <c r="V82">
        <f t="shared" ca="1" si="34"/>
        <v>2026</v>
      </c>
      <c r="W82">
        <f t="shared" ca="1" si="35"/>
        <v>5</v>
      </c>
      <c r="X82">
        <f t="shared" ca="1" si="36"/>
        <v>30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1510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46173.610673842595</v>
      </c>
      <c r="V83">
        <f t="shared" ca="1" si="34"/>
        <v>2026</v>
      </c>
      <c r="W83">
        <f t="shared" ca="1" si="35"/>
        <v>5</v>
      </c>
      <c r="X83">
        <f t="shared" ca="1" si="36"/>
        <v>31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1506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46174.610673842595</v>
      </c>
      <c r="V84">
        <f t="shared" ca="1" si="34"/>
        <v>2026</v>
      </c>
      <c r="W84">
        <f t="shared" ca="1" si="35"/>
        <v>6</v>
      </c>
      <c r="X84">
        <f t="shared" ca="1" si="36"/>
        <v>1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1511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46175.610673842595</v>
      </c>
      <c r="V85">
        <f t="shared" ca="1" si="34"/>
        <v>2026</v>
      </c>
      <c r="W85">
        <f t="shared" ca="1" si="35"/>
        <v>6</v>
      </c>
      <c r="X85">
        <f t="shared" ca="1" si="36"/>
        <v>2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46176.610673842595</v>
      </c>
      <c r="V86">
        <f t="shared" ca="1" si="34"/>
        <v>2026</v>
      </c>
      <c r="W86">
        <f t="shared" ca="1" si="35"/>
        <v>6</v>
      </c>
      <c r="X86">
        <f t="shared" ca="1" si="36"/>
        <v>3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46177.610673842595</v>
      </c>
      <c r="V87">
        <f t="shared" ca="1" si="34"/>
        <v>2026</v>
      </c>
      <c r="W87">
        <f t="shared" ca="1" si="35"/>
        <v>6</v>
      </c>
      <c r="X87">
        <f t="shared" ca="1" si="36"/>
        <v>4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1417</v>
      </c>
      <c r="AO87" s="1">
        <v>95</v>
      </c>
      <c r="AP87" t="s">
        <v>1504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46178.610673842595</v>
      </c>
      <c r="V88">
        <f t="shared" ca="1" si="34"/>
        <v>2026</v>
      </c>
      <c r="W88">
        <f t="shared" ca="1" si="35"/>
        <v>6</v>
      </c>
      <c r="X88">
        <f t="shared" ca="1" si="36"/>
        <v>5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46179.610673842595</v>
      </c>
      <c r="V89">
        <f t="shared" ca="1" si="34"/>
        <v>2026</v>
      </c>
      <c r="W89">
        <f t="shared" ca="1" si="35"/>
        <v>6</v>
      </c>
      <c r="X89">
        <f t="shared" ca="1" si="36"/>
        <v>6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46180.610673842595</v>
      </c>
      <c r="V90">
        <f t="shared" ca="1" si="34"/>
        <v>2026</v>
      </c>
      <c r="W90">
        <f t="shared" ca="1" si="35"/>
        <v>6</v>
      </c>
      <c r="X90">
        <f t="shared" ca="1" si="36"/>
        <v>7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46181.610673842595</v>
      </c>
      <c r="V91">
        <f t="shared" ca="1" si="34"/>
        <v>2026</v>
      </c>
      <c r="W91">
        <f t="shared" ca="1" si="35"/>
        <v>6</v>
      </c>
      <c r="X91">
        <f t="shared" ca="1" si="36"/>
        <v>8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46182.610673842595</v>
      </c>
      <c r="V92">
        <f t="shared" ca="1" si="34"/>
        <v>2026</v>
      </c>
      <c r="W92">
        <f t="shared" ca="1" si="35"/>
        <v>6</v>
      </c>
      <c r="X92">
        <f t="shared" ca="1" si="36"/>
        <v>9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1379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46183.610673842595</v>
      </c>
      <c r="V93">
        <f t="shared" ca="1" si="34"/>
        <v>2026</v>
      </c>
      <c r="W93">
        <f t="shared" ca="1" si="35"/>
        <v>6</v>
      </c>
      <c r="X93">
        <f t="shared" ca="1" si="36"/>
        <v>10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46184.610673842595</v>
      </c>
      <c r="V94">
        <f t="shared" ca="1" si="34"/>
        <v>2026</v>
      </c>
      <c r="W94">
        <f t="shared" ca="1" si="35"/>
        <v>6</v>
      </c>
      <c r="X94">
        <f t="shared" ca="1" si="36"/>
        <v>11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46185.610673842595</v>
      </c>
      <c r="V95">
        <f t="shared" ca="1" si="34"/>
        <v>2026</v>
      </c>
      <c r="W95">
        <f t="shared" ca="1" si="35"/>
        <v>6</v>
      </c>
      <c r="X95">
        <f t="shared" ca="1" si="36"/>
        <v>12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1366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46186.610673842595</v>
      </c>
      <c r="V96">
        <f t="shared" ca="1" si="34"/>
        <v>2026</v>
      </c>
      <c r="W96">
        <f t="shared" ca="1" si="35"/>
        <v>6</v>
      </c>
      <c r="X96">
        <f t="shared" ca="1" si="36"/>
        <v>13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46187.610673842595</v>
      </c>
      <c r="V97">
        <f t="shared" ca="1" si="34"/>
        <v>2026</v>
      </c>
      <c r="W97">
        <f t="shared" ca="1" si="35"/>
        <v>6</v>
      </c>
      <c r="X97">
        <f t="shared" ca="1" si="36"/>
        <v>14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46188.610673842595</v>
      </c>
      <c r="V98">
        <f t="shared" ca="1" si="34"/>
        <v>2026</v>
      </c>
      <c r="W98">
        <f t="shared" ca="1" si="35"/>
        <v>6</v>
      </c>
      <c r="X98">
        <f t="shared" ca="1" si="36"/>
        <v>15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46189.610673842595</v>
      </c>
      <c r="V99">
        <f t="shared" ca="1" si="34"/>
        <v>2026</v>
      </c>
      <c r="W99">
        <f t="shared" ca="1" si="35"/>
        <v>6</v>
      </c>
      <c r="X99">
        <f t="shared" ca="1" si="36"/>
        <v>16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46190.610673842595</v>
      </c>
      <c r="V100">
        <f t="shared" ca="1" si="34"/>
        <v>2026</v>
      </c>
      <c r="W100">
        <f t="shared" ca="1" si="35"/>
        <v>6</v>
      </c>
      <c r="X100">
        <f t="shared" ca="1" si="36"/>
        <v>17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46191.610673842595</v>
      </c>
      <c r="V101">
        <f t="shared" ca="1" si="34"/>
        <v>2026</v>
      </c>
      <c r="W101">
        <f t="shared" ca="1" si="35"/>
        <v>6</v>
      </c>
      <c r="X101">
        <f t="shared" ca="1" si="36"/>
        <v>18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1512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46192.610673842595</v>
      </c>
      <c r="V102">
        <f t="shared" ca="1" si="34"/>
        <v>2026</v>
      </c>
      <c r="W102">
        <f t="shared" ca="1" si="35"/>
        <v>6</v>
      </c>
      <c r="X102">
        <f t="shared" ca="1" si="36"/>
        <v>19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1416</v>
      </c>
      <c r="AO102" s="1">
        <v>61</v>
      </c>
      <c r="AP102" t="s">
        <v>1372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46193.610673842595</v>
      </c>
      <c r="V103">
        <f t="shared" ca="1" si="34"/>
        <v>2026</v>
      </c>
      <c r="W103">
        <f t="shared" ca="1" si="35"/>
        <v>6</v>
      </c>
      <c r="X103">
        <f t="shared" ca="1" si="36"/>
        <v>20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46194.610673842595</v>
      </c>
      <c r="V104">
        <f t="shared" ca="1" si="34"/>
        <v>2026</v>
      </c>
      <c r="W104">
        <f t="shared" ca="1" si="35"/>
        <v>6</v>
      </c>
      <c r="X104">
        <f t="shared" ca="1" si="36"/>
        <v>21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46195.610673842595</v>
      </c>
      <c r="V105">
        <f t="shared" ca="1" si="34"/>
        <v>2026</v>
      </c>
      <c r="W105">
        <f t="shared" ca="1" si="35"/>
        <v>6</v>
      </c>
      <c r="X105">
        <f t="shared" ca="1" si="36"/>
        <v>22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46196.610673842595</v>
      </c>
      <c r="V106">
        <f t="shared" ca="1" si="34"/>
        <v>2026</v>
      </c>
      <c r="W106">
        <f t="shared" ca="1" si="35"/>
        <v>6</v>
      </c>
      <c r="X106">
        <f t="shared" ca="1" si="36"/>
        <v>23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46197.610673842595</v>
      </c>
      <c r="V107">
        <f t="shared" ca="1" si="34"/>
        <v>2026</v>
      </c>
      <c r="W107">
        <f t="shared" ca="1" si="35"/>
        <v>6</v>
      </c>
      <c r="X107">
        <f t="shared" ca="1" si="36"/>
        <v>24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46198.610673842595</v>
      </c>
      <c r="V108">
        <f t="shared" ca="1" si="34"/>
        <v>2026</v>
      </c>
      <c r="W108">
        <f t="shared" ca="1" si="35"/>
        <v>6</v>
      </c>
      <c r="X108">
        <f t="shared" ca="1" si="36"/>
        <v>25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46199.610673842595</v>
      </c>
      <c r="V109">
        <f t="shared" ca="1" si="34"/>
        <v>2026</v>
      </c>
      <c r="W109">
        <f t="shared" ca="1" si="35"/>
        <v>6</v>
      </c>
      <c r="X109">
        <f t="shared" ca="1" si="36"/>
        <v>26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46200.610673842595</v>
      </c>
      <c r="V110">
        <f t="shared" ca="1" si="34"/>
        <v>2026</v>
      </c>
      <c r="W110">
        <f t="shared" ca="1" si="35"/>
        <v>6</v>
      </c>
      <c r="X110">
        <f t="shared" ca="1" si="36"/>
        <v>27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46201.610673842595</v>
      </c>
      <c r="V111">
        <f t="shared" ca="1" si="34"/>
        <v>2026</v>
      </c>
      <c r="W111">
        <f t="shared" ca="1" si="35"/>
        <v>6</v>
      </c>
      <c r="X111">
        <f t="shared" ca="1" si="36"/>
        <v>28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46202.610673842595</v>
      </c>
      <c r="V112">
        <f t="shared" ca="1" si="34"/>
        <v>2026</v>
      </c>
      <c r="W112">
        <f t="shared" ca="1" si="35"/>
        <v>6</v>
      </c>
      <c r="X112">
        <f t="shared" ca="1" si="36"/>
        <v>29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1415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46203.610673842595</v>
      </c>
      <c r="V113">
        <f t="shared" ca="1" si="34"/>
        <v>2026</v>
      </c>
      <c r="W113">
        <f t="shared" ca="1" si="35"/>
        <v>6</v>
      </c>
      <c r="X113">
        <f t="shared" ca="1" si="36"/>
        <v>30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46204.610673842595</v>
      </c>
      <c r="V114">
        <f t="shared" ca="1" si="34"/>
        <v>2026</v>
      </c>
      <c r="W114">
        <f t="shared" ca="1" si="35"/>
        <v>7</v>
      </c>
      <c r="X114">
        <f t="shared" ca="1" si="36"/>
        <v>1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1415</v>
      </c>
      <c r="AO114" s="1">
        <v>77</v>
      </c>
      <c r="AP114" t="s">
        <v>1370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46205.610673842595</v>
      </c>
      <c r="V115">
        <f t="shared" ca="1" si="34"/>
        <v>2026</v>
      </c>
      <c r="W115">
        <f t="shared" ca="1" si="35"/>
        <v>7</v>
      </c>
      <c r="X115">
        <f t="shared" ca="1" si="36"/>
        <v>2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46206.610673842595</v>
      </c>
      <c r="V116">
        <f t="shared" ca="1" si="34"/>
        <v>2026</v>
      </c>
      <c r="W116">
        <f t="shared" ca="1" si="35"/>
        <v>7</v>
      </c>
      <c r="X116">
        <f t="shared" ca="1" si="36"/>
        <v>3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1500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46207.610673842595</v>
      </c>
      <c r="V117">
        <f t="shared" ca="1" si="34"/>
        <v>2026</v>
      </c>
      <c r="W117">
        <f t="shared" ca="1" si="35"/>
        <v>7</v>
      </c>
      <c r="X117">
        <f t="shared" ca="1" si="36"/>
        <v>4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1513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46208.610673842595</v>
      </c>
      <c r="V118">
        <f t="shared" ca="1" si="34"/>
        <v>2026</v>
      </c>
      <c r="W118">
        <f t="shared" ca="1" si="35"/>
        <v>7</v>
      </c>
      <c r="X118">
        <f t="shared" ca="1" si="36"/>
        <v>5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1510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46209.610673842595</v>
      </c>
      <c r="V119">
        <f t="shared" ca="1" si="34"/>
        <v>2026</v>
      </c>
      <c r="W119">
        <f t="shared" ca="1" si="35"/>
        <v>7</v>
      </c>
      <c r="X119">
        <f t="shared" ca="1" si="36"/>
        <v>6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1514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46210.610673842595</v>
      </c>
      <c r="V120">
        <f t="shared" ca="1" si="34"/>
        <v>2026</v>
      </c>
      <c r="W120">
        <f t="shared" ca="1" si="35"/>
        <v>7</v>
      </c>
      <c r="X120">
        <f t="shared" ca="1" si="36"/>
        <v>7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1392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46211.610673842595</v>
      </c>
      <c r="V121">
        <f t="shared" ca="1" si="34"/>
        <v>2026</v>
      </c>
      <c r="W121">
        <f t="shared" ca="1" si="35"/>
        <v>7</v>
      </c>
      <c r="X121">
        <f t="shared" ca="1" si="36"/>
        <v>8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46212.610673842595</v>
      </c>
      <c r="V122">
        <f t="shared" ca="1" si="34"/>
        <v>2026</v>
      </c>
      <c r="W122">
        <f t="shared" ca="1" si="35"/>
        <v>7</v>
      </c>
      <c r="X122">
        <f t="shared" ca="1" si="36"/>
        <v>9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1396</v>
      </c>
      <c r="AN122" t="s">
        <v>258</v>
      </c>
      <c r="AO122" s="1">
        <v>70</v>
      </c>
      <c r="AP122" t="s">
        <v>1374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46213.610673842595</v>
      </c>
      <c r="V123">
        <f t="shared" ca="1" si="34"/>
        <v>2026</v>
      </c>
      <c r="W123">
        <f t="shared" ca="1" si="35"/>
        <v>7</v>
      </c>
      <c r="X123">
        <f t="shared" ca="1" si="36"/>
        <v>10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46214.610673842595</v>
      </c>
      <c r="V124">
        <f t="shared" ca="1" si="34"/>
        <v>2026</v>
      </c>
      <c r="W124">
        <f t="shared" ca="1" si="35"/>
        <v>7</v>
      </c>
      <c r="X124">
        <f t="shared" ca="1" si="36"/>
        <v>11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1417</v>
      </c>
      <c r="AO124" s="1">
        <v>95</v>
      </c>
      <c r="AP124" t="s">
        <v>1504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46215.610673842595</v>
      </c>
      <c r="V125">
        <f t="shared" ca="1" si="34"/>
        <v>2026</v>
      </c>
      <c r="W125">
        <f t="shared" ca="1" si="35"/>
        <v>7</v>
      </c>
      <c r="X125">
        <f t="shared" ca="1" si="36"/>
        <v>12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46216.610673842595</v>
      </c>
      <c r="V126">
        <f t="shared" ca="1" si="34"/>
        <v>2026</v>
      </c>
      <c r="W126">
        <f t="shared" ca="1" si="35"/>
        <v>7</v>
      </c>
      <c r="X126">
        <f t="shared" ca="1" si="36"/>
        <v>13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46217.610673842595</v>
      </c>
      <c r="V127">
        <f t="shared" ca="1" si="34"/>
        <v>2026</v>
      </c>
      <c r="W127">
        <f t="shared" ca="1" si="35"/>
        <v>7</v>
      </c>
      <c r="X127">
        <f t="shared" ca="1" si="36"/>
        <v>14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46218.610673842595</v>
      </c>
      <c r="V128">
        <f t="shared" ca="1" si="34"/>
        <v>2026</v>
      </c>
      <c r="W128">
        <f t="shared" ca="1" si="35"/>
        <v>7</v>
      </c>
      <c r="X128">
        <f t="shared" ca="1" si="36"/>
        <v>15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46219.610673842595</v>
      </c>
      <c r="V129">
        <f t="shared" ca="1" si="34"/>
        <v>2026</v>
      </c>
      <c r="W129">
        <f t="shared" ca="1" si="35"/>
        <v>7</v>
      </c>
      <c r="X129">
        <f t="shared" ca="1" si="36"/>
        <v>16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1508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46220.610673842595</v>
      </c>
      <c r="V130">
        <f t="shared" ca="1" si="34"/>
        <v>2026</v>
      </c>
      <c r="W130">
        <f t="shared" ca="1" si="35"/>
        <v>7</v>
      </c>
      <c r="X130">
        <f t="shared" ca="1" si="36"/>
        <v>17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46221.610673842595</v>
      </c>
      <c r="V131">
        <f t="shared" ca="1" si="34"/>
        <v>2026</v>
      </c>
      <c r="W131">
        <f t="shared" ca="1" si="35"/>
        <v>7</v>
      </c>
      <c r="X131">
        <f t="shared" ca="1" si="36"/>
        <v>18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46222.610673842595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19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1366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46223.610673842595</v>
      </c>
      <c r="V133">
        <f t="shared" ca="1" si="56"/>
        <v>2026</v>
      </c>
      <c r="W133">
        <f t="shared" ca="1" si="57"/>
        <v>7</v>
      </c>
      <c r="X133">
        <f t="shared" ca="1" si="58"/>
        <v>20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46224.610673842595</v>
      </c>
      <c r="V134">
        <f t="shared" ca="1" si="56"/>
        <v>2026</v>
      </c>
      <c r="W134">
        <f t="shared" ca="1" si="57"/>
        <v>7</v>
      </c>
      <c r="X134">
        <f t="shared" ca="1" si="58"/>
        <v>21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46225.610673842595</v>
      </c>
      <c r="V135">
        <f t="shared" ca="1" si="56"/>
        <v>2026</v>
      </c>
      <c r="W135">
        <f t="shared" ca="1" si="57"/>
        <v>7</v>
      </c>
      <c r="X135">
        <f t="shared" ca="1" si="58"/>
        <v>22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46226.610673842595</v>
      </c>
      <c r="V136">
        <f t="shared" ca="1" si="56"/>
        <v>2026</v>
      </c>
      <c r="W136">
        <f t="shared" ca="1" si="57"/>
        <v>7</v>
      </c>
      <c r="X136">
        <f t="shared" ca="1" si="58"/>
        <v>23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46227.610673842595</v>
      </c>
      <c r="V137">
        <f t="shared" ca="1" si="56"/>
        <v>2026</v>
      </c>
      <c r="W137">
        <f t="shared" ca="1" si="57"/>
        <v>7</v>
      </c>
      <c r="X137">
        <f t="shared" ca="1" si="58"/>
        <v>24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1395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46228.610673842595</v>
      </c>
      <c r="V138">
        <f t="shared" ca="1" si="56"/>
        <v>2026</v>
      </c>
      <c r="W138">
        <f t="shared" ca="1" si="57"/>
        <v>7</v>
      </c>
      <c r="X138">
        <f t="shared" ca="1" si="58"/>
        <v>25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46229.610673842595</v>
      </c>
      <c r="V139">
        <f t="shared" ca="1" si="56"/>
        <v>2026</v>
      </c>
      <c r="W139">
        <f t="shared" ca="1" si="57"/>
        <v>7</v>
      </c>
      <c r="X139">
        <f t="shared" ca="1" si="58"/>
        <v>26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1416</v>
      </c>
      <c r="AO139" s="1">
        <v>61</v>
      </c>
      <c r="AP139" t="s">
        <v>1372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46230.610673842595</v>
      </c>
      <c r="V140">
        <f t="shared" ca="1" si="56"/>
        <v>2026</v>
      </c>
      <c r="W140">
        <f t="shared" ca="1" si="57"/>
        <v>7</v>
      </c>
      <c r="X140">
        <f t="shared" ca="1" si="58"/>
        <v>27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46231.610673842595</v>
      </c>
      <c r="V141">
        <f t="shared" ca="1" si="56"/>
        <v>2026</v>
      </c>
      <c r="W141">
        <f t="shared" ca="1" si="57"/>
        <v>7</v>
      </c>
      <c r="X141">
        <f t="shared" ca="1" si="58"/>
        <v>28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46232.610673842595</v>
      </c>
      <c r="V142">
        <f t="shared" ca="1" si="56"/>
        <v>2026</v>
      </c>
      <c r="W142">
        <f t="shared" ca="1" si="57"/>
        <v>7</v>
      </c>
      <c r="X142">
        <f t="shared" ca="1" si="58"/>
        <v>29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46233.610673842595</v>
      </c>
      <c r="V143">
        <f t="shared" ca="1" si="56"/>
        <v>2026</v>
      </c>
      <c r="W143">
        <f t="shared" ca="1" si="57"/>
        <v>7</v>
      </c>
      <c r="X143">
        <f t="shared" ca="1" si="58"/>
        <v>30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46234.610673842595</v>
      </c>
      <c r="V144">
        <f t="shared" ca="1" si="56"/>
        <v>2026</v>
      </c>
      <c r="W144">
        <f t="shared" ca="1" si="57"/>
        <v>7</v>
      </c>
      <c r="X144">
        <f t="shared" ca="1" si="58"/>
        <v>31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46235.610673842595</v>
      </c>
      <c r="V145">
        <f t="shared" ca="1" si="56"/>
        <v>2026</v>
      </c>
      <c r="W145">
        <f t="shared" ca="1" si="57"/>
        <v>8</v>
      </c>
      <c r="X145">
        <f t="shared" ca="1" si="58"/>
        <v>1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46236.610673842595</v>
      </c>
      <c r="V146">
        <f t="shared" ca="1" si="56"/>
        <v>2026</v>
      </c>
      <c r="W146">
        <f t="shared" ca="1" si="57"/>
        <v>8</v>
      </c>
      <c r="X146">
        <f t="shared" ca="1" si="58"/>
        <v>2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46237.610673842595</v>
      </c>
      <c r="V147">
        <f t="shared" ca="1" si="56"/>
        <v>2026</v>
      </c>
      <c r="W147">
        <f t="shared" ca="1" si="57"/>
        <v>8</v>
      </c>
      <c r="X147">
        <f t="shared" ca="1" si="58"/>
        <v>3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46238.610673842595</v>
      </c>
      <c r="V148">
        <f t="shared" ca="1" si="56"/>
        <v>2026</v>
      </c>
      <c r="W148">
        <f t="shared" ca="1" si="57"/>
        <v>8</v>
      </c>
      <c r="X148">
        <f t="shared" ca="1" si="58"/>
        <v>4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46239.610673842595</v>
      </c>
      <c r="V149">
        <f t="shared" ca="1" si="56"/>
        <v>2026</v>
      </c>
      <c r="W149">
        <f t="shared" ca="1" si="57"/>
        <v>8</v>
      </c>
      <c r="X149">
        <f t="shared" ca="1" si="58"/>
        <v>5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1415</v>
      </c>
      <c r="AO149" s="1">
        <v>95</v>
      </c>
      <c r="AP149" t="s">
        <v>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46240.610673842595</v>
      </c>
      <c r="V150">
        <f t="shared" ca="1" si="56"/>
        <v>2026</v>
      </c>
      <c r="W150">
        <f t="shared" ca="1" si="57"/>
        <v>8</v>
      </c>
      <c r="X150">
        <f t="shared" ca="1" si="58"/>
        <v>6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46241.610673842595</v>
      </c>
      <c r="V151">
        <f t="shared" ca="1" si="56"/>
        <v>2026</v>
      </c>
      <c r="W151">
        <f t="shared" ca="1" si="57"/>
        <v>8</v>
      </c>
      <c r="X151">
        <f t="shared" ca="1" si="58"/>
        <v>7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1415</v>
      </c>
      <c r="AO151" s="1">
        <v>77</v>
      </c>
      <c r="AP151" t="s">
        <v>1370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46242.610673842595</v>
      </c>
      <c r="V152">
        <f t="shared" ca="1" si="56"/>
        <v>2026</v>
      </c>
      <c r="W152">
        <f t="shared" ca="1" si="57"/>
        <v>8</v>
      </c>
      <c r="X152">
        <f t="shared" ca="1" si="58"/>
        <v>8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46243.610673842595</v>
      </c>
      <c r="V153">
        <f t="shared" ca="1" si="56"/>
        <v>2026</v>
      </c>
      <c r="W153">
        <f t="shared" ca="1" si="57"/>
        <v>8</v>
      </c>
      <c r="X153">
        <f t="shared" ca="1" si="58"/>
        <v>9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1500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46244.610673842595</v>
      </c>
      <c r="V154">
        <f t="shared" ca="1" si="56"/>
        <v>2026</v>
      </c>
      <c r="W154">
        <f t="shared" ca="1" si="57"/>
        <v>8</v>
      </c>
      <c r="X154">
        <f t="shared" ca="1" si="58"/>
        <v>10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1392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46245.610673842595</v>
      </c>
      <c r="V155">
        <f t="shared" ca="1" si="56"/>
        <v>2026</v>
      </c>
      <c r="W155">
        <f t="shared" ca="1" si="57"/>
        <v>8</v>
      </c>
      <c r="X155">
        <f t="shared" ca="1" si="58"/>
        <v>11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1396</v>
      </c>
      <c r="AN155" t="s">
        <v>258</v>
      </c>
      <c r="AO155" s="1">
        <v>70</v>
      </c>
      <c r="AP155" t="s">
        <v>1374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46246.610673842595</v>
      </c>
      <c r="V156">
        <f t="shared" ca="1" si="56"/>
        <v>2026</v>
      </c>
      <c r="W156">
        <f t="shared" ca="1" si="57"/>
        <v>8</v>
      </c>
      <c r="X156">
        <f t="shared" ca="1" si="58"/>
        <v>12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46247.610673842595</v>
      </c>
      <c r="V157">
        <f t="shared" ca="1" si="56"/>
        <v>2026</v>
      </c>
      <c r="W157">
        <f t="shared" ca="1" si="57"/>
        <v>8</v>
      </c>
      <c r="X157">
        <f t="shared" ca="1" si="58"/>
        <v>13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1513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46248.610673842595</v>
      </c>
      <c r="V158">
        <f t="shared" ca="1" si="56"/>
        <v>2026</v>
      </c>
      <c r="W158">
        <f t="shared" ca="1" si="57"/>
        <v>8</v>
      </c>
      <c r="X158">
        <f t="shared" ca="1" si="58"/>
        <v>14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1502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46249.610673842595</v>
      </c>
      <c r="V159">
        <f t="shared" ca="1" si="56"/>
        <v>2026</v>
      </c>
      <c r="W159">
        <f t="shared" ca="1" si="57"/>
        <v>8</v>
      </c>
      <c r="X159">
        <f t="shared" ca="1" si="58"/>
        <v>15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1515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46250.610673842595</v>
      </c>
      <c r="V160">
        <f t="shared" ca="1" si="56"/>
        <v>2026</v>
      </c>
      <c r="W160">
        <f t="shared" ca="1" si="57"/>
        <v>8</v>
      </c>
      <c r="X160">
        <f t="shared" ca="1" si="58"/>
        <v>16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46251.610673842595</v>
      </c>
      <c r="V161">
        <f t="shared" ca="1" si="56"/>
        <v>2026</v>
      </c>
      <c r="W161">
        <f t="shared" ca="1" si="57"/>
        <v>8</v>
      </c>
      <c r="X161">
        <f t="shared" ca="1" si="58"/>
        <v>17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1417</v>
      </c>
      <c r="AO161" s="1">
        <v>95</v>
      </c>
      <c r="AP161" t="s">
        <v>1504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46252.610673842595</v>
      </c>
      <c r="V162">
        <f t="shared" ca="1" si="56"/>
        <v>2026</v>
      </c>
      <c r="W162">
        <f t="shared" ca="1" si="57"/>
        <v>8</v>
      </c>
      <c r="X162">
        <f t="shared" ca="1" si="58"/>
        <v>18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46253.610673842595</v>
      </c>
      <c r="V163">
        <f t="shared" ca="1" si="56"/>
        <v>2026</v>
      </c>
      <c r="W163">
        <f t="shared" ca="1" si="57"/>
        <v>8</v>
      </c>
      <c r="X163">
        <f t="shared" ca="1" si="58"/>
        <v>19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46254.610673842595</v>
      </c>
      <c r="V164">
        <f t="shared" ca="1" si="56"/>
        <v>2026</v>
      </c>
      <c r="W164">
        <f t="shared" ca="1" si="57"/>
        <v>8</v>
      </c>
      <c r="X164">
        <f t="shared" ca="1" si="58"/>
        <v>20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46255.610673842595</v>
      </c>
      <c r="V165">
        <f t="shared" ca="1" si="56"/>
        <v>2026</v>
      </c>
      <c r="W165">
        <f t="shared" ca="1" si="57"/>
        <v>8</v>
      </c>
      <c r="X165">
        <f t="shared" ca="1" si="58"/>
        <v>21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46256.610673842595</v>
      </c>
      <c r="V166">
        <f t="shared" ca="1" si="56"/>
        <v>2026</v>
      </c>
      <c r="W166">
        <f t="shared" ca="1" si="57"/>
        <v>8</v>
      </c>
      <c r="X166">
        <f t="shared" ca="1" si="58"/>
        <v>22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1516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46257.610673842595</v>
      </c>
      <c r="V167">
        <f t="shared" ca="1" si="56"/>
        <v>2026</v>
      </c>
      <c r="W167">
        <f t="shared" ca="1" si="57"/>
        <v>8</v>
      </c>
      <c r="X167">
        <f t="shared" ca="1" si="58"/>
        <v>23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46258.610673842595</v>
      </c>
      <c r="V168">
        <f t="shared" ca="1" si="56"/>
        <v>2026</v>
      </c>
      <c r="W168">
        <f t="shared" ca="1" si="57"/>
        <v>8</v>
      </c>
      <c r="X168">
        <f t="shared" ca="1" si="58"/>
        <v>24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46259.610673842595</v>
      </c>
      <c r="V169">
        <f t="shared" ca="1" si="56"/>
        <v>2026</v>
      </c>
      <c r="W169">
        <f t="shared" ca="1" si="57"/>
        <v>8</v>
      </c>
      <c r="X169">
        <f t="shared" ca="1" si="58"/>
        <v>25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1366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46260.610673842595</v>
      </c>
      <c r="V170">
        <f t="shared" ca="1" si="56"/>
        <v>2026</v>
      </c>
      <c r="W170">
        <f t="shared" ca="1" si="57"/>
        <v>8</v>
      </c>
      <c r="X170">
        <f t="shared" ca="1" si="58"/>
        <v>26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46261.610673842595</v>
      </c>
      <c r="V171">
        <f t="shared" ca="1" si="56"/>
        <v>2026</v>
      </c>
      <c r="W171">
        <f t="shared" ca="1" si="57"/>
        <v>8</v>
      </c>
      <c r="X171">
        <f t="shared" ca="1" si="58"/>
        <v>27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46262.610673842595</v>
      </c>
      <c r="V172">
        <f t="shared" ca="1" si="56"/>
        <v>2026</v>
      </c>
      <c r="W172">
        <f t="shared" ca="1" si="57"/>
        <v>8</v>
      </c>
      <c r="X172">
        <f t="shared" ca="1" si="58"/>
        <v>28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46263.610673842595</v>
      </c>
      <c r="V173">
        <f t="shared" ca="1" si="56"/>
        <v>2026</v>
      </c>
      <c r="W173">
        <f t="shared" ca="1" si="57"/>
        <v>8</v>
      </c>
      <c r="X173">
        <f t="shared" ca="1" si="58"/>
        <v>29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46264.610673842595</v>
      </c>
      <c r="V174">
        <f t="shared" ca="1" si="56"/>
        <v>2026</v>
      </c>
      <c r="W174">
        <f t="shared" ca="1" si="57"/>
        <v>8</v>
      </c>
      <c r="X174">
        <f t="shared" ca="1" si="58"/>
        <v>30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46265.610673842595</v>
      </c>
      <c r="V175">
        <f t="shared" ca="1" si="56"/>
        <v>2026</v>
      </c>
      <c r="W175">
        <f t="shared" ca="1" si="57"/>
        <v>8</v>
      </c>
      <c r="X175">
        <f t="shared" ca="1" si="58"/>
        <v>31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1505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46266.610673842595</v>
      </c>
      <c r="V176">
        <f t="shared" ca="1" si="56"/>
        <v>2026</v>
      </c>
      <c r="W176">
        <f t="shared" ca="1" si="57"/>
        <v>9</v>
      </c>
      <c r="X176">
        <f t="shared" ca="1" si="58"/>
        <v>1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1416</v>
      </c>
      <c r="AO176" s="1">
        <v>61</v>
      </c>
      <c r="AP176" t="s">
        <v>1372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46267.610673842595</v>
      </c>
      <c r="V177">
        <f t="shared" ca="1" si="56"/>
        <v>2026</v>
      </c>
      <c r="W177">
        <f t="shared" ca="1" si="57"/>
        <v>9</v>
      </c>
      <c r="X177">
        <f t="shared" ca="1" si="58"/>
        <v>2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46268.610673842595</v>
      </c>
      <c r="V178">
        <f t="shared" ca="1" si="56"/>
        <v>2026</v>
      </c>
      <c r="W178">
        <f t="shared" ca="1" si="57"/>
        <v>9</v>
      </c>
      <c r="X178">
        <f t="shared" ca="1" si="58"/>
        <v>3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46269.610673842595</v>
      </c>
      <c r="V179">
        <f t="shared" ca="1" si="56"/>
        <v>2026</v>
      </c>
      <c r="W179">
        <f t="shared" ca="1" si="57"/>
        <v>9</v>
      </c>
      <c r="X179">
        <f t="shared" ca="1" si="58"/>
        <v>4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46270.610673842595</v>
      </c>
      <c r="V180">
        <f t="shared" ca="1" si="56"/>
        <v>2026</v>
      </c>
      <c r="W180">
        <f t="shared" ca="1" si="57"/>
        <v>9</v>
      </c>
      <c r="X180">
        <f t="shared" ca="1" si="58"/>
        <v>5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46271.610673842595</v>
      </c>
      <c r="V181">
        <f t="shared" ca="1" si="56"/>
        <v>2026</v>
      </c>
      <c r="W181">
        <f t="shared" ca="1" si="57"/>
        <v>9</v>
      </c>
      <c r="X181">
        <f t="shared" ca="1" si="58"/>
        <v>6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46272.610673842595</v>
      </c>
      <c r="V182">
        <f t="shared" ca="1" si="56"/>
        <v>2026</v>
      </c>
      <c r="W182">
        <f t="shared" ca="1" si="57"/>
        <v>9</v>
      </c>
      <c r="X182">
        <f t="shared" ca="1" si="58"/>
        <v>7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46273.610673842595</v>
      </c>
      <c r="V183">
        <f t="shared" ca="1" si="56"/>
        <v>2026</v>
      </c>
      <c r="W183">
        <f t="shared" ca="1" si="57"/>
        <v>9</v>
      </c>
      <c r="X183">
        <f t="shared" ca="1" si="58"/>
        <v>8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46274.610673842595</v>
      </c>
      <c r="V184">
        <f t="shared" ca="1" si="56"/>
        <v>2026</v>
      </c>
      <c r="W184">
        <f t="shared" ca="1" si="57"/>
        <v>9</v>
      </c>
      <c r="X184">
        <f t="shared" ca="1" si="58"/>
        <v>9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46275.610673842595</v>
      </c>
      <c r="V185">
        <f t="shared" ca="1" si="56"/>
        <v>2026</v>
      </c>
      <c r="W185">
        <f t="shared" ca="1" si="57"/>
        <v>9</v>
      </c>
      <c r="X185">
        <f t="shared" ca="1" si="58"/>
        <v>10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46276.610673842595</v>
      </c>
      <c r="V186">
        <f t="shared" ca="1" si="56"/>
        <v>2026</v>
      </c>
      <c r="W186">
        <f t="shared" ca="1" si="57"/>
        <v>9</v>
      </c>
      <c r="X186">
        <f t="shared" ca="1" si="58"/>
        <v>11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1415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46277.610673842595</v>
      </c>
      <c r="V187">
        <f t="shared" ca="1" si="56"/>
        <v>2026</v>
      </c>
      <c r="W187">
        <f t="shared" ca="1" si="57"/>
        <v>9</v>
      </c>
      <c r="X187">
        <f t="shared" ca="1" si="58"/>
        <v>12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46278.610673842595</v>
      </c>
      <c r="V188">
        <f t="shared" ca="1" si="56"/>
        <v>2026</v>
      </c>
      <c r="W188">
        <f t="shared" ca="1" si="57"/>
        <v>9</v>
      </c>
      <c r="X188">
        <f t="shared" ca="1" si="58"/>
        <v>13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1415</v>
      </c>
      <c r="AO188" s="1">
        <v>77</v>
      </c>
      <c r="AP188" t="s">
        <v>1370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46279.610673842595</v>
      </c>
      <c r="V189">
        <f t="shared" ca="1" si="56"/>
        <v>2026</v>
      </c>
      <c r="W189">
        <f t="shared" ca="1" si="57"/>
        <v>9</v>
      </c>
      <c r="X189">
        <f t="shared" ca="1" si="58"/>
        <v>14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46280.610673842595</v>
      </c>
      <c r="V190">
        <f t="shared" ca="1" si="56"/>
        <v>2026</v>
      </c>
      <c r="W190">
        <f t="shared" ca="1" si="57"/>
        <v>9</v>
      </c>
      <c r="X190">
        <f t="shared" ca="1" si="58"/>
        <v>15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1392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46281.610673842595</v>
      </c>
      <c r="V191">
        <f t="shared" ca="1" si="56"/>
        <v>2026</v>
      </c>
      <c r="W191">
        <f t="shared" ca="1" si="57"/>
        <v>9</v>
      </c>
      <c r="X191">
        <f t="shared" ca="1" si="58"/>
        <v>16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1500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46282.610673842595</v>
      </c>
      <c r="V192">
        <f t="shared" ca="1" si="56"/>
        <v>2026</v>
      </c>
      <c r="W192">
        <f t="shared" ca="1" si="57"/>
        <v>9</v>
      </c>
      <c r="X192">
        <f t="shared" ca="1" si="58"/>
        <v>17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1396</v>
      </c>
      <c r="AN192" t="s">
        <v>258</v>
      </c>
      <c r="AO192" s="1">
        <v>70</v>
      </c>
      <c r="AP192" t="s">
        <v>1374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46283.610673842595</v>
      </c>
      <c r="V193">
        <f t="shared" ca="1" si="56"/>
        <v>2026</v>
      </c>
      <c r="W193">
        <f t="shared" ca="1" si="57"/>
        <v>9</v>
      </c>
      <c r="X193">
        <f t="shared" ca="1" si="58"/>
        <v>18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1506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46284.610673842595</v>
      </c>
      <c r="V194">
        <f t="shared" ca="1" si="56"/>
        <v>2026</v>
      </c>
      <c r="W194">
        <f t="shared" ca="1" si="57"/>
        <v>9</v>
      </c>
      <c r="X194">
        <f t="shared" ca="1" si="58"/>
        <v>19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1502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46285.610673842595</v>
      </c>
      <c r="V195">
        <f t="shared" ca="1" si="56"/>
        <v>2026</v>
      </c>
      <c r="W195">
        <f t="shared" ca="1" si="57"/>
        <v>9</v>
      </c>
      <c r="X195">
        <f t="shared" ca="1" si="58"/>
        <v>20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1503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46286.610673842595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21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46287.610673842595</v>
      </c>
      <c r="V197">
        <f t="shared" ca="1" si="70"/>
        <v>2026</v>
      </c>
      <c r="W197">
        <f t="shared" ca="1" si="71"/>
        <v>9</v>
      </c>
      <c r="X197">
        <f t="shared" ca="1" si="72"/>
        <v>22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46288.610673842595</v>
      </c>
      <c r="V198">
        <f t="shared" ca="1" si="70"/>
        <v>2026</v>
      </c>
      <c r="W198">
        <f t="shared" ca="1" si="71"/>
        <v>9</v>
      </c>
      <c r="X198">
        <f t="shared" ca="1" si="72"/>
        <v>23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1417</v>
      </c>
      <c r="AO198" s="1">
        <v>95</v>
      </c>
      <c r="AP198" t="s">
        <v>1504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46289.610673842595</v>
      </c>
      <c r="V199">
        <f t="shared" ca="1" si="70"/>
        <v>2026</v>
      </c>
      <c r="W199">
        <f t="shared" ca="1" si="71"/>
        <v>9</v>
      </c>
      <c r="X199">
        <f t="shared" ca="1" si="72"/>
        <v>24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46290.610673842595</v>
      </c>
      <c r="V200">
        <f t="shared" ca="1" si="70"/>
        <v>2026</v>
      </c>
      <c r="W200">
        <f t="shared" ca="1" si="71"/>
        <v>9</v>
      </c>
      <c r="X200">
        <f t="shared" ca="1" si="72"/>
        <v>25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46291.610673842595</v>
      </c>
      <c r="V201">
        <f t="shared" ca="1" si="70"/>
        <v>2026</v>
      </c>
      <c r="W201">
        <f t="shared" ca="1" si="71"/>
        <v>9</v>
      </c>
      <c r="X201">
        <f t="shared" ca="1" si="72"/>
        <v>26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46292.610673842595</v>
      </c>
      <c r="V202">
        <f t="shared" ca="1" si="70"/>
        <v>2026</v>
      </c>
      <c r="W202">
        <f t="shared" ca="1" si="71"/>
        <v>9</v>
      </c>
      <c r="X202">
        <f t="shared" ca="1" si="72"/>
        <v>27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46293.610673842595</v>
      </c>
      <c r="V203">
        <f t="shared" ca="1" si="70"/>
        <v>2026</v>
      </c>
      <c r="W203">
        <f t="shared" ca="1" si="71"/>
        <v>9</v>
      </c>
      <c r="X203">
        <f t="shared" ca="1" si="72"/>
        <v>28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1379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46294.610673842595</v>
      </c>
      <c r="V204">
        <f t="shared" ca="1" si="70"/>
        <v>2026</v>
      </c>
      <c r="W204">
        <f t="shared" ca="1" si="71"/>
        <v>9</v>
      </c>
      <c r="X204">
        <f t="shared" ca="1" si="72"/>
        <v>29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46295.610673842595</v>
      </c>
      <c r="V205">
        <f t="shared" ca="1" si="70"/>
        <v>2026</v>
      </c>
      <c r="W205">
        <f t="shared" ca="1" si="71"/>
        <v>9</v>
      </c>
      <c r="X205">
        <f t="shared" ca="1" si="72"/>
        <v>30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46296.610673842595</v>
      </c>
      <c r="V206">
        <f t="shared" ca="1" si="70"/>
        <v>2026</v>
      </c>
      <c r="W206">
        <f t="shared" ca="1" si="71"/>
        <v>10</v>
      </c>
      <c r="X206">
        <f t="shared" ca="1" si="72"/>
        <v>1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1366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46297.610673842595</v>
      </c>
      <c r="V207">
        <f t="shared" ca="1" si="70"/>
        <v>2026</v>
      </c>
      <c r="W207">
        <f t="shared" ca="1" si="71"/>
        <v>10</v>
      </c>
      <c r="X207">
        <f t="shared" ca="1" si="72"/>
        <v>2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46298.610673842595</v>
      </c>
      <c r="V208">
        <f t="shared" ca="1" si="70"/>
        <v>2026</v>
      </c>
      <c r="W208">
        <f t="shared" ca="1" si="71"/>
        <v>10</v>
      </c>
      <c r="X208">
        <f t="shared" ca="1" si="72"/>
        <v>3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46299.610673842595</v>
      </c>
      <c r="V209">
        <f t="shared" ca="1" si="70"/>
        <v>2026</v>
      </c>
      <c r="W209">
        <f t="shared" ca="1" si="71"/>
        <v>10</v>
      </c>
      <c r="X209">
        <f t="shared" ca="1" si="72"/>
        <v>4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46300.610673842595</v>
      </c>
      <c r="V210">
        <f t="shared" ca="1" si="70"/>
        <v>2026</v>
      </c>
      <c r="W210">
        <f t="shared" ca="1" si="71"/>
        <v>10</v>
      </c>
      <c r="X210">
        <f t="shared" ca="1" si="72"/>
        <v>5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46301.610673842595</v>
      </c>
      <c r="V211">
        <f t="shared" ca="1" si="70"/>
        <v>2026</v>
      </c>
      <c r="W211">
        <f t="shared" ca="1" si="71"/>
        <v>10</v>
      </c>
      <c r="X211">
        <f t="shared" ca="1" si="72"/>
        <v>6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46302.610673842595</v>
      </c>
      <c r="V212">
        <f t="shared" ca="1" si="70"/>
        <v>2026</v>
      </c>
      <c r="W212">
        <f t="shared" ca="1" si="71"/>
        <v>10</v>
      </c>
      <c r="X212">
        <f t="shared" ca="1" si="72"/>
        <v>7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1509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46303.610673842595</v>
      </c>
      <c r="V213">
        <f t="shared" ca="1" si="70"/>
        <v>2026</v>
      </c>
      <c r="W213">
        <f t="shared" ca="1" si="71"/>
        <v>10</v>
      </c>
      <c r="X213">
        <f t="shared" ca="1" si="72"/>
        <v>8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1416</v>
      </c>
      <c r="AO213" s="1">
        <v>61</v>
      </c>
      <c r="AP213" t="s">
        <v>1372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46304.610673842595</v>
      </c>
      <c r="V214">
        <f t="shared" ca="1" si="70"/>
        <v>2026</v>
      </c>
      <c r="W214">
        <f t="shared" ca="1" si="71"/>
        <v>10</v>
      </c>
      <c r="X214">
        <f t="shared" ca="1" si="72"/>
        <v>9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46305.610673842595</v>
      </c>
      <c r="V215">
        <f t="shared" ca="1" si="70"/>
        <v>2026</v>
      </c>
      <c r="W215">
        <f t="shared" ca="1" si="71"/>
        <v>10</v>
      </c>
      <c r="X215">
        <f t="shared" ca="1" si="72"/>
        <v>10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46306.610673842595</v>
      </c>
      <c r="V216">
        <f t="shared" ca="1" si="70"/>
        <v>2026</v>
      </c>
      <c r="W216">
        <f t="shared" ca="1" si="71"/>
        <v>10</v>
      </c>
      <c r="X216">
        <f t="shared" ca="1" si="72"/>
        <v>11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46307.610673842595</v>
      </c>
      <c r="V217">
        <f t="shared" ca="1" si="70"/>
        <v>2026</v>
      </c>
      <c r="W217">
        <f t="shared" ca="1" si="71"/>
        <v>10</v>
      </c>
      <c r="X217">
        <f t="shared" ca="1" si="72"/>
        <v>12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46308.610673842595</v>
      </c>
      <c r="V218">
        <f t="shared" ca="1" si="70"/>
        <v>2026</v>
      </c>
      <c r="W218">
        <f t="shared" ca="1" si="71"/>
        <v>10</v>
      </c>
      <c r="X218">
        <f t="shared" ca="1" si="72"/>
        <v>13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46309.610673842595</v>
      </c>
      <c r="V219">
        <f t="shared" ca="1" si="70"/>
        <v>2026</v>
      </c>
      <c r="W219">
        <f t="shared" ca="1" si="71"/>
        <v>10</v>
      </c>
      <c r="X219">
        <f t="shared" ca="1" si="72"/>
        <v>14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46310.610673842595</v>
      </c>
      <c r="V220">
        <f t="shared" ca="1" si="70"/>
        <v>2026</v>
      </c>
      <c r="W220">
        <f t="shared" ca="1" si="71"/>
        <v>10</v>
      </c>
      <c r="X220">
        <f t="shared" ca="1" si="72"/>
        <v>15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46311.610673842595</v>
      </c>
      <c r="V221">
        <f t="shared" ca="1" si="70"/>
        <v>2026</v>
      </c>
      <c r="W221">
        <f t="shared" ca="1" si="71"/>
        <v>10</v>
      </c>
      <c r="X221">
        <f t="shared" ca="1" si="72"/>
        <v>16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46312.610673842595</v>
      </c>
      <c r="V222">
        <f t="shared" ca="1" si="70"/>
        <v>2026</v>
      </c>
      <c r="W222">
        <f t="shared" ca="1" si="71"/>
        <v>10</v>
      </c>
      <c r="X222">
        <f t="shared" ca="1" si="72"/>
        <v>17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46313.610673842595</v>
      </c>
      <c r="V223">
        <f t="shared" ca="1" si="70"/>
        <v>2026</v>
      </c>
      <c r="W223">
        <f t="shared" ca="1" si="71"/>
        <v>10</v>
      </c>
      <c r="X223">
        <f t="shared" ca="1" si="72"/>
        <v>18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1415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46314.610673842595</v>
      </c>
      <c r="V224">
        <f t="shared" ca="1" si="70"/>
        <v>2026</v>
      </c>
      <c r="W224">
        <f t="shared" ca="1" si="71"/>
        <v>10</v>
      </c>
      <c r="X224">
        <f t="shared" ca="1" si="72"/>
        <v>19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46315.610673842595</v>
      </c>
      <c r="V225">
        <f t="shared" ca="1" si="70"/>
        <v>2026</v>
      </c>
      <c r="W225">
        <f t="shared" ca="1" si="71"/>
        <v>10</v>
      </c>
      <c r="X225">
        <f t="shared" ca="1" si="72"/>
        <v>20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1415</v>
      </c>
      <c r="AO225" s="1">
        <v>77</v>
      </c>
      <c r="AP225" t="s">
        <v>1370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46316.610673842595</v>
      </c>
      <c r="V226">
        <f t="shared" ca="1" si="70"/>
        <v>2026</v>
      </c>
      <c r="W226">
        <f t="shared" ca="1" si="71"/>
        <v>10</v>
      </c>
      <c r="X226">
        <f t="shared" ca="1" si="72"/>
        <v>21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46317.610673842595</v>
      </c>
      <c r="V227">
        <f t="shared" ca="1" si="70"/>
        <v>2026</v>
      </c>
      <c r="W227">
        <f t="shared" ca="1" si="71"/>
        <v>10</v>
      </c>
      <c r="X227">
        <f t="shared" ca="1" si="72"/>
        <v>22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1392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46318.610673842595</v>
      </c>
      <c r="V228">
        <f t="shared" ca="1" si="70"/>
        <v>2026</v>
      </c>
      <c r="W228">
        <f t="shared" ca="1" si="71"/>
        <v>10</v>
      </c>
      <c r="X228">
        <f t="shared" ca="1" si="72"/>
        <v>23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1500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46319.610673842595</v>
      </c>
      <c r="V229">
        <f t="shared" ca="1" si="70"/>
        <v>2026</v>
      </c>
      <c r="W229">
        <f t="shared" ca="1" si="71"/>
        <v>10</v>
      </c>
      <c r="X229">
        <f t="shared" ca="1" si="72"/>
        <v>24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1506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46320.610673842595</v>
      </c>
      <c r="V230">
        <f t="shared" ca="1" si="70"/>
        <v>2026</v>
      </c>
      <c r="W230">
        <f t="shared" ca="1" si="71"/>
        <v>10</v>
      </c>
      <c r="X230">
        <f t="shared" ca="1" si="72"/>
        <v>25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1510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46321.610673842595</v>
      </c>
      <c r="V231">
        <f t="shared" ca="1" si="70"/>
        <v>2026</v>
      </c>
      <c r="W231">
        <f t="shared" ca="1" si="71"/>
        <v>10</v>
      </c>
      <c r="X231">
        <f t="shared" ca="1" si="72"/>
        <v>26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1511</v>
      </c>
    </row>
    <row r="232" spans="11:42" x14ac:dyDescent="0.25">
      <c r="U232" s="5">
        <f t="shared" ca="1" si="75"/>
        <v>46322.610673842595</v>
      </c>
      <c r="V232">
        <f t="shared" ca="1" si="70"/>
        <v>2026</v>
      </c>
      <c r="W232">
        <f t="shared" ca="1" si="71"/>
        <v>10</v>
      </c>
      <c r="X232">
        <f t="shared" ca="1" si="72"/>
        <v>27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46323.610673842595</v>
      </c>
      <c r="V233">
        <f t="shared" ca="1" si="70"/>
        <v>2026</v>
      </c>
      <c r="W233">
        <f t="shared" ca="1" si="71"/>
        <v>10</v>
      </c>
      <c r="X233">
        <f t="shared" ca="1" si="72"/>
        <v>28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1396</v>
      </c>
      <c r="AN233" t="s">
        <v>258</v>
      </c>
      <c r="AO233" s="1">
        <v>70</v>
      </c>
      <c r="AP233" t="s">
        <v>1374</v>
      </c>
    </row>
    <row r="234" spans="11:42" x14ac:dyDescent="0.25">
      <c r="U234" s="5">
        <f t="shared" ca="1" si="75"/>
        <v>46324.610673842595</v>
      </c>
      <c r="V234">
        <f t="shared" ca="1" si="70"/>
        <v>2026</v>
      </c>
      <c r="W234">
        <f t="shared" ca="1" si="71"/>
        <v>10</v>
      </c>
      <c r="X234">
        <f t="shared" ca="1" si="72"/>
        <v>29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46325.610673842595</v>
      </c>
      <c r="V235">
        <f t="shared" ca="1" si="70"/>
        <v>2026</v>
      </c>
      <c r="W235">
        <f t="shared" ca="1" si="71"/>
        <v>10</v>
      </c>
      <c r="X235">
        <f t="shared" ca="1" si="72"/>
        <v>30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1417</v>
      </c>
      <c r="AO235" s="1">
        <v>95</v>
      </c>
      <c r="AP235" t="s">
        <v>1504</v>
      </c>
    </row>
    <row r="236" spans="11:42" x14ac:dyDescent="0.25">
      <c r="U236" s="5">
        <f t="shared" ca="1" si="75"/>
        <v>46326.610673842595</v>
      </c>
      <c r="V236">
        <f t="shared" ca="1" si="70"/>
        <v>2026</v>
      </c>
      <c r="W236">
        <f t="shared" ca="1" si="71"/>
        <v>10</v>
      </c>
      <c r="X236">
        <f t="shared" ca="1" si="72"/>
        <v>31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46327.610673842595</v>
      </c>
      <c r="V237">
        <f t="shared" ca="1" si="70"/>
        <v>2026</v>
      </c>
      <c r="W237">
        <f t="shared" ca="1" si="71"/>
        <v>11</v>
      </c>
      <c r="X237">
        <f t="shared" ca="1" si="72"/>
        <v>1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46328.610673842595</v>
      </c>
      <c r="V238">
        <f t="shared" ca="1" si="70"/>
        <v>2026</v>
      </c>
      <c r="W238">
        <f t="shared" ca="1" si="71"/>
        <v>11</v>
      </c>
      <c r="X238">
        <f t="shared" ca="1" si="72"/>
        <v>2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46329.610673842595</v>
      </c>
      <c r="V239">
        <f t="shared" ca="1" si="70"/>
        <v>2026</v>
      </c>
      <c r="W239">
        <f t="shared" ca="1" si="71"/>
        <v>11</v>
      </c>
      <c r="X239">
        <f t="shared" ca="1" si="72"/>
        <v>3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1379</v>
      </c>
    </row>
    <row r="240" spans="11:42" x14ac:dyDescent="0.25">
      <c r="U240" s="5">
        <f t="shared" ca="1" si="75"/>
        <v>46330.610673842595</v>
      </c>
      <c r="V240">
        <f t="shared" ca="1" si="70"/>
        <v>2026</v>
      </c>
      <c r="W240">
        <f t="shared" ca="1" si="71"/>
        <v>11</v>
      </c>
      <c r="X240">
        <f t="shared" ca="1" si="72"/>
        <v>4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46331.610673842595</v>
      </c>
      <c r="V241">
        <f t="shared" ca="1" si="70"/>
        <v>2026</v>
      </c>
      <c r="W241">
        <f t="shared" ca="1" si="71"/>
        <v>11</v>
      </c>
      <c r="X241">
        <f t="shared" ca="1" si="72"/>
        <v>5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46332.610673842595</v>
      </c>
      <c r="V242">
        <f t="shared" ca="1" si="70"/>
        <v>2026</v>
      </c>
      <c r="W242">
        <f t="shared" ca="1" si="71"/>
        <v>11</v>
      </c>
      <c r="X242">
        <f t="shared" ca="1" si="72"/>
        <v>6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46333.610673842595</v>
      </c>
      <c r="V243">
        <f t="shared" ca="1" si="70"/>
        <v>2026</v>
      </c>
      <c r="W243">
        <f t="shared" ca="1" si="71"/>
        <v>11</v>
      </c>
      <c r="X243">
        <f t="shared" ca="1" si="72"/>
        <v>7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1366</v>
      </c>
    </row>
    <row r="244" spans="21:42" x14ac:dyDescent="0.25">
      <c r="U244" s="5">
        <f t="shared" ca="1" si="75"/>
        <v>46334.610673842595</v>
      </c>
      <c r="V244">
        <f t="shared" ca="1" si="70"/>
        <v>2026</v>
      </c>
      <c r="W244">
        <f t="shared" ca="1" si="71"/>
        <v>11</v>
      </c>
      <c r="X244">
        <f t="shared" ca="1" si="72"/>
        <v>8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46335.610673842595</v>
      </c>
      <c r="V245">
        <f t="shared" ca="1" si="70"/>
        <v>2026</v>
      </c>
      <c r="W245">
        <f t="shared" ca="1" si="71"/>
        <v>11</v>
      </c>
      <c r="X245">
        <f t="shared" ca="1" si="72"/>
        <v>9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46336.610673842595</v>
      </c>
      <c r="V246">
        <f t="shared" ca="1" si="70"/>
        <v>2026</v>
      </c>
      <c r="W246">
        <f t="shared" ca="1" si="71"/>
        <v>11</v>
      </c>
      <c r="X246">
        <f t="shared" ca="1" si="72"/>
        <v>10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46337.610673842595</v>
      </c>
      <c r="V247">
        <f t="shared" ca="1" si="70"/>
        <v>2026</v>
      </c>
      <c r="W247">
        <f t="shared" ca="1" si="71"/>
        <v>11</v>
      </c>
      <c r="X247">
        <f t="shared" ca="1" si="72"/>
        <v>11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46338.610673842595</v>
      </c>
      <c r="V248">
        <f t="shared" ca="1" si="70"/>
        <v>2026</v>
      </c>
      <c r="W248">
        <f t="shared" ca="1" si="71"/>
        <v>11</v>
      </c>
      <c r="X248">
        <f t="shared" ca="1" si="72"/>
        <v>12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1512</v>
      </c>
    </row>
    <row r="249" spans="21:42" x14ac:dyDescent="0.25">
      <c r="U249" s="5">
        <f t="shared" ca="1" si="75"/>
        <v>46339.610673842595</v>
      </c>
      <c r="V249">
        <f t="shared" ca="1" si="70"/>
        <v>2026</v>
      </c>
      <c r="W249">
        <f t="shared" ca="1" si="71"/>
        <v>11</v>
      </c>
      <c r="X249">
        <f t="shared" ca="1" si="72"/>
        <v>13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46340.610673842595</v>
      </c>
      <c r="V250">
        <f t="shared" ca="1" si="70"/>
        <v>2026</v>
      </c>
      <c r="W250">
        <f t="shared" ca="1" si="71"/>
        <v>11</v>
      </c>
      <c r="X250">
        <f t="shared" ca="1" si="72"/>
        <v>14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1416</v>
      </c>
      <c r="AO250" s="1">
        <v>61</v>
      </c>
      <c r="AP250" t="s">
        <v>1372</v>
      </c>
    </row>
    <row r="251" spans="21:42" x14ac:dyDescent="0.25">
      <c r="U251" s="5">
        <f t="shared" ca="1" si="75"/>
        <v>46341.610673842595</v>
      </c>
      <c r="V251">
        <f t="shared" ca="1" si="70"/>
        <v>2026</v>
      </c>
      <c r="W251">
        <f t="shared" ca="1" si="71"/>
        <v>11</v>
      </c>
      <c r="X251">
        <f t="shared" ca="1" si="72"/>
        <v>15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46342.610673842595</v>
      </c>
      <c r="V252">
        <f t="shared" ca="1" si="70"/>
        <v>2026</v>
      </c>
      <c r="W252">
        <f t="shared" ca="1" si="71"/>
        <v>11</v>
      </c>
      <c r="X252">
        <f t="shared" ca="1" si="72"/>
        <v>16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46343.610673842595</v>
      </c>
      <c r="V253">
        <f t="shared" ca="1" si="70"/>
        <v>2026</v>
      </c>
      <c r="W253">
        <f t="shared" ca="1" si="71"/>
        <v>11</v>
      </c>
      <c r="X253">
        <f t="shared" ca="1" si="72"/>
        <v>17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46344.610673842595</v>
      </c>
      <c r="V254">
        <f t="shared" ca="1" si="70"/>
        <v>2026</v>
      </c>
      <c r="W254">
        <f t="shared" ca="1" si="71"/>
        <v>11</v>
      </c>
      <c r="X254">
        <f t="shared" ca="1" si="72"/>
        <v>18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46345.610673842595</v>
      </c>
      <c r="V255">
        <f t="shared" ca="1" si="70"/>
        <v>2026</v>
      </c>
      <c r="W255">
        <f t="shared" ca="1" si="71"/>
        <v>11</v>
      </c>
      <c r="X255">
        <f t="shared" ca="1" si="72"/>
        <v>19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46346.610673842595</v>
      </c>
      <c r="V256">
        <f t="shared" ca="1" si="70"/>
        <v>2026</v>
      </c>
      <c r="W256">
        <f t="shared" ca="1" si="71"/>
        <v>11</v>
      </c>
      <c r="X256">
        <f t="shared" ca="1" si="72"/>
        <v>20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46347.610673842595</v>
      </c>
      <c r="V257">
        <f t="shared" ca="1" si="70"/>
        <v>2026</v>
      </c>
      <c r="W257">
        <f t="shared" ca="1" si="71"/>
        <v>11</v>
      </c>
      <c r="X257">
        <f t="shared" ca="1" si="72"/>
        <v>21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46348.610673842595</v>
      </c>
      <c r="V258">
        <f t="shared" ca="1" si="70"/>
        <v>2026</v>
      </c>
      <c r="W258">
        <f t="shared" ca="1" si="71"/>
        <v>11</v>
      </c>
      <c r="X258">
        <f t="shared" ca="1" si="72"/>
        <v>22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46349.610673842595</v>
      </c>
      <c r="V259">
        <f t="shared" ca="1" si="70"/>
        <v>2026</v>
      </c>
      <c r="W259">
        <f t="shared" ca="1" si="71"/>
        <v>11</v>
      </c>
      <c r="X259">
        <f t="shared" ca="1" si="72"/>
        <v>23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46350.610673842595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24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1415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46351.610673842595</v>
      </c>
      <c r="V261">
        <f t="shared" ca="1" si="76"/>
        <v>2026</v>
      </c>
      <c r="W261">
        <f t="shared" ca="1" si="77"/>
        <v>11</v>
      </c>
      <c r="X261">
        <f t="shared" ca="1" si="78"/>
        <v>25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46352.610673842595</v>
      </c>
      <c r="V262">
        <f t="shared" ca="1" si="76"/>
        <v>2026</v>
      </c>
      <c r="W262">
        <f t="shared" ca="1" si="77"/>
        <v>11</v>
      </c>
      <c r="X262">
        <f t="shared" ca="1" si="78"/>
        <v>26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1415</v>
      </c>
      <c r="AO262" s="1">
        <v>77</v>
      </c>
      <c r="AP262" t="s">
        <v>1370</v>
      </c>
    </row>
    <row r="263" spans="21:42" x14ac:dyDescent="0.25">
      <c r="U263" s="5">
        <f t="shared" ca="1" si="81"/>
        <v>46353.610673842595</v>
      </c>
      <c r="V263">
        <f t="shared" ca="1" si="76"/>
        <v>2026</v>
      </c>
      <c r="W263">
        <f t="shared" ca="1" si="77"/>
        <v>11</v>
      </c>
      <c r="X263">
        <f t="shared" ca="1" si="78"/>
        <v>27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46354.610673842595</v>
      </c>
      <c r="V264">
        <f t="shared" ca="1" si="76"/>
        <v>2026</v>
      </c>
      <c r="W264">
        <f t="shared" ca="1" si="77"/>
        <v>11</v>
      </c>
      <c r="X264">
        <f t="shared" ca="1" si="78"/>
        <v>28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1500</v>
      </c>
    </row>
    <row r="265" spans="21:42" x14ac:dyDescent="0.25">
      <c r="U265" s="5">
        <f t="shared" ca="1" si="81"/>
        <v>46355.610673842595</v>
      </c>
      <c r="V265">
        <f t="shared" ca="1" si="76"/>
        <v>2026</v>
      </c>
      <c r="W265">
        <f t="shared" ca="1" si="77"/>
        <v>11</v>
      </c>
      <c r="X265">
        <f t="shared" ca="1" si="78"/>
        <v>29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1396</v>
      </c>
      <c r="AN265" t="s">
        <v>258</v>
      </c>
      <c r="AO265" s="1">
        <v>70</v>
      </c>
      <c r="AP265" t="s">
        <v>1374</v>
      </c>
    </row>
    <row r="266" spans="21:42" x14ac:dyDescent="0.25">
      <c r="U266" s="5">
        <f t="shared" ca="1" si="81"/>
        <v>46356.610673842595</v>
      </c>
      <c r="V266">
        <f t="shared" ca="1" si="76"/>
        <v>2026</v>
      </c>
      <c r="W266">
        <f t="shared" ca="1" si="77"/>
        <v>11</v>
      </c>
      <c r="X266">
        <f t="shared" ca="1" si="78"/>
        <v>30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1510</v>
      </c>
    </row>
    <row r="267" spans="21:42" x14ac:dyDescent="0.25">
      <c r="U267" s="5">
        <f t="shared" ca="1" si="81"/>
        <v>46357.610673842595</v>
      </c>
      <c r="V267">
        <f t="shared" ca="1" si="76"/>
        <v>2026</v>
      </c>
      <c r="W267">
        <f t="shared" ca="1" si="77"/>
        <v>12</v>
      </c>
      <c r="X267">
        <f t="shared" ca="1" si="78"/>
        <v>1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1513</v>
      </c>
    </row>
    <row r="268" spans="21:42" x14ac:dyDescent="0.25">
      <c r="U268" s="5">
        <f t="shared" ca="1" si="81"/>
        <v>46358.610673842595</v>
      </c>
      <c r="V268">
        <f t="shared" ca="1" si="76"/>
        <v>2026</v>
      </c>
      <c r="W268">
        <f t="shared" ca="1" si="77"/>
        <v>12</v>
      </c>
      <c r="X268">
        <f t="shared" ca="1" si="78"/>
        <v>2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1514</v>
      </c>
    </row>
    <row r="269" spans="21:42" x14ac:dyDescent="0.25">
      <c r="U269" s="5">
        <f t="shared" ca="1" si="81"/>
        <v>46359.610673842595</v>
      </c>
      <c r="V269">
        <f t="shared" ca="1" si="76"/>
        <v>2026</v>
      </c>
      <c r="W269">
        <f t="shared" ca="1" si="77"/>
        <v>12</v>
      </c>
      <c r="X269">
        <f t="shared" ca="1" si="78"/>
        <v>3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46360.610673842595</v>
      </c>
      <c r="V270">
        <f t="shared" ca="1" si="76"/>
        <v>2026</v>
      </c>
      <c r="W270">
        <f t="shared" ca="1" si="77"/>
        <v>12</v>
      </c>
      <c r="X270">
        <f t="shared" ca="1" si="78"/>
        <v>4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46361.610673842595</v>
      </c>
      <c r="V271">
        <f t="shared" ca="1" si="76"/>
        <v>2026</v>
      </c>
      <c r="W271">
        <f t="shared" ca="1" si="77"/>
        <v>12</v>
      </c>
      <c r="X271">
        <f t="shared" ca="1" si="78"/>
        <v>5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1417</v>
      </c>
      <c r="AO271" s="1">
        <v>95</v>
      </c>
      <c r="AP271" t="s">
        <v>1504</v>
      </c>
    </row>
    <row r="272" spans="21:42" x14ac:dyDescent="0.25">
      <c r="U272" s="5">
        <f t="shared" ca="1" si="81"/>
        <v>46362.610673842595</v>
      </c>
      <c r="V272">
        <f t="shared" ca="1" si="76"/>
        <v>2026</v>
      </c>
      <c r="W272">
        <f t="shared" ca="1" si="77"/>
        <v>12</v>
      </c>
      <c r="X272">
        <f t="shared" ca="1" si="78"/>
        <v>6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46363.610673842595</v>
      </c>
      <c r="V273">
        <f t="shared" ca="1" si="76"/>
        <v>2026</v>
      </c>
      <c r="W273">
        <f t="shared" ca="1" si="77"/>
        <v>12</v>
      </c>
      <c r="X273">
        <f t="shared" ca="1" si="78"/>
        <v>7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46364.610673842595</v>
      </c>
      <c r="V274">
        <f t="shared" ca="1" si="76"/>
        <v>2026</v>
      </c>
      <c r="W274">
        <f t="shared" ca="1" si="77"/>
        <v>12</v>
      </c>
      <c r="X274">
        <f t="shared" ca="1" si="78"/>
        <v>8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46365.610673842595</v>
      </c>
      <c r="V275">
        <f t="shared" ca="1" si="76"/>
        <v>2026</v>
      </c>
      <c r="W275">
        <f t="shared" ca="1" si="77"/>
        <v>12</v>
      </c>
      <c r="X275">
        <f t="shared" ca="1" si="78"/>
        <v>9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46366.610673842595</v>
      </c>
      <c r="V276">
        <f t="shared" ca="1" si="76"/>
        <v>2026</v>
      </c>
      <c r="W276">
        <f t="shared" ca="1" si="77"/>
        <v>12</v>
      </c>
      <c r="X276">
        <f t="shared" ca="1" si="78"/>
        <v>10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1516</v>
      </c>
    </row>
    <row r="277" spans="21:42" x14ac:dyDescent="0.25">
      <c r="U277" s="5">
        <f t="shared" ca="1" si="81"/>
        <v>46367.610673842595</v>
      </c>
      <c r="V277">
        <f t="shared" ca="1" si="76"/>
        <v>2026</v>
      </c>
      <c r="W277">
        <f t="shared" ca="1" si="77"/>
        <v>12</v>
      </c>
      <c r="X277">
        <f t="shared" ca="1" si="78"/>
        <v>11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46368.610673842595</v>
      </c>
      <c r="V278">
        <f t="shared" ca="1" si="76"/>
        <v>2026</v>
      </c>
      <c r="W278">
        <f t="shared" ca="1" si="77"/>
        <v>12</v>
      </c>
      <c r="X278">
        <f t="shared" ca="1" si="78"/>
        <v>12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46369.610673842595</v>
      </c>
      <c r="V279">
        <f t="shared" ca="1" si="76"/>
        <v>2026</v>
      </c>
      <c r="W279">
        <f t="shared" ca="1" si="77"/>
        <v>12</v>
      </c>
      <c r="X279">
        <f t="shared" ca="1" si="78"/>
        <v>13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1366</v>
      </c>
    </row>
    <row r="280" spans="21:42" x14ac:dyDescent="0.25">
      <c r="U280" s="5">
        <f t="shared" ca="1" si="81"/>
        <v>46370.610673842595</v>
      </c>
      <c r="V280">
        <f t="shared" ca="1" si="76"/>
        <v>2026</v>
      </c>
      <c r="W280">
        <f t="shared" ca="1" si="77"/>
        <v>12</v>
      </c>
      <c r="X280">
        <f t="shared" ca="1" si="78"/>
        <v>14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46371.610673842595</v>
      </c>
      <c r="V281">
        <f t="shared" ca="1" si="76"/>
        <v>2026</v>
      </c>
      <c r="W281">
        <f t="shared" ca="1" si="77"/>
        <v>12</v>
      </c>
      <c r="X281">
        <f t="shared" ca="1" si="78"/>
        <v>15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46372.610673842595</v>
      </c>
      <c r="V282">
        <f t="shared" ca="1" si="76"/>
        <v>2026</v>
      </c>
      <c r="W282">
        <f t="shared" ca="1" si="77"/>
        <v>12</v>
      </c>
      <c r="X282">
        <f t="shared" ca="1" si="78"/>
        <v>16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46373.610673842595</v>
      </c>
      <c r="V283">
        <f t="shared" ca="1" si="76"/>
        <v>2026</v>
      </c>
      <c r="W283">
        <f t="shared" ca="1" si="77"/>
        <v>12</v>
      </c>
      <c r="X283">
        <f t="shared" ca="1" si="78"/>
        <v>17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46374.610673842595</v>
      </c>
      <c r="V284">
        <f t="shared" ca="1" si="76"/>
        <v>2026</v>
      </c>
      <c r="W284">
        <f t="shared" ca="1" si="77"/>
        <v>12</v>
      </c>
      <c r="X284">
        <f t="shared" ca="1" si="78"/>
        <v>18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46375.610673842595</v>
      </c>
      <c r="V285">
        <f t="shared" ca="1" si="76"/>
        <v>2026</v>
      </c>
      <c r="W285">
        <f t="shared" ca="1" si="77"/>
        <v>12</v>
      </c>
      <c r="X285">
        <f t="shared" ca="1" si="78"/>
        <v>19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1395</v>
      </c>
    </row>
    <row r="286" spans="21:42" x14ac:dyDescent="0.25">
      <c r="U286" s="5">
        <f t="shared" ca="1" si="81"/>
        <v>46376.610673842595</v>
      </c>
      <c r="V286">
        <f t="shared" ca="1" si="76"/>
        <v>2026</v>
      </c>
      <c r="W286">
        <f t="shared" ca="1" si="77"/>
        <v>12</v>
      </c>
      <c r="X286">
        <f t="shared" ca="1" si="78"/>
        <v>20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1416</v>
      </c>
      <c r="AO286" s="1">
        <v>61</v>
      </c>
      <c r="AP286" t="s">
        <v>1372</v>
      </c>
    </row>
    <row r="287" spans="21:42" x14ac:dyDescent="0.25">
      <c r="U287" s="5">
        <f t="shared" ca="1" si="81"/>
        <v>46377.610673842595</v>
      </c>
      <c r="V287">
        <f t="shared" ca="1" si="76"/>
        <v>2026</v>
      </c>
      <c r="W287">
        <f t="shared" ca="1" si="77"/>
        <v>12</v>
      </c>
      <c r="X287">
        <f t="shared" ca="1" si="78"/>
        <v>21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46378.610673842595</v>
      </c>
      <c r="V288">
        <f t="shared" ca="1" si="76"/>
        <v>2026</v>
      </c>
      <c r="W288">
        <f t="shared" ca="1" si="77"/>
        <v>12</v>
      </c>
      <c r="X288">
        <f t="shared" ca="1" si="78"/>
        <v>22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46379.610673842595</v>
      </c>
      <c r="V289">
        <f t="shared" ca="1" si="76"/>
        <v>2026</v>
      </c>
      <c r="W289">
        <f t="shared" ca="1" si="77"/>
        <v>12</v>
      </c>
      <c r="X289">
        <f t="shared" ca="1" si="78"/>
        <v>23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46380.610673842595</v>
      </c>
      <c r="V290">
        <f t="shared" ca="1" si="76"/>
        <v>2026</v>
      </c>
      <c r="W290">
        <f t="shared" ca="1" si="77"/>
        <v>12</v>
      </c>
      <c r="X290">
        <f t="shared" ca="1" si="78"/>
        <v>24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46381.610673842595</v>
      </c>
      <c r="V291">
        <f t="shared" ca="1" si="76"/>
        <v>2026</v>
      </c>
      <c r="W291">
        <f t="shared" ca="1" si="77"/>
        <v>12</v>
      </c>
      <c r="X291">
        <f t="shared" ca="1" si="78"/>
        <v>25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46382.610673842595</v>
      </c>
      <c r="V292">
        <f t="shared" ca="1" si="76"/>
        <v>2026</v>
      </c>
      <c r="W292">
        <f t="shared" ca="1" si="77"/>
        <v>12</v>
      </c>
      <c r="X292">
        <f t="shared" ca="1" si="78"/>
        <v>26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46383.610673842595</v>
      </c>
      <c r="V293">
        <f t="shared" ca="1" si="76"/>
        <v>2026</v>
      </c>
      <c r="W293">
        <f t="shared" ca="1" si="77"/>
        <v>12</v>
      </c>
      <c r="X293">
        <f t="shared" ca="1" si="78"/>
        <v>27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46384.610673842595</v>
      </c>
      <c r="V294">
        <f t="shared" ca="1" si="76"/>
        <v>2026</v>
      </c>
      <c r="W294">
        <f t="shared" ca="1" si="77"/>
        <v>12</v>
      </c>
      <c r="X294">
        <f t="shared" ca="1" si="78"/>
        <v>28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46385.610673842595</v>
      </c>
      <c r="V295">
        <f t="shared" ca="1" si="76"/>
        <v>2026</v>
      </c>
      <c r="W295">
        <f t="shared" ca="1" si="77"/>
        <v>12</v>
      </c>
      <c r="X295">
        <f t="shared" ca="1" si="78"/>
        <v>29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46386.610673842595</v>
      </c>
      <c r="V296">
        <f t="shared" ca="1" si="76"/>
        <v>2026</v>
      </c>
      <c r="W296">
        <f t="shared" ca="1" si="77"/>
        <v>12</v>
      </c>
      <c r="X296">
        <f t="shared" ca="1" si="78"/>
        <v>30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1415</v>
      </c>
      <c r="AO296" s="1">
        <v>95</v>
      </c>
      <c r="AP296" t="s">
        <v>7</v>
      </c>
    </row>
    <row r="297" spans="21:42" x14ac:dyDescent="0.25">
      <c r="U297" s="5">
        <f t="shared" ca="1" si="81"/>
        <v>46387.610673842595</v>
      </c>
      <c r="V297">
        <f t="shared" ca="1" si="76"/>
        <v>2026</v>
      </c>
      <c r="W297">
        <f t="shared" ca="1" si="77"/>
        <v>12</v>
      </c>
      <c r="X297">
        <f t="shared" ca="1" si="78"/>
        <v>31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46388.610673842595</v>
      </c>
      <c r="V298">
        <f t="shared" ca="1" si="76"/>
        <v>2027</v>
      </c>
      <c r="W298">
        <f t="shared" ca="1" si="77"/>
        <v>1</v>
      </c>
      <c r="X298">
        <f t="shared" ca="1" si="78"/>
        <v>1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1415</v>
      </c>
      <c r="AO298" s="1">
        <v>77</v>
      </c>
      <c r="AP298" t="s">
        <v>1370</v>
      </c>
    </row>
    <row r="299" spans="21:42" x14ac:dyDescent="0.25">
      <c r="U299" s="5">
        <f t="shared" ca="1" si="81"/>
        <v>46389.610673842595</v>
      </c>
      <c r="V299">
        <f t="shared" ca="1" si="76"/>
        <v>2027</v>
      </c>
      <c r="W299">
        <f t="shared" ca="1" si="77"/>
        <v>1</v>
      </c>
      <c r="X299">
        <f t="shared" ca="1" si="78"/>
        <v>2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46390.610673842595</v>
      </c>
      <c r="V300">
        <f t="shared" ca="1" si="76"/>
        <v>2027</v>
      </c>
      <c r="W300">
        <f t="shared" ca="1" si="77"/>
        <v>1</v>
      </c>
      <c r="X300">
        <f t="shared" ca="1" si="78"/>
        <v>3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1500</v>
      </c>
    </row>
    <row r="301" spans="21:42" x14ac:dyDescent="0.25">
      <c r="U301" s="5">
        <f t="shared" ca="1" si="81"/>
        <v>46391.610673842595</v>
      </c>
      <c r="V301">
        <f t="shared" ca="1" si="76"/>
        <v>2027</v>
      </c>
      <c r="W301">
        <f t="shared" ca="1" si="77"/>
        <v>1</v>
      </c>
      <c r="X301">
        <f t="shared" ca="1" si="78"/>
        <v>4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1396</v>
      </c>
      <c r="AN301" t="s">
        <v>258</v>
      </c>
      <c r="AO301" s="1">
        <v>70</v>
      </c>
      <c r="AP301" t="s">
        <v>1374</v>
      </c>
    </row>
    <row r="302" spans="21:42" x14ac:dyDescent="0.25">
      <c r="U302" s="5">
        <f t="shared" ca="1" si="81"/>
        <v>46392.610673842595</v>
      </c>
      <c r="V302">
        <f t="shared" ca="1" si="76"/>
        <v>2027</v>
      </c>
      <c r="W302">
        <f t="shared" ca="1" si="77"/>
        <v>1</v>
      </c>
      <c r="X302">
        <f t="shared" ca="1" si="78"/>
        <v>5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1502</v>
      </c>
    </row>
    <row r="303" spans="21:42" x14ac:dyDescent="0.25">
      <c r="U303" s="5">
        <f t="shared" ca="1" si="81"/>
        <v>46393.610673842595</v>
      </c>
      <c r="V303">
        <f t="shared" ca="1" si="76"/>
        <v>2027</v>
      </c>
      <c r="W303">
        <f t="shared" ca="1" si="77"/>
        <v>1</v>
      </c>
      <c r="X303">
        <f t="shared" ca="1" si="78"/>
        <v>6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1513</v>
      </c>
    </row>
    <row r="304" spans="21:42" x14ac:dyDescent="0.25">
      <c r="U304" s="5">
        <f t="shared" ca="1" si="81"/>
        <v>46394.610673842595</v>
      </c>
      <c r="V304">
        <f t="shared" ca="1" si="76"/>
        <v>2027</v>
      </c>
      <c r="W304">
        <f t="shared" ca="1" si="77"/>
        <v>1</v>
      </c>
      <c r="X304">
        <f t="shared" ca="1" si="78"/>
        <v>7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1515</v>
      </c>
    </row>
    <row r="305" spans="21:42" x14ac:dyDescent="0.25">
      <c r="U305" s="5">
        <f t="shared" ca="1" si="81"/>
        <v>46395.610673842595</v>
      </c>
      <c r="V305">
        <f t="shared" ca="1" si="76"/>
        <v>2027</v>
      </c>
      <c r="W305">
        <f t="shared" ca="1" si="77"/>
        <v>1</v>
      </c>
      <c r="X305">
        <f t="shared" ca="1" si="78"/>
        <v>8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46396.610673842595</v>
      </c>
      <c r="V306">
        <f t="shared" ca="1" si="76"/>
        <v>2027</v>
      </c>
      <c r="W306">
        <f t="shared" ca="1" si="77"/>
        <v>1</v>
      </c>
      <c r="X306">
        <f t="shared" ca="1" si="78"/>
        <v>9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46397.610673842595</v>
      </c>
      <c r="V307">
        <f t="shared" ca="1" si="76"/>
        <v>2027</v>
      </c>
      <c r="W307">
        <f t="shared" ca="1" si="77"/>
        <v>1</v>
      </c>
      <c r="X307">
        <f t="shared" ca="1" si="78"/>
        <v>10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1417</v>
      </c>
      <c r="AO307" s="1">
        <v>95</v>
      </c>
      <c r="AP307" t="s">
        <v>1504</v>
      </c>
    </row>
    <row r="308" spans="21:42" x14ac:dyDescent="0.25">
      <c r="U308" s="5">
        <f t="shared" ca="1" si="81"/>
        <v>46398.610673842595</v>
      </c>
      <c r="V308">
        <f t="shared" ca="1" si="76"/>
        <v>2027</v>
      </c>
      <c r="W308">
        <f t="shared" ca="1" si="77"/>
        <v>1</v>
      </c>
      <c r="X308">
        <f t="shared" ca="1" si="78"/>
        <v>11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46399.610673842595</v>
      </c>
      <c r="V309">
        <f t="shared" ca="1" si="76"/>
        <v>2027</v>
      </c>
      <c r="W309">
        <f t="shared" ca="1" si="77"/>
        <v>1</v>
      </c>
      <c r="X309">
        <f t="shared" ca="1" si="78"/>
        <v>12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46400.610673842595</v>
      </c>
      <c r="V310">
        <f t="shared" ca="1" si="76"/>
        <v>2027</v>
      </c>
      <c r="W310">
        <f t="shared" ca="1" si="77"/>
        <v>1</v>
      </c>
      <c r="X310">
        <f t="shared" ca="1" si="78"/>
        <v>13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46401.610673842595</v>
      </c>
      <c r="V311">
        <f t="shared" ca="1" si="76"/>
        <v>2027</v>
      </c>
      <c r="W311">
        <f t="shared" ca="1" si="77"/>
        <v>1</v>
      </c>
      <c r="X311">
        <f t="shared" ca="1" si="78"/>
        <v>14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46402.610673842595</v>
      </c>
      <c r="V312">
        <f t="shared" ca="1" si="76"/>
        <v>2027</v>
      </c>
      <c r="W312">
        <f t="shared" ca="1" si="77"/>
        <v>1</v>
      </c>
      <c r="X312">
        <f t="shared" ca="1" si="78"/>
        <v>15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1379</v>
      </c>
    </row>
    <row r="313" spans="21:42" x14ac:dyDescent="0.25">
      <c r="U313" s="5">
        <f t="shared" ca="1" si="81"/>
        <v>46403.610673842595</v>
      </c>
      <c r="V313">
        <f t="shared" ca="1" si="76"/>
        <v>2027</v>
      </c>
      <c r="W313">
        <f t="shared" ca="1" si="77"/>
        <v>1</v>
      </c>
      <c r="X313">
        <f t="shared" ca="1" si="78"/>
        <v>16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46404.610673842595</v>
      </c>
      <c r="V314">
        <f t="shared" ca="1" si="76"/>
        <v>2027</v>
      </c>
      <c r="W314">
        <f t="shared" ca="1" si="77"/>
        <v>1</v>
      </c>
      <c r="X314">
        <f t="shared" ca="1" si="78"/>
        <v>17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46405.610673842595</v>
      </c>
      <c r="V315">
        <f t="shared" ca="1" si="76"/>
        <v>2027</v>
      </c>
      <c r="W315">
        <f t="shared" ca="1" si="77"/>
        <v>1</v>
      </c>
      <c r="X315">
        <f t="shared" ca="1" si="78"/>
        <v>18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1366</v>
      </c>
    </row>
    <row r="316" spans="21:42" x14ac:dyDescent="0.25">
      <c r="U316" s="5">
        <f t="shared" ca="1" si="81"/>
        <v>46406.610673842595</v>
      </c>
      <c r="V316">
        <f t="shared" ca="1" si="76"/>
        <v>2027</v>
      </c>
      <c r="W316">
        <f t="shared" ca="1" si="77"/>
        <v>1</v>
      </c>
      <c r="X316">
        <f t="shared" ca="1" si="78"/>
        <v>19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46407.610673842595</v>
      </c>
      <c r="V317">
        <f t="shared" ca="1" si="76"/>
        <v>2027</v>
      </c>
      <c r="W317">
        <f t="shared" ca="1" si="77"/>
        <v>1</v>
      </c>
      <c r="X317">
        <f t="shared" ca="1" si="78"/>
        <v>20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46408.610673842595</v>
      </c>
      <c r="V318">
        <f t="shared" ca="1" si="76"/>
        <v>2027</v>
      </c>
      <c r="W318">
        <f t="shared" ca="1" si="77"/>
        <v>1</v>
      </c>
      <c r="X318">
        <f t="shared" ca="1" si="78"/>
        <v>21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46409.610673842595</v>
      </c>
      <c r="V319">
        <f t="shared" ca="1" si="76"/>
        <v>2027</v>
      </c>
      <c r="W319">
        <f t="shared" ca="1" si="77"/>
        <v>1</v>
      </c>
      <c r="X319">
        <f t="shared" ca="1" si="78"/>
        <v>22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46410.610673842595</v>
      </c>
      <c r="V320">
        <f t="shared" ca="1" si="76"/>
        <v>2027</v>
      </c>
      <c r="W320">
        <f t="shared" ca="1" si="77"/>
        <v>1</v>
      </c>
      <c r="X320">
        <f t="shared" ca="1" si="78"/>
        <v>23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1505</v>
      </c>
    </row>
    <row r="321" spans="21:42" x14ac:dyDescent="0.25">
      <c r="U321" s="5">
        <f t="shared" ca="1" si="81"/>
        <v>46411.610673842595</v>
      </c>
      <c r="V321">
        <f t="shared" ca="1" si="76"/>
        <v>2027</v>
      </c>
      <c r="W321">
        <f t="shared" ca="1" si="77"/>
        <v>1</v>
      </c>
      <c r="X321">
        <f t="shared" ca="1" si="78"/>
        <v>24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46412.610673842595</v>
      </c>
      <c r="V322">
        <f t="shared" ca="1" si="76"/>
        <v>2027</v>
      </c>
      <c r="W322">
        <f t="shared" ca="1" si="77"/>
        <v>1</v>
      </c>
      <c r="X322">
        <f t="shared" ca="1" si="78"/>
        <v>25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1416</v>
      </c>
      <c r="AO322" s="1">
        <v>61</v>
      </c>
      <c r="AP322" t="s">
        <v>1372</v>
      </c>
    </row>
    <row r="323" spans="21:42" x14ac:dyDescent="0.25">
      <c r="U323" s="5">
        <f t="shared" ca="1" si="81"/>
        <v>46413.610673842595</v>
      </c>
      <c r="V323">
        <f t="shared" ca="1" si="76"/>
        <v>2027</v>
      </c>
      <c r="W323">
        <f t="shared" ca="1" si="77"/>
        <v>1</v>
      </c>
      <c r="X323">
        <f t="shared" ca="1" si="78"/>
        <v>26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46414.610673842595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27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46415.610673842595</v>
      </c>
      <c r="V325">
        <f t="shared" ca="1" si="82"/>
        <v>2027</v>
      </c>
      <c r="W325">
        <f t="shared" ca="1" si="83"/>
        <v>1</v>
      </c>
      <c r="X325">
        <f t="shared" ca="1" si="84"/>
        <v>28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46416.610673842595</v>
      </c>
      <c r="V326">
        <f t="shared" ca="1" si="82"/>
        <v>2027</v>
      </c>
      <c r="W326">
        <f t="shared" ca="1" si="83"/>
        <v>1</v>
      </c>
      <c r="X326">
        <f t="shared" ca="1" si="84"/>
        <v>29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46417.610673842595</v>
      </c>
      <c r="V327">
        <f t="shared" ca="1" si="82"/>
        <v>2027</v>
      </c>
      <c r="W327">
        <f t="shared" ca="1" si="83"/>
        <v>1</v>
      </c>
      <c r="X327">
        <f t="shared" ca="1" si="84"/>
        <v>30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46418.610673842595</v>
      </c>
      <c r="V328">
        <f t="shared" ca="1" si="82"/>
        <v>2027</v>
      </c>
      <c r="W328">
        <f t="shared" ca="1" si="83"/>
        <v>1</v>
      </c>
      <c r="X328">
        <f t="shared" ca="1" si="84"/>
        <v>31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46419.610673842595</v>
      </c>
      <c r="V329">
        <f t="shared" ca="1" si="82"/>
        <v>2027</v>
      </c>
      <c r="W329">
        <f t="shared" ca="1" si="83"/>
        <v>2</v>
      </c>
      <c r="X329">
        <f t="shared" ca="1" si="84"/>
        <v>1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46420.610673842595</v>
      </c>
      <c r="V330">
        <f t="shared" ca="1" si="82"/>
        <v>2027</v>
      </c>
      <c r="W330">
        <f t="shared" ca="1" si="83"/>
        <v>2</v>
      </c>
      <c r="X330">
        <f t="shared" ca="1" si="84"/>
        <v>2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46421.610673842595</v>
      </c>
      <c r="V331">
        <f t="shared" ca="1" si="82"/>
        <v>2027</v>
      </c>
      <c r="W331">
        <f t="shared" ca="1" si="83"/>
        <v>2</v>
      </c>
      <c r="X331">
        <f t="shared" ca="1" si="84"/>
        <v>3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46422.610673842595</v>
      </c>
      <c r="V332">
        <f t="shared" ca="1" si="82"/>
        <v>2027</v>
      </c>
      <c r="W332">
        <f t="shared" ca="1" si="83"/>
        <v>2</v>
      </c>
      <c r="X332">
        <f t="shared" ca="1" si="84"/>
        <v>4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1415</v>
      </c>
      <c r="AO332" s="1">
        <v>95</v>
      </c>
      <c r="AP332" t="s">
        <v>7</v>
      </c>
    </row>
    <row r="333" spans="21:42" x14ac:dyDescent="0.25">
      <c r="U333" s="5">
        <f t="shared" ca="1" si="87"/>
        <v>46423.610673842595</v>
      </c>
      <c r="V333">
        <f t="shared" ca="1" si="82"/>
        <v>2027</v>
      </c>
      <c r="W333">
        <f t="shared" ca="1" si="83"/>
        <v>2</v>
      </c>
      <c r="X333">
        <f t="shared" ca="1" si="84"/>
        <v>5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46424.610673842595</v>
      </c>
      <c r="V334">
        <f t="shared" ca="1" si="82"/>
        <v>2027</v>
      </c>
      <c r="W334">
        <f t="shared" ca="1" si="83"/>
        <v>2</v>
      </c>
      <c r="X334">
        <f t="shared" ca="1" si="84"/>
        <v>6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1415</v>
      </c>
      <c r="AO334" s="1">
        <v>77</v>
      </c>
      <c r="AP334" t="s">
        <v>1370</v>
      </c>
    </row>
    <row r="335" spans="21:42" x14ac:dyDescent="0.25">
      <c r="U335" s="5">
        <f t="shared" ca="1" si="87"/>
        <v>46425.610673842595</v>
      </c>
      <c r="V335">
        <f t="shared" ca="1" si="82"/>
        <v>2027</v>
      </c>
      <c r="W335">
        <f t="shared" ca="1" si="83"/>
        <v>2</v>
      </c>
      <c r="X335">
        <f t="shared" ca="1" si="84"/>
        <v>7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46426.610673842595</v>
      </c>
      <c r="V336">
        <f t="shared" ca="1" si="82"/>
        <v>2027</v>
      </c>
      <c r="W336">
        <f t="shared" ca="1" si="83"/>
        <v>2</v>
      </c>
      <c r="X336">
        <f t="shared" ca="1" si="84"/>
        <v>8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1500</v>
      </c>
    </row>
    <row r="337" spans="21:42" x14ac:dyDescent="0.25">
      <c r="U337" s="5">
        <f t="shared" ca="1" si="87"/>
        <v>46427.610673842595</v>
      </c>
      <c r="V337">
        <f t="shared" ca="1" si="82"/>
        <v>2027</v>
      </c>
      <c r="W337">
        <f t="shared" ca="1" si="83"/>
        <v>2</v>
      </c>
      <c r="X337">
        <f t="shared" ca="1" si="84"/>
        <v>9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1506</v>
      </c>
    </row>
    <row r="338" spans="21:42" x14ac:dyDescent="0.25">
      <c r="U338" s="5">
        <f t="shared" ca="1" si="87"/>
        <v>46428.610673842595</v>
      </c>
      <c r="V338">
        <f t="shared" ca="1" si="82"/>
        <v>2027</v>
      </c>
      <c r="W338">
        <f t="shared" ca="1" si="83"/>
        <v>2</v>
      </c>
      <c r="X338">
        <f t="shared" ca="1" si="84"/>
        <v>10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1502</v>
      </c>
    </row>
    <row r="339" spans="21:42" x14ac:dyDescent="0.25">
      <c r="U339" s="5">
        <f t="shared" ca="1" si="87"/>
        <v>46429.610673842595</v>
      </c>
      <c r="V339">
        <f t="shared" ca="1" si="82"/>
        <v>2027</v>
      </c>
      <c r="W339">
        <f t="shared" ca="1" si="83"/>
        <v>2</v>
      </c>
      <c r="X339">
        <f t="shared" ca="1" si="84"/>
        <v>11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1503</v>
      </c>
    </row>
    <row r="340" spans="21:42" x14ac:dyDescent="0.25">
      <c r="U340" s="5">
        <f t="shared" ca="1" si="87"/>
        <v>46430.610673842595</v>
      </c>
      <c r="V340">
        <f t="shared" ca="1" si="82"/>
        <v>2027</v>
      </c>
      <c r="W340">
        <f t="shared" ca="1" si="83"/>
        <v>2</v>
      </c>
      <c r="X340">
        <f t="shared" ca="1" si="84"/>
        <v>12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46431.610673842595</v>
      </c>
      <c r="V341">
        <f t="shared" ca="1" si="82"/>
        <v>2027</v>
      </c>
      <c r="W341">
        <f t="shared" ca="1" si="83"/>
        <v>2</v>
      </c>
      <c r="X341">
        <f t="shared" ca="1" si="84"/>
        <v>13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1396</v>
      </c>
      <c r="AN341" t="s">
        <v>258</v>
      </c>
      <c r="AO341" s="1">
        <v>70</v>
      </c>
      <c r="AP341" t="s">
        <v>1374</v>
      </c>
    </row>
    <row r="342" spans="21:42" x14ac:dyDescent="0.25">
      <c r="U342" s="5">
        <f t="shared" ca="1" si="87"/>
        <v>46432.610673842595</v>
      </c>
      <c r="V342">
        <f t="shared" ca="1" si="82"/>
        <v>2027</v>
      </c>
      <c r="W342">
        <f t="shared" ca="1" si="83"/>
        <v>2</v>
      </c>
      <c r="X342">
        <f t="shared" ca="1" si="84"/>
        <v>14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46433.610673842595</v>
      </c>
      <c r="V343">
        <f t="shared" ca="1" si="82"/>
        <v>2027</v>
      </c>
      <c r="W343">
        <f t="shared" ca="1" si="83"/>
        <v>2</v>
      </c>
      <c r="X343">
        <f t="shared" ca="1" si="84"/>
        <v>15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1417</v>
      </c>
      <c r="AO343" s="1">
        <v>95</v>
      </c>
      <c r="AP343" t="s">
        <v>1504</v>
      </c>
    </row>
    <row r="344" spans="21:42" x14ac:dyDescent="0.25">
      <c r="U344" s="5">
        <f t="shared" ca="1" si="87"/>
        <v>46434.610673842595</v>
      </c>
      <c r="V344">
        <f t="shared" ca="1" si="82"/>
        <v>2027</v>
      </c>
      <c r="W344">
        <f t="shared" ca="1" si="83"/>
        <v>2</v>
      </c>
      <c r="X344">
        <f t="shared" ca="1" si="84"/>
        <v>16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46435.610673842595</v>
      </c>
      <c r="V345">
        <f t="shared" ca="1" si="82"/>
        <v>2027</v>
      </c>
      <c r="W345">
        <f t="shared" ca="1" si="83"/>
        <v>2</v>
      </c>
      <c r="X345">
        <f t="shared" ca="1" si="84"/>
        <v>17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46436.610673842595</v>
      </c>
      <c r="V346">
        <f t="shared" ca="1" si="82"/>
        <v>2027</v>
      </c>
      <c r="W346">
        <f t="shared" ca="1" si="83"/>
        <v>2</v>
      </c>
      <c r="X346">
        <f t="shared" ca="1" si="84"/>
        <v>18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46437.610673842595</v>
      </c>
      <c r="V347">
        <f t="shared" ca="1" si="82"/>
        <v>2027</v>
      </c>
      <c r="W347">
        <f t="shared" ca="1" si="83"/>
        <v>2</v>
      </c>
      <c r="X347">
        <f t="shared" ca="1" si="84"/>
        <v>19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1379</v>
      </c>
    </row>
    <row r="348" spans="21:42" x14ac:dyDescent="0.25">
      <c r="U348" s="5">
        <f t="shared" ca="1" si="87"/>
        <v>46438.610673842595</v>
      </c>
      <c r="V348">
        <f t="shared" ca="1" si="82"/>
        <v>2027</v>
      </c>
      <c r="W348">
        <f t="shared" ca="1" si="83"/>
        <v>2</v>
      </c>
      <c r="X348">
        <f t="shared" ca="1" si="84"/>
        <v>20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46439.610673842595</v>
      </c>
      <c r="V349">
        <f t="shared" ca="1" si="82"/>
        <v>2027</v>
      </c>
      <c r="W349">
        <f t="shared" ca="1" si="83"/>
        <v>2</v>
      </c>
      <c r="X349">
        <f t="shared" ca="1" si="84"/>
        <v>21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46440.610673842595</v>
      </c>
      <c r="V350">
        <f t="shared" ca="1" si="82"/>
        <v>2027</v>
      </c>
      <c r="W350">
        <f t="shared" ca="1" si="83"/>
        <v>2</v>
      </c>
      <c r="X350">
        <f t="shared" ca="1" si="84"/>
        <v>22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46441.610673842595</v>
      </c>
      <c r="V351">
        <f t="shared" ca="1" si="82"/>
        <v>2027</v>
      </c>
      <c r="W351">
        <f t="shared" ca="1" si="83"/>
        <v>2</v>
      </c>
      <c r="X351">
        <f t="shared" ca="1" si="84"/>
        <v>23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46442.610673842595</v>
      </c>
      <c r="V352">
        <f t="shared" ca="1" si="82"/>
        <v>2027</v>
      </c>
      <c r="W352">
        <f t="shared" ca="1" si="83"/>
        <v>2</v>
      </c>
      <c r="X352">
        <f t="shared" ca="1" si="84"/>
        <v>24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1366</v>
      </c>
    </row>
    <row r="353" spans="21:42" x14ac:dyDescent="0.25">
      <c r="U353" s="5">
        <f t="shared" ca="1" si="87"/>
        <v>46443.610673842595</v>
      </c>
      <c r="V353">
        <f t="shared" ca="1" si="82"/>
        <v>2027</v>
      </c>
      <c r="W353">
        <f t="shared" ca="1" si="83"/>
        <v>2</v>
      </c>
      <c r="X353">
        <f t="shared" ca="1" si="84"/>
        <v>25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46444.610673842595</v>
      </c>
      <c r="V354">
        <f t="shared" ca="1" si="82"/>
        <v>2027</v>
      </c>
      <c r="W354">
        <f t="shared" ca="1" si="83"/>
        <v>2</v>
      </c>
      <c r="X354">
        <f t="shared" ca="1" si="84"/>
        <v>26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46445.610673842595</v>
      </c>
      <c r="V355">
        <f t="shared" ca="1" si="82"/>
        <v>2027</v>
      </c>
      <c r="W355">
        <f t="shared" ca="1" si="83"/>
        <v>2</v>
      </c>
      <c r="X355">
        <f t="shared" ca="1" si="84"/>
        <v>27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46446.610673842595</v>
      </c>
      <c r="V356">
        <f t="shared" ca="1" si="82"/>
        <v>2027</v>
      </c>
      <c r="W356">
        <f t="shared" ca="1" si="83"/>
        <v>2</v>
      </c>
      <c r="X356">
        <f t="shared" ca="1" si="84"/>
        <v>28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1509</v>
      </c>
    </row>
    <row r="357" spans="21:42" x14ac:dyDescent="0.25">
      <c r="U357" s="5">
        <f t="shared" ca="1" si="87"/>
        <v>46447.610673842595</v>
      </c>
      <c r="V357">
        <f t="shared" ca="1" si="82"/>
        <v>2027</v>
      </c>
      <c r="W357">
        <f t="shared" ca="1" si="83"/>
        <v>3</v>
      </c>
      <c r="X357">
        <f t="shared" ca="1" si="84"/>
        <v>1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46448.610673842595</v>
      </c>
      <c r="V358">
        <f t="shared" ca="1" si="82"/>
        <v>2027</v>
      </c>
      <c r="W358">
        <f t="shared" ca="1" si="83"/>
        <v>3</v>
      </c>
      <c r="X358">
        <f t="shared" ca="1" si="84"/>
        <v>2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1416</v>
      </c>
      <c r="AO358" s="1">
        <v>61</v>
      </c>
      <c r="AP358" t="s">
        <v>1372</v>
      </c>
    </row>
    <row r="359" spans="21:42" x14ac:dyDescent="0.25">
      <c r="U359" s="5">
        <f t="shared" ca="1" si="87"/>
        <v>46449.610673842595</v>
      </c>
      <c r="V359">
        <f t="shared" ca="1" si="82"/>
        <v>2027</v>
      </c>
      <c r="W359">
        <f t="shared" ca="1" si="83"/>
        <v>3</v>
      </c>
      <c r="X359">
        <f t="shared" ca="1" si="84"/>
        <v>3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46450.610673842595</v>
      </c>
      <c r="V360">
        <f t="shared" ca="1" si="82"/>
        <v>2027</v>
      </c>
      <c r="W360">
        <f t="shared" ca="1" si="83"/>
        <v>3</v>
      </c>
      <c r="X360">
        <f t="shared" ca="1" si="84"/>
        <v>4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46451.610673842595</v>
      </c>
      <c r="V361">
        <f t="shared" ca="1" si="82"/>
        <v>2027</v>
      </c>
      <c r="W361">
        <f t="shared" ca="1" si="83"/>
        <v>3</v>
      </c>
      <c r="X361">
        <f t="shared" ca="1" si="84"/>
        <v>5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46452.610673842595</v>
      </c>
      <c r="V362">
        <f t="shared" ca="1" si="82"/>
        <v>2027</v>
      </c>
      <c r="W362">
        <f t="shared" ca="1" si="83"/>
        <v>3</v>
      </c>
      <c r="X362">
        <f t="shared" ca="1" si="84"/>
        <v>6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46453.610673842595</v>
      </c>
      <c r="V363">
        <f t="shared" ca="1" si="82"/>
        <v>2027</v>
      </c>
      <c r="W363">
        <f t="shared" ca="1" si="83"/>
        <v>3</v>
      </c>
      <c r="X363">
        <f t="shared" ca="1" si="84"/>
        <v>7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46454.610673842595</v>
      </c>
      <c r="V364">
        <f t="shared" ca="1" si="82"/>
        <v>2027</v>
      </c>
      <c r="W364">
        <f t="shared" ca="1" si="83"/>
        <v>3</v>
      </c>
      <c r="X364">
        <f t="shared" ca="1" si="84"/>
        <v>8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46455.610673842595</v>
      </c>
      <c r="V365">
        <f t="shared" ca="1" si="82"/>
        <v>2027</v>
      </c>
      <c r="W365">
        <f t="shared" ca="1" si="83"/>
        <v>3</v>
      </c>
      <c r="X365">
        <f t="shared" ca="1" si="84"/>
        <v>9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46456.610673842595</v>
      </c>
      <c r="V366">
        <f t="shared" ca="1" si="82"/>
        <v>2027</v>
      </c>
      <c r="W366">
        <f t="shared" ca="1" si="83"/>
        <v>3</v>
      </c>
      <c r="X366">
        <f t="shared" ca="1" si="84"/>
        <v>10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46457.610673842595</v>
      </c>
      <c r="V367">
        <f t="shared" ca="1" si="82"/>
        <v>2027</v>
      </c>
      <c r="W367">
        <f t="shared" ca="1" si="83"/>
        <v>3</v>
      </c>
      <c r="X367">
        <f t="shared" ca="1" si="84"/>
        <v>11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46458.610673842595</v>
      </c>
      <c r="V368">
        <f t="shared" ca="1" si="82"/>
        <v>2027</v>
      </c>
      <c r="W368">
        <f t="shared" ca="1" si="83"/>
        <v>3</v>
      </c>
      <c r="X368">
        <f t="shared" ca="1" si="84"/>
        <v>12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1415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1415</v>
      </c>
      <c r="AO370" s="1">
        <v>77</v>
      </c>
      <c r="AP370" t="s">
        <v>1370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1500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1396</v>
      </c>
      <c r="AN373" t="s">
        <v>258</v>
      </c>
      <c r="AO373" s="1">
        <v>70</v>
      </c>
      <c r="AP373" t="s">
        <v>1374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1510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1506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1511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1417</v>
      </c>
      <c r="AO379" s="1">
        <v>95</v>
      </c>
      <c r="AP379" t="s">
        <v>1504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1379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1366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1512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1416</v>
      </c>
      <c r="AO394" s="1">
        <v>61</v>
      </c>
      <c r="AP394" t="s">
        <v>1372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1415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1415</v>
      </c>
      <c r="AO406" s="1">
        <v>77</v>
      </c>
      <c r="AP406" t="s">
        <v>1370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1500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1396</v>
      </c>
      <c r="AN409" t="s">
        <v>258</v>
      </c>
      <c r="AO409" s="1">
        <v>70</v>
      </c>
      <c r="AP409" t="s">
        <v>1374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1510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1513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1514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1417</v>
      </c>
      <c r="AO415" s="1">
        <v>95</v>
      </c>
      <c r="AP415" t="s">
        <v>1504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1379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1366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1395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1416</v>
      </c>
      <c r="AO430" s="1">
        <v>61</v>
      </c>
      <c r="AP430" t="s">
        <v>1372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1415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1415</v>
      </c>
      <c r="AO442" s="1">
        <v>77</v>
      </c>
      <c r="AP442" t="s">
        <v>1370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1500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1396</v>
      </c>
      <c r="AN445" t="s">
        <v>258</v>
      </c>
      <c r="AO445" s="1">
        <v>70</v>
      </c>
      <c r="AP445" t="s">
        <v>1374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1513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1501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1515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1417</v>
      </c>
      <c r="AO451" s="1">
        <v>95</v>
      </c>
      <c r="AP451" t="s">
        <v>1504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1379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1366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1505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1416</v>
      </c>
      <c r="AO466" s="1">
        <v>61</v>
      </c>
      <c r="AP466" t="s">
        <v>1372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1415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1415</v>
      </c>
      <c r="AO478" s="1">
        <v>77</v>
      </c>
      <c r="AP478" t="s">
        <v>1370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tabSelected="1" workbookViewId="0">
      <selection activeCell="D33" sqref="D33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1424</v>
      </c>
      <c r="D1" s="32" t="s">
        <v>1425</v>
      </c>
    </row>
    <row r="2" spans="1:4" x14ac:dyDescent="0.25">
      <c r="A2" s="1">
        <v>1</v>
      </c>
      <c r="B2" s="34" t="s">
        <v>1426</v>
      </c>
      <c r="C2" s="35" t="s">
        <v>92</v>
      </c>
      <c r="D2" s="36" t="s">
        <v>1518</v>
      </c>
    </row>
    <row r="3" spans="1:4" x14ac:dyDescent="0.25">
      <c r="A3" s="1">
        <v>2</v>
      </c>
      <c r="B3" s="37" t="s">
        <v>1427</v>
      </c>
      <c r="C3" s="35" t="s">
        <v>47</v>
      </c>
      <c r="D3" s="36" t="s">
        <v>1468</v>
      </c>
    </row>
    <row r="4" spans="1:4" x14ac:dyDescent="0.25">
      <c r="A4" s="1">
        <v>3</v>
      </c>
      <c r="B4" s="37" t="s">
        <v>1428</v>
      </c>
      <c r="C4" s="35" t="s">
        <v>48</v>
      </c>
      <c r="D4" s="36" t="s">
        <v>1469</v>
      </c>
    </row>
    <row r="5" spans="1:4" x14ac:dyDescent="0.25">
      <c r="A5" s="1">
        <v>4</v>
      </c>
      <c r="B5" s="37" t="s">
        <v>1429</v>
      </c>
      <c r="C5" s="35" t="s">
        <v>49</v>
      </c>
      <c r="D5" s="36" t="s">
        <v>1470</v>
      </c>
    </row>
    <row r="6" spans="1:4" x14ac:dyDescent="0.25">
      <c r="A6" s="1">
        <v>5</v>
      </c>
      <c r="B6" s="37" t="s">
        <v>1430</v>
      </c>
      <c r="C6" s="35" t="s">
        <v>50</v>
      </c>
      <c r="D6" s="36" t="s">
        <v>1471</v>
      </c>
    </row>
    <row r="7" spans="1:4" x14ac:dyDescent="0.25">
      <c r="A7" s="1">
        <v>6</v>
      </c>
      <c r="B7" s="37" t="s">
        <v>1431</v>
      </c>
      <c r="C7" s="35" t="s">
        <v>51</v>
      </c>
      <c r="D7" s="36" t="s">
        <v>1472</v>
      </c>
    </row>
    <row r="8" spans="1:4" x14ac:dyDescent="0.25">
      <c r="A8" s="1">
        <v>7</v>
      </c>
      <c r="B8" s="37" t="s">
        <v>1432</v>
      </c>
      <c r="C8" s="35" t="s">
        <v>46</v>
      </c>
      <c r="D8" s="36" t="s">
        <v>1473</v>
      </c>
    </row>
    <row r="9" spans="1:4" x14ac:dyDescent="0.25">
      <c r="A9" s="1">
        <v>8</v>
      </c>
      <c r="B9" s="37" t="s">
        <v>1433</v>
      </c>
      <c r="C9" s="35" t="s">
        <v>43</v>
      </c>
      <c r="D9" s="36" t="s">
        <v>1474</v>
      </c>
    </row>
    <row r="10" spans="1:4" x14ac:dyDescent="0.25">
      <c r="A10" s="1">
        <v>9</v>
      </c>
      <c r="B10" s="37" t="s">
        <v>1434</v>
      </c>
      <c r="C10" s="35" t="s">
        <v>45</v>
      </c>
      <c r="D10" s="36" t="s">
        <v>1475</v>
      </c>
    </row>
    <row r="11" spans="1:4" x14ac:dyDescent="0.25">
      <c r="A11" s="1">
        <v>10</v>
      </c>
      <c r="B11" s="37" t="s">
        <v>1435</v>
      </c>
      <c r="C11" s="35" t="s">
        <v>52</v>
      </c>
      <c r="D11" s="36" t="s">
        <v>1476</v>
      </c>
    </row>
    <row r="12" spans="1:4" x14ac:dyDescent="0.25">
      <c r="A12" s="1">
        <v>11</v>
      </c>
      <c r="B12" s="37" t="s">
        <v>1436</v>
      </c>
      <c r="C12" s="35" t="s">
        <v>44</v>
      </c>
      <c r="D12" s="36" t="s">
        <v>1477</v>
      </c>
    </row>
    <row r="13" spans="1:4" x14ac:dyDescent="0.25">
      <c r="A13" s="1">
        <v>12</v>
      </c>
      <c r="B13" s="37" t="s">
        <v>1437</v>
      </c>
      <c r="C13" s="35" t="s">
        <v>53</v>
      </c>
      <c r="D13" s="36" t="s">
        <v>1478</v>
      </c>
    </row>
    <row r="14" spans="1:4" x14ac:dyDescent="0.25">
      <c r="A14" s="1">
        <v>13</v>
      </c>
      <c r="B14" s="37" t="s">
        <v>1438</v>
      </c>
      <c r="C14" s="35" t="s">
        <v>54</v>
      </c>
      <c r="D14" s="36" t="s">
        <v>1479</v>
      </c>
    </row>
    <row r="15" spans="1:4" x14ac:dyDescent="0.25">
      <c r="A15" s="1">
        <v>14</v>
      </c>
      <c r="B15" s="37" t="s">
        <v>1439</v>
      </c>
      <c r="C15" s="35" t="s">
        <v>55</v>
      </c>
      <c r="D15" s="36" t="s">
        <v>1480</v>
      </c>
    </row>
    <row r="16" spans="1:4" x14ac:dyDescent="0.25">
      <c r="A16" s="1">
        <v>15</v>
      </c>
      <c r="B16" s="37" t="s">
        <v>1440</v>
      </c>
      <c r="C16" s="35" t="s">
        <v>56</v>
      </c>
      <c r="D16" s="36" t="s">
        <v>1481</v>
      </c>
    </row>
    <row r="17" spans="1:4" x14ac:dyDescent="0.25">
      <c r="A17" s="1">
        <v>16</v>
      </c>
      <c r="B17" s="37" t="s">
        <v>1441</v>
      </c>
      <c r="C17" s="35" t="s">
        <v>57</v>
      </c>
      <c r="D17" s="36" t="s">
        <v>1482</v>
      </c>
    </row>
    <row r="18" spans="1:4" x14ac:dyDescent="0.25">
      <c r="A18" s="1">
        <v>17</v>
      </c>
      <c r="B18" s="37" t="s">
        <v>1442</v>
      </c>
      <c r="C18" s="35" t="s">
        <v>58</v>
      </c>
      <c r="D18" s="36" t="s">
        <v>1483</v>
      </c>
    </row>
    <row r="19" spans="1:4" x14ac:dyDescent="0.25">
      <c r="A19" s="1">
        <v>18</v>
      </c>
      <c r="B19" s="37" t="s">
        <v>1443</v>
      </c>
      <c r="C19" s="35" t="s">
        <v>59</v>
      </c>
      <c r="D19" s="36" t="s">
        <v>1484</v>
      </c>
    </row>
    <row r="20" spans="1:4" x14ac:dyDescent="0.25">
      <c r="A20" s="1">
        <v>19</v>
      </c>
      <c r="B20" s="34" t="s">
        <v>1444</v>
      </c>
      <c r="C20" s="35" t="s">
        <v>87</v>
      </c>
      <c r="D20" s="36" t="s">
        <v>1485</v>
      </c>
    </row>
    <row r="21" spans="1:4" x14ac:dyDescent="0.25">
      <c r="A21" s="1">
        <v>20</v>
      </c>
      <c r="B21" s="34" t="s">
        <v>1445</v>
      </c>
      <c r="C21" s="35" t="s">
        <v>88</v>
      </c>
      <c r="D21" s="36" t="s">
        <v>1486</v>
      </c>
    </row>
    <row r="22" spans="1:4" x14ac:dyDescent="0.25">
      <c r="A22" s="1">
        <v>21</v>
      </c>
      <c r="B22" s="34" t="s">
        <v>1446</v>
      </c>
      <c r="C22" s="35" t="s">
        <v>89</v>
      </c>
      <c r="D22" s="36" t="s">
        <v>1487</v>
      </c>
    </row>
    <row r="23" spans="1:4" x14ac:dyDescent="0.25">
      <c r="A23" s="1">
        <v>22</v>
      </c>
      <c r="B23" s="34" t="s">
        <v>1447</v>
      </c>
      <c r="C23" s="35" t="s">
        <v>90</v>
      </c>
      <c r="D23" s="36" t="s">
        <v>1488</v>
      </c>
    </row>
    <row r="24" spans="1:4" x14ac:dyDescent="0.25">
      <c r="A24" s="1">
        <v>23</v>
      </c>
      <c r="B24" s="34" t="s">
        <v>1448</v>
      </c>
      <c r="C24" s="35" t="s">
        <v>91</v>
      </c>
      <c r="D24" s="36" t="s">
        <v>1489</v>
      </c>
    </row>
    <row r="25" spans="1:4" x14ac:dyDescent="0.25">
      <c r="A25" s="1">
        <v>24</v>
      </c>
      <c r="B25" s="34" t="s">
        <v>1449</v>
      </c>
      <c r="C25" s="35" t="s">
        <v>93</v>
      </c>
      <c r="D25" s="36" t="s">
        <v>1490</v>
      </c>
    </row>
    <row r="26" spans="1:4" x14ac:dyDescent="0.25">
      <c r="A26" s="1">
        <v>25</v>
      </c>
      <c r="B26" s="34" t="s">
        <v>1450</v>
      </c>
      <c r="C26" s="35" t="s">
        <v>1451</v>
      </c>
      <c r="D26" s="36" t="s">
        <v>1491</v>
      </c>
    </row>
    <row r="27" spans="1:4" x14ac:dyDescent="0.25">
      <c r="A27" s="1">
        <v>26</v>
      </c>
      <c r="B27" s="34" t="s">
        <v>1452</v>
      </c>
      <c r="C27" s="35" t="s">
        <v>1453</v>
      </c>
      <c r="D27" s="36" t="s">
        <v>1492</v>
      </c>
    </row>
    <row r="28" spans="1:4" x14ac:dyDescent="0.25">
      <c r="A28" s="1">
        <v>27</v>
      </c>
      <c r="B28" s="34" t="s">
        <v>1454</v>
      </c>
      <c r="C28" s="35" t="s">
        <v>1455</v>
      </c>
      <c r="D28" s="36" t="s">
        <v>1493</v>
      </c>
    </row>
    <row r="29" spans="1:4" x14ac:dyDescent="0.25">
      <c r="A29" s="1">
        <v>28</v>
      </c>
      <c r="B29" s="34" t="s">
        <v>1456</v>
      </c>
      <c r="C29" s="35" t="s">
        <v>1457</v>
      </c>
      <c r="D29" s="36" t="s">
        <v>1494</v>
      </c>
    </row>
    <row r="30" spans="1:4" x14ac:dyDescent="0.25">
      <c r="A30" s="1">
        <v>29</v>
      </c>
      <c r="B30" s="34" t="s">
        <v>1458</v>
      </c>
      <c r="C30" s="35" t="s">
        <v>1459</v>
      </c>
      <c r="D30" s="36" t="s">
        <v>1495</v>
      </c>
    </row>
    <row r="31" spans="1:4" x14ac:dyDescent="0.25">
      <c r="A31" s="1">
        <v>30</v>
      </c>
      <c r="B31" s="34" t="s">
        <v>1460</v>
      </c>
      <c r="C31" s="35" t="s">
        <v>1461</v>
      </c>
      <c r="D31" s="36" t="s">
        <v>1496</v>
      </c>
    </row>
    <row r="32" spans="1:4" x14ac:dyDescent="0.25">
      <c r="A32" s="1">
        <v>31</v>
      </c>
      <c r="B32" s="34" t="s">
        <v>1462</v>
      </c>
      <c r="C32" s="35" t="s">
        <v>1463</v>
      </c>
      <c r="D32" s="36" t="s">
        <v>1497</v>
      </c>
    </row>
    <row r="33" spans="1:4" x14ac:dyDescent="0.25">
      <c r="A33" s="1">
        <v>32</v>
      </c>
      <c r="B33" s="34" t="s">
        <v>1464</v>
      </c>
      <c r="C33" s="35" t="s">
        <v>1465</v>
      </c>
      <c r="D33" s="36" t="s">
        <v>1498</v>
      </c>
    </row>
    <row r="34" spans="1:4" x14ac:dyDescent="0.25">
      <c r="A34" s="1">
        <v>33</v>
      </c>
      <c r="B34" s="34" t="s">
        <v>1466</v>
      </c>
      <c r="C34" s="35" t="s">
        <v>1467</v>
      </c>
      <c r="D34" s="36" t="s">
        <v>1499</v>
      </c>
    </row>
    <row r="35" spans="1:4" x14ac:dyDescent="0.25">
      <c r="A35" s="1">
        <v>34</v>
      </c>
      <c r="B35" s="34" t="s">
        <v>1519</v>
      </c>
      <c r="C35" s="35" t="s">
        <v>1520</v>
      </c>
      <c r="D35" s="36" t="s">
        <v>1521</v>
      </c>
    </row>
    <row r="36" spans="1:4" x14ac:dyDescent="0.25">
      <c r="A36" s="1">
        <v>35</v>
      </c>
      <c r="B36" s="34" t="s">
        <v>1522</v>
      </c>
      <c r="C36" s="35" t="s">
        <v>1523</v>
      </c>
      <c r="D36" s="36" t="s">
        <v>1524</v>
      </c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1398</v>
      </c>
      <c r="B1" s="8" t="s">
        <v>1399</v>
      </c>
      <c r="C1" s="8" t="s">
        <v>66</v>
      </c>
      <c r="D1" s="8" t="s">
        <v>67</v>
      </c>
      <c r="E1" s="8" t="s">
        <v>1400</v>
      </c>
      <c r="F1" s="8" t="s">
        <v>1401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1402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1403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1404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1405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1406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1407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1408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1409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1410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1411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1412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1413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1414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1415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1416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1417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1418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1419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1423</v>
      </c>
      <c r="B1" s="8" t="s">
        <v>1517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1396</v>
      </c>
      <c r="C43" t="s">
        <v>173</v>
      </c>
      <c r="D43" t="s">
        <v>1397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zoomScale="120" zoomScaleNormal="120" workbookViewId="0">
      <selection activeCell="B14" sqref="B14:B15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1420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I44" sqref="I43:I44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1421</v>
      </c>
      <c r="E1" s="4" t="s">
        <v>1422</v>
      </c>
      <c r="F1" s="8" t="s">
        <v>63</v>
      </c>
      <c r="G1" s="8" t="s">
        <v>1398</v>
      </c>
      <c r="H1" s="8" t="s">
        <v>1423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2026-03-12T13:55:58Z</dcterms:modified>
</cp:coreProperties>
</file>